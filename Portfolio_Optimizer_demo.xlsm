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gavoi\Desktop\M1 Finance\Projet finance\"/>
    </mc:Choice>
  </mc:AlternateContent>
  <xr:revisionPtr revIDLastSave="0" documentId="13_ncr:1_{AFE454F7-F620-4B09-BF34-102DE1E8AAA3}" xr6:coauthVersionLast="47" xr6:coauthVersionMax="47" xr10:uidLastSave="{00000000-0000-0000-0000-000000000000}"/>
  <bookViews>
    <workbookView xWindow="-98" yWindow="-98" windowWidth="21795" windowHeight="12975" activeTab="3" xr2:uid="{48A2F9DD-B896-41B7-A01D-6E530F6C89E9}"/>
  </bookViews>
  <sheets>
    <sheet name="01_Data_Raw" sheetId="11" r:id="rId1"/>
    <sheet name="02_Stats" sheetId="13" r:id="rId2"/>
    <sheet name="03_Efficient Frontier" sheetId="15" r:id="rId3"/>
    <sheet name="04_Dashboard" sheetId="16" r:id="rId4"/>
  </sheets>
  <definedNames>
    <definedName name="_xleta.T" hidden="1" xlm="1">#NAME?</definedName>
    <definedName name="_xleta.TRANSPOSE" hidden="1" xlm="1">#NAME?</definedName>
    <definedName name="_xleta.VARP" hidden="1" xlm="1">#NAME?</definedName>
    <definedName name="DonnéesExternes_1" localSheetId="0" hidden="1">'01_Data_Raw'!$A$2:$J$754</definedName>
    <definedName name="Risk_free_Rate">#REF!</definedName>
    <definedName name="solver_adj" localSheetId="1" hidden="1">'02_Stats'!$C$7:$J$7</definedName>
    <definedName name="solver_adj" localSheetId="2" hidden="1">'03_Efficient Frontier'!$C$5:$J$5</definedName>
    <definedName name="solver_cvg" localSheetId="1" hidden="1">0.0001</definedName>
    <definedName name="solver_cvg" localSheetId="2" hidden="1">0.0001</definedName>
    <definedName name="solver_drv" localSheetId="1" hidden="1">1</definedName>
    <definedName name="solver_drv" localSheetId="2" hidden="1">2</definedName>
    <definedName name="solver_eng" localSheetId="1" hidden="1">1</definedName>
    <definedName name="solver_eng" localSheetId="2" hidden="1">1</definedName>
    <definedName name="solver_est" localSheetId="1" hidden="1">1</definedName>
    <definedName name="solver_est" localSheetId="2" hidden="1">1</definedName>
    <definedName name="solver_itr" localSheetId="1" hidden="1">2147483647</definedName>
    <definedName name="solver_itr" localSheetId="2" hidden="1">2147483647</definedName>
    <definedName name="solver_lhs1" localSheetId="1" hidden="1">'02_Stats'!$C$13</definedName>
    <definedName name="solver_lhs1" localSheetId="2" hidden="1">'03_Efficient Frontier'!$C$11</definedName>
    <definedName name="solver_lhs10" localSheetId="1" hidden="1">'02_Stats'!$D$7</definedName>
    <definedName name="solver_lhs10" localSheetId="2" hidden="1">'03_Efficient Frontier'!$G$5</definedName>
    <definedName name="solver_lhs11" localSheetId="1" hidden="1">'02_Stats'!$E$7</definedName>
    <definedName name="solver_lhs11" localSheetId="2" hidden="1">'03_Efficient Frontier'!$G$5</definedName>
    <definedName name="solver_lhs12" localSheetId="1" hidden="1">'02_Stats'!$F$7</definedName>
    <definedName name="solver_lhs12" localSheetId="2" hidden="1">'03_Efficient Frontier'!$H$5</definedName>
    <definedName name="solver_lhs13" localSheetId="1" hidden="1">'02_Stats'!$G$7</definedName>
    <definedName name="solver_lhs13" localSheetId="2" hidden="1">'03_Efficient Frontier'!$H$5</definedName>
    <definedName name="solver_lhs14" localSheetId="1" hidden="1">'02_Stats'!$H$7</definedName>
    <definedName name="solver_lhs14" localSheetId="2" hidden="1">'03_Efficient Frontier'!$I$5</definedName>
    <definedName name="solver_lhs15" localSheetId="1" hidden="1">'02_Stats'!$I$7</definedName>
    <definedName name="solver_lhs15" localSheetId="2" hidden="1">'03_Efficient Frontier'!$I$5</definedName>
    <definedName name="solver_lhs16" localSheetId="1" hidden="1">'02_Stats'!$J$7</definedName>
    <definedName name="solver_lhs16" localSheetId="2" hidden="1">'03_Efficient Frontier'!$J$5</definedName>
    <definedName name="solver_lhs17" localSheetId="1" hidden="1">'02_Stats'!$C$10</definedName>
    <definedName name="solver_lhs17" localSheetId="2" hidden="1">'03_Efficient Frontier'!$J$5</definedName>
    <definedName name="solver_lhs18" localSheetId="2" hidden="1">'03_Efficient Frontier'!$C$8</definedName>
    <definedName name="solver_lhs2" localSheetId="1" hidden="1">'02_Stats'!$C$7:$J$7</definedName>
    <definedName name="solver_lhs2" localSheetId="2" hidden="1">'03_Efficient Frontier'!$C$5:$J$5</definedName>
    <definedName name="solver_lhs3" localSheetId="1" hidden="1">'02_Stats'!$C$7:$J$7</definedName>
    <definedName name="solver_lhs3" localSheetId="2" hidden="1">'03_Efficient Frontier'!$C$5:$J$5</definedName>
    <definedName name="solver_lhs4" localSheetId="1" hidden="1">'02_Stats'!$C$10</definedName>
    <definedName name="solver_lhs4" localSheetId="2" hidden="1">'03_Efficient Frontier'!$D$5</definedName>
    <definedName name="solver_lhs5" localSheetId="1" hidden="1">'02_Stats'!$G$7</definedName>
    <definedName name="solver_lhs5" localSheetId="2" hidden="1">'03_Efficient Frontier'!$D$5</definedName>
    <definedName name="solver_lhs6" localSheetId="1" hidden="1">'02_Stats'!$H$7</definedName>
    <definedName name="solver_lhs6" localSheetId="2" hidden="1">'03_Efficient Frontier'!$E$5</definedName>
    <definedName name="solver_lhs7" localSheetId="1" hidden="1">'02_Stats'!$I$7</definedName>
    <definedName name="solver_lhs7" localSheetId="2" hidden="1">'03_Efficient Frontier'!$E$5</definedName>
    <definedName name="solver_lhs8" localSheetId="1" hidden="1">'02_Stats'!$J$7</definedName>
    <definedName name="solver_lhs8" localSheetId="2" hidden="1">'03_Efficient Frontier'!$F$5</definedName>
    <definedName name="solver_lhs9" localSheetId="1" hidden="1">'02_Stats'!$C$7</definedName>
    <definedName name="solver_lhs9" localSheetId="2" hidden="1">'03_Efficient Frontier'!$F$5</definedName>
    <definedName name="solver_mip" localSheetId="1" hidden="1">2147483647</definedName>
    <definedName name="solver_mip" localSheetId="2" hidden="1">2147483647</definedName>
    <definedName name="solver_mni" localSheetId="1" hidden="1">30</definedName>
    <definedName name="solver_mni" localSheetId="2" hidden="1">30</definedName>
    <definedName name="solver_mrt" localSheetId="1" hidden="1">0.075</definedName>
    <definedName name="solver_mrt" localSheetId="2" hidden="1">0.075</definedName>
    <definedName name="solver_msl" localSheetId="1" hidden="1">2</definedName>
    <definedName name="solver_msl" localSheetId="2" hidden="1">2</definedName>
    <definedName name="solver_neg" localSheetId="1" hidden="1">1</definedName>
    <definedName name="solver_neg" localSheetId="2" hidden="1">1</definedName>
    <definedName name="solver_nod" localSheetId="1" hidden="1">2147483647</definedName>
    <definedName name="solver_nod" localSheetId="2" hidden="1">2147483647</definedName>
    <definedName name="solver_num" localSheetId="1" hidden="1">3</definedName>
    <definedName name="solver_num" localSheetId="2" hidden="1">3</definedName>
    <definedName name="solver_nwt" localSheetId="1" hidden="1">1</definedName>
    <definedName name="solver_nwt" localSheetId="2" hidden="1">1</definedName>
    <definedName name="solver_opt" localSheetId="1" hidden="1">'02_Stats'!$C$11</definedName>
    <definedName name="solver_opt" localSheetId="2" hidden="1">'03_Efficient Frontier'!$C$8</definedName>
    <definedName name="solver_pre" localSheetId="1" hidden="1">0.000001</definedName>
    <definedName name="solver_pre" localSheetId="2" hidden="1">0.000001</definedName>
    <definedName name="solver_rbv" localSheetId="1" hidden="1">1</definedName>
    <definedName name="solver_rbv" localSheetId="2" hidden="1">2</definedName>
    <definedName name="solver_rel1" localSheetId="1" hidden="1">2</definedName>
    <definedName name="solver_rel1" localSheetId="2" hidden="1">2</definedName>
    <definedName name="solver_rel10" localSheetId="1" hidden="1">1</definedName>
    <definedName name="solver_rel10" localSheetId="2" hidden="1">3</definedName>
    <definedName name="solver_rel11" localSheetId="1" hidden="1">1</definedName>
    <definedName name="solver_rel11" localSheetId="2" hidden="1">1</definedName>
    <definedName name="solver_rel12" localSheetId="1" hidden="1">1</definedName>
    <definedName name="solver_rel12" localSheetId="2" hidden="1">3</definedName>
    <definedName name="solver_rel13" localSheetId="1" hidden="1">1</definedName>
    <definedName name="solver_rel13" localSheetId="2" hidden="1">1</definedName>
    <definedName name="solver_rel14" localSheetId="1" hidden="1">1</definedName>
    <definedName name="solver_rel14" localSheetId="2" hidden="1">3</definedName>
    <definedName name="solver_rel15" localSheetId="1" hidden="1">1</definedName>
    <definedName name="solver_rel15" localSheetId="2" hidden="1">1</definedName>
    <definedName name="solver_rel16" localSheetId="1" hidden="1">1</definedName>
    <definedName name="solver_rel16" localSheetId="2" hidden="1">3</definedName>
    <definedName name="solver_rel17" localSheetId="1" hidden="1">2</definedName>
    <definedName name="solver_rel17" localSheetId="2" hidden="1">1</definedName>
    <definedName name="solver_rel18" localSheetId="2" hidden="1">3</definedName>
    <definedName name="solver_rel2" localSheetId="1" hidden="1">1</definedName>
    <definedName name="solver_rel2" localSheetId="2" hidden="1">1</definedName>
    <definedName name="solver_rel3" localSheetId="1" hidden="1">3</definedName>
    <definedName name="solver_rel3" localSheetId="2" hidden="1">3</definedName>
    <definedName name="solver_rel4" localSheetId="1" hidden="1">2</definedName>
    <definedName name="solver_rel4" localSheetId="2" hidden="1">3</definedName>
    <definedName name="solver_rel5" localSheetId="1" hidden="1">3</definedName>
    <definedName name="solver_rel5" localSheetId="2" hidden="1">1</definedName>
    <definedName name="solver_rel6" localSheetId="1" hidden="1">3</definedName>
    <definedName name="solver_rel6" localSheetId="2" hidden="1">3</definedName>
    <definedName name="solver_rel7" localSheetId="1" hidden="1">3</definedName>
    <definedName name="solver_rel7" localSheetId="2" hidden="1">1</definedName>
    <definedName name="solver_rel8" localSheetId="1" hidden="1">3</definedName>
    <definedName name="solver_rel8" localSheetId="2" hidden="1">3</definedName>
    <definedName name="solver_rel9" localSheetId="1" hidden="1">1</definedName>
    <definedName name="solver_rel9" localSheetId="2" hidden="1">1</definedName>
    <definedName name="solver_rhs1" localSheetId="1" hidden="1">100%</definedName>
    <definedName name="solver_rhs1" localSheetId="2" hidden="1">100%</definedName>
    <definedName name="solver_rhs10" localSheetId="1" hidden="1">'02_Stats'!$D$6</definedName>
    <definedName name="solver_rhs10" localSheetId="2" hidden="1">0.1</definedName>
    <definedName name="solver_rhs11" localSheetId="1" hidden="1">'02_Stats'!$E$6</definedName>
    <definedName name="solver_rhs11" localSheetId="2" hidden="1">0.4</definedName>
    <definedName name="solver_rhs12" localSheetId="1" hidden="1">'02_Stats'!$F$6</definedName>
    <definedName name="solver_rhs12" localSheetId="2" hidden="1">0.1</definedName>
    <definedName name="solver_rhs13" localSheetId="1" hidden="1">'02_Stats'!$G$6</definedName>
    <definedName name="solver_rhs13" localSheetId="2" hidden="1">0.14</definedName>
    <definedName name="solver_rhs14" localSheetId="1" hidden="1">'02_Stats'!$H$6</definedName>
    <definedName name="solver_rhs14" localSheetId="2" hidden="1">0.15</definedName>
    <definedName name="solver_rhs15" localSheetId="1" hidden="1">'02_Stats'!$I$6</definedName>
    <definedName name="solver_rhs15" localSheetId="2" hidden="1">0.4</definedName>
    <definedName name="solver_rhs16" localSheetId="1" hidden="1">'02_Stats'!$J$6</definedName>
    <definedName name="solver_rhs16" localSheetId="2" hidden="1">0.1</definedName>
    <definedName name="solver_rhs17" localSheetId="1" hidden="1">'02_Stats'!$K$21</definedName>
    <definedName name="solver_rhs17" localSheetId="2" hidden="1">0.4</definedName>
    <definedName name="solver_rhs18" localSheetId="2" hidden="1">0.2307094149691</definedName>
    <definedName name="solver_rhs2" localSheetId="1" hidden="1">'02_Stats'!$C$6:$J$6</definedName>
    <definedName name="solver_rhs2" localSheetId="2" hidden="1">'03_Efficient Frontier'!#REF!</definedName>
    <definedName name="solver_rhs3" localSheetId="1" hidden="1">'02_Stats'!$C$5:$J$5</definedName>
    <definedName name="solver_rhs3" localSheetId="2" hidden="1">'03_Efficient Frontier'!#REF!</definedName>
    <definedName name="solver_rhs4" localSheetId="1" hidden="1">'02_Stats'!$C$15</definedName>
    <definedName name="solver_rhs4" localSheetId="2" hidden="1">0.02</definedName>
    <definedName name="solver_rhs5" localSheetId="1" hidden="1">'02_Stats'!$G$5</definedName>
    <definedName name="solver_rhs5" localSheetId="2" hidden="1">0.3</definedName>
    <definedName name="solver_rhs6" localSheetId="1" hidden="1">'02_Stats'!$H$5</definedName>
    <definedName name="solver_rhs6" localSheetId="2" hidden="1">0.1</definedName>
    <definedName name="solver_rhs7" localSheetId="1" hidden="1">'02_Stats'!$I$5</definedName>
    <definedName name="solver_rhs7" localSheetId="2" hidden="1">0.25</definedName>
    <definedName name="solver_rhs8" localSheetId="1" hidden="1">'02_Stats'!$J$5</definedName>
    <definedName name="solver_rhs8" localSheetId="2" hidden="1">0.1</definedName>
    <definedName name="solver_rhs9" localSheetId="1" hidden="1">'02_Stats'!$C$6</definedName>
    <definedName name="solver_rhs9" localSheetId="2" hidden="1">0.4</definedName>
    <definedName name="solver_rlx" localSheetId="1" hidden="1">2</definedName>
    <definedName name="solver_rlx" localSheetId="2" hidden="1">2</definedName>
    <definedName name="solver_rsd" localSheetId="1" hidden="1">0</definedName>
    <definedName name="solver_rsd" localSheetId="2" hidden="1">0</definedName>
    <definedName name="solver_scl" localSheetId="1" hidden="1">1</definedName>
    <definedName name="solver_scl" localSheetId="2" hidden="1">2</definedName>
    <definedName name="solver_sho" localSheetId="1" hidden="1">2</definedName>
    <definedName name="solver_sho" localSheetId="2" hidden="1">2</definedName>
    <definedName name="solver_ssz" localSheetId="1" hidden="1">100</definedName>
    <definedName name="solver_ssz" localSheetId="2" hidden="1">100</definedName>
    <definedName name="solver_tim" localSheetId="1" hidden="1">2147483647</definedName>
    <definedName name="solver_tim" localSheetId="2" hidden="1">2147483647</definedName>
    <definedName name="solver_tol" localSheetId="1" hidden="1">0.01</definedName>
    <definedName name="solver_tol" localSheetId="2" hidden="1">0.01</definedName>
    <definedName name="solver_typ" localSheetId="1" hidden="1">2</definedName>
    <definedName name="solver_typ" localSheetId="2" hidden="1">2</definedName>
    <definedName name="solver_val" localSheetId="1" hidden="1">0</definedName>
    <definedName name="solver_val" localSheetId="2" hidden="1">0</definedName>
    <definedName name="solver_ver" localSheetId="1"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X755" i="11" l="1"/>
  <c r="X744" i="11"/>
  <c r="X745" i="11" s="1"/>
  <c r="X746" i="11" s="1"/>
  <c r="X747" i="11" s="1"/>
  <c r="X748" i="11" s="1"/>
  <c r="X749" i="11" s="1"/>
  <c r="X750" i="11" s="1"/>
  <c r="X751" i="11" s="1"/>
  <c r="X752" i="11" s="1"/>
  <c r="X753" i="11" s="1"/>
  <c r="X754" i="11" s="1"/>
  <c r="T755" i="11"/>
  <c r="S755" i="11"/>
  <c r="R755" i="11"/>
  <c r="Q755" i="11"/>
  <c r="P755" i="11"/>
  <c r="O755" i="11"/>
  <c r="N755" i="11"/>
  <c r="M755" i="11"/>
  <c r="W755" i="11" s="1" a="1"/>
  <c r="W755" i="11" s="1"/>
  <c r="Y755" i="11" s="1"/>
  <c r="AB755" i="11" s="1"/>
  <c r="L755" i="11"/>
  <c r="V755" i="11" s="1"/>
  <c r="T754" i="11"/>
  <c r="S754" i="11"/>
  <c r="R754" i="11"/>
  <c r="Q754" i="11"/>
  <c r="P754" i="11"/>
  <c r="O754" i="11"/>
  <c r="N754" i="11"/>
  <c r="M754" i="11"/>
  <c r="L754" i="11"/>
  <c r="V754" i="11" s="1"/>
  <c r="T753" i="11"/>
  <c r="S753" i="11"/>
  <c r="R753" i="11"/>
  <c r="Q753" i="11"/>
  <c r="P753" i="11"/>
  <c r="O753" i="11"/>
  <c r="N753" i="11"/>
  <c r="M753" i="11"/>
  <c r="L753" i="11"/>
  <c r="T752" i="11"/>
  <c r="S752" i="11"/>
  <c r="R752" i="11"/>
  <c r="Q752" i="11"/>
  <c r="P752" i="11"/>
  <c r="O752" i="11"/>
  <c r="N752" i="11"/>
  <c r="M752" i="11"/>
  <c r="L752" i="11"/>
  <c r="AA755" i="11" l="1"/>
  <c r="L77" i="11"/>
  <c r="C25" i="15"/>
  <c r="D25" i="15"/>
  <c r="C59" i="16"/>
  <c r="C58" i="16"/>
  <c r="C57" i="16"/>
  <c r="C56" i="16"/>
  <c r="C60" i="16"/>
  <c r="C55" i="16"/>
  <c r="C54" i="16"/>
  <c r="C53" i="16"/>
  <c r="C8" i="16"/>
  <c r="C52" i="16"/>
  <c r="C10" i="16"/>
  <c r="C9" i="16"/>
  <c r="W754" i="11" l="1" a="1"/>
  <c r="W754" i="11" s="1"/>
  <c r="O22" i="16" a="1"/>
  <c r="O22" i="16" s="1"/>
  <c r="P23" i="16" a="1"/>
  <c r="P23" i="16" s="1"/>
  <c r="P25" i="16" a="1"/>
  <c r="P25" i="16" s="1"/>
  <c r="P26" i="16" a="1"/>
  <c r="P26" i="16" s="1"/>
  <c r="P27" i="16" a="1"/>
  <c r="P27" i="16" s="1"/>
  <c r="P28" i="16" a="1"/>
  <c r="P28" i="16" s="1"/>
  <c r="P29" i="16" a="1"/>
  <c r="P29" i="16" s="1"/>
  <c r="P22" i="16" a="1"/>
  <c r="P22" i="16" s="1"/>
  <c r="N23" i="16" a="1"/>
  <c r="N23" i="16" s="1"/>
  <c r="N25" i="16" a="1"/>
  <c r="N25" i="16" s="1"/>
  <c r="N26" i="16" a="1"/>
  <c r="N26" i="16" s="1"/>
  <c r="N27" i="16" a="1"/>
  <c r="N27" i="16" s="1"/>
  <c r="N28" i="16" a="1"/>
  <c r="N28" i="16" s="1"/>
  <c r="N29" i="16" a="1"/>
  <c r="N29" i="16" s="1"/>
  <c r="N22" i="16" a="1"/>
  <c r="N22" i="16" s="1"/>
  <c r="O23" i="16" a="1"/>
  <c r="O23" i="16" s="1"/>
  <c r="O24" i="16" a="1"/>
  <c r="O24" i="16" s="1"/>
  <c r="O25" i="16" a="1"/>
  <c r="O25" i="16" s="1"/>
  <c r="O26" i="16" a="1"/>
  <c r="O26" i="16" s="1"/>
  <c r="O27" i="16" a="1"/>
  <c r="O27" i="16" s="1"/>
  <c r="O28" i="16" a="1"/>
  <c r="O28" i="16" s="1"/>
  <c r="O29" i="16" a="1"/>
  <c r="O29" i="16" s="1"/>
  <c r="C12" i="16"/>
  <c r="C24" i="15"/>
  <c r="C23" i="15"/>
  <c r="V753" i="11"/>
  <c r="V752" i="11"/>
  <c r="T751" i="11"/>
  <c r="S751" i="11"/>
  <c r="R751" i="11"/>
  <c r="Q751" i="11"/>
  <c r="P751" i="11"/>
  <c r="O751" i="11"/>
  <c r="N751" i="11"/>
  <c r="M751" i="11"/>
  <c r="L751" i="11"/>
  <c r="V751" i="11" s="1"/>
  <c r="T750" i="11"/>
  <c r="S750" i="11"/>
  <c r="R750" i="11"/>
  <c r="Q750" i="11"/>
  <c r="P750" i="11"/>
  <c r="O750" i="11"/>
  <c r="N750" i="11"/>
  <c r="M750" i="11"/>
  <c r="L750" i="11"/>
  <c r="V750" i="11" s="1"/>
  <c r="T749" i="11"/>
  <c r="S749" i="11"/>
  <c r="R749" i="11"/>
  <c r="Q749" i="11"/>
  <c r="P749" i="11"/>
  <c r="O749" i="11"/>
  <c r="N749" i="11"/>
  <c r="M749" i="11"/>
  <c r="L749" i="11"/>
  <c r="V749" i="11" s="1"/>
  <c r="T748" i="11"/>
  <c r="S748" i="11"/>
  <c r="R748" i="11"/>
  <c r="Q748" i="11"/>
  <c r="P748" i="11"/>
  <c r="O748" i="11"/>
  <c r="N748" i="11"/>
  <c r="M748" i="11"/>
  <c r="L748" i="11"/>
  <c r="V748" i="11" s="1"/>
  <c r="T747" i="11"/>
  <c r="S747" i="11"/>
  <c r="R747" i="11"/>
  <c r="Q747" i="11"/>
  <c r="P747" i="11"/>
  <c r="O747" i="11"/>
  <c r="N747" i="11"/>
  <c r="M747" i="11"/>
  <c r="L747" i="11"/>
  <c r="V747" i="11" s="1"/>
  <c r="T746" i="11"/>
  <c r="S746" i="11"/>
  <c r="R746" i="11"/>
  <c r="Q746" i="11"/>
  <c r="P746" i="11"/>
  <c r="O746" i="11"/>
  <c r="N746" i="11"/>
  <c r="M746" i="11"/>
  <c r="L746" i="11"/>
  <c r="V746" i="11" s="1"/>
  <c r="T745" i="11"/>
  <c r="S745" i="11"/>
  <c r="R745" i="11"/>
  <c r="Q745" i="11"/>
  <c r="P745" i="11"/>
  <c r="O745" i="11"/>
  <c r="N745" i="11"/>
  <c r="M745" i="11"/>
  <c r="L745" i="11"/>
  <c r="V745" i="11" s="1"/>
  <c r="T744" i="11"/>
  <c r="S744" i="11"/>
  <c r="R744" i="11"/>
  <c r="Q744" i="11"/>
  <c r="P744" i="11"/>
  <c r="O744" i="11"/>
  <c r="N744" i="11"/>
  <c r="M744" i="11"/>
  <c r="L744" i="11"/>
  <c r="V744" i="11" s="1"/>
  <c r="T743" i="11"/>
  <c r="S743" i="11"/>
  <c r="R743" i="11"/>
  <c r="Q743" i="11"/>
  <c r="P743" i="11"/>
  <c r="O743" i="11"/>
  <c r="N743" i="11"/>
  <c r="M743" i="11"/>
  <c r="L743" i="11"/>
  <c r="V743" i="11" s="1"/>
  <c r="T742" i="11"/>
  <c r="S742" i="11"/>
  <c r="R742" i="11"/>
  <c r="Q742" i="11"/>
  <c r="P742" i="11"/>
  <c r="O742" i="11"/>
  <c r="N742" i="11"/>
  <c r="M742" i="11"/>
  <c r="L742" i="11"/>
  <c r="V742" i="11" s="1"/>
  <c r="T741" i="11"/>
  <c r="S741" i="11"/>
  <c r="R741" i="11"/>
  <c r="Q741" i="11"/>
  <c r="P741" i="11"/>
  <c r="O741" i="11"/>
  <c r="N741" i="11"/>
  <c r="M741" i="11"/>
  <c r="L741" i="11"/>
  <c r="V741" i="11" s="1"/>
  <c r="T740" i="11"/>
  <c r="S740" i="11"/>
  <c r="R740" i="11"/>
  <c r="Q740" i="11"/>
  <c r="P740" i="11"/>
  <c r="O740" i="11"/>
  <c r="N740" i="11"/>
  <c r="M740" i="11"/>
  <c r="L740" i="11"/>
  <c r="V740" i="11" s="1"/>
  <c r="T739" i="11"/>
  <c r="S739" i="11"/>
  <c r="R739" i="11"/>
  <c r="Q739" i="11"/>
  <c r="P739" i="11"/>
  <c r="O739" i="11"/>
  <c r="N739" i="11"/>
  <c r="M739" i="11"/>
  <c r="L739" i="11"/>
  <c r="V739" i="11" s="1"/>
  <c r="T738" i="11"/>
  <c r="S738" i="11"/>
  <c r="R738" i="11"/>
  <c r="Q738" i="11"/>
  <c r="P738" i="11"/>
  <c r="O738" i="11"/>
  <c r="N738" i="11"/>
  <c r="M738" i="11"/>
  <c r="L738" i="11"/>
  <c r="V738" i="11" s="1"/>
  <c r="T737" i="11"/>
  <c r="S737" i="11"/>
  <c r="R737" i="11"/>
  <c r="Q737" i="11"/>
  <c r="P737" i="11"/>
  <c r="O737" i="11"/>
  <c r="N737" i="11"/>
  <c r="M737" i="11"/>
  <c r="L737" i="11"/>
  <c r="V737" i="11" s="1"/>
  <c r="T736" i="11"/>
  <c r="S736" i="11"/>
  <c r="R736" i="11"/>
  <c r="Q736" i="11"/>
  <c r="P736" i="11"/>
  <c r="O736" i="11"/>
  <c r="N736" i="11"/>
  <c r="M736" i="11"/>
  <c r="L736" i="11"/>
  <c r="V736" i="11" s="1"/>
  <c r="T735" i="11"/>
  <c r="S735" i="11"/>
  <c r="R735" i="11"/>
  <c r="Q735" i="11"/>
  <c r="P735" i="11"/>
  <c r="O735" i="11"/>
  <c r="N735" i="11"/>
  <c r="M735" i="11"/>
  <c r="L735" i="11"/>
  <c r="V735" i="11" s="1"/>
  <c r="T734" i="11"/>
  <c r="S734" i="11"/>
  <c r="R734" i="11"/>
  <c r="Q734" i="11"/>
  <c r="P734" i="11"/>
  <c r="O734" i="11"/>
  <c r="N734" i="11"/>
  <c r="M734" i="11"/>
  <c r="L734" i="11"/>
  <c r="V734" i="11" s="1"/>
  <c r="T733" i="11"/>
  <c r="S733" i="11"/>
  <c r="R733" i="11"/>
  <c r="Q733" i="11"/>
  <c r="P733" i="11"/>
  <c r="O733" i="11"/>
  <c r="N733" i="11"/>
  <c r="M733" i="11"/>
  <c r="L733" i="11"/>
  <c r="V733" i="11" s="1"/>
  <c r="T732" i="11"/>
  <c r="S732" i="11"/>
  <c r="R732" i="11"/>
  <c r="Q732" i="11"/>
  <c r="P732" i="11"/>
  <c r="O732" i="11"/>
  <c r="N732" i="11"/>
  <c r="M732" i="11"/>
  <c r="L732" i="11"/>
  <c r="V732" i="11" s="1"/>
  <c r="T731" i="11"/>
  <c r="S731" i="11"/>
  <c r="R731" i="11"/>
  <c r="Q731" i="11"/>
  <c r="P731" i="11"/>
  <c r="O731" i="11"/>
  <c r="N731" i="11"/>
  <c r="M731" i="11"/>
  <c r="L731" i="11"/>
  <c r="V731" i="11" s="1"/>
  <c r="T730" i="11"/>
  <c r="S730" i="11"/>
  <c r="R730" i="11"/>
  <c r="Q730" i="11"/>
  <c r="P730" i="11"/>
  <c r="O730" i="11"/>
  <c r="N730" i="11"/>
  <c r="M730" i="11"/>
  <c r="L730" i="11"/>
  <c r="V730" i="11" s="1"/>
  <c r="T729" i="11"/>
  <c r="S729" i="11"/>
  <c r="R729" i="11"/>
  <c r="Q729" i="11"/>
  <c r="P729" i="11"/>
  <c r="O729" i="11"/>
  <c r="N729" i="11"/>
  <c r="M729" i="11"/>
  <c r="L729" i="11"/>
  <c r="V729" i="11" s="1"/>
  <c r="T728" i="11"/>
  <c r="S728" i="11"/>
  <c r="R728" i="11"/>
  <c r="Q728" i="11"/>
  <c r="P728" i="11"/>
  <c r="O728" i="11"/>
  <c r="N728" i="11"/>
  <c r="M728" i="11"/>
  <c r="L728" i="11"/>
  <c r="V728" i="11" s="1"/>
  <c r="T727" i="11"/>
  <c r="S727" i="11"/>
  <c r="R727" i="11"/>
  <c r="Q727" i="11"/>
  <c r="P727" i="11"/>
  <c r="O727" i="11"/>
  <c r="N727" i="11"/>
  <c r="M727" i="11"/>
  <c r="L727" i="11"/>
  <c r="V727" i="11" s="1"/>
  <c r="T726" i="11"/>
  <c r="S726" i="11"/>
  <c r="R726" i="11"/>
  <c r="Q726" i="11"/>
  <c r="P726" i="11"/>
  <c r="O726" i="11"/>
  <c r="N726" i="11"/>
  <c r="M726" i="11"/>
  <c r="L726" i="11"/>
  <c r="V726" i="11" s="1"/>
  <c r="T725" i="11"/>
  <c r="S725" i="11"/>
  <c r="R725" i="11"/>
  <c r="Q725" i="11"/>
  <c r="P725" i="11"/>
  <c r="O725" i="11"/>
  <c r="N725" i="11"/>
  <c r="M725" i="11"/>
  <c r="L725" i="11"/>
  <c r="V725" i="11" s="1"/>
  <c r="T724" i="11"/>
  <c r="S724" i="11"/>
  <c r="R724" i="11"/>
  <c r="Q724" i="11"/>
  <c r="P724" i="11"/>
  <c r="O724" i="11"/>
  <c r="N724" i="11"/>
  <c r="M724" i="11"/>
  <c r="L724" i="11"/>
  <c r="V724" i="11" s="1"/>
  <c r="T723" i="11"/>
  <c r="S723" i="11"/>
  <c r="R723" i="11"/>
  <c r="Q723" i="11"/>
  <c r="P723" i="11"/>
  <c r="O723" i="11"/>
  <c r="N723" i="11"/>
  <c r="M723" i="11"/>
  <c r="L723" i="11"/>
  <c r="V723" i="11" s="1"/>
  <c r="T722" i="11"/>
  <c r="S722" i="11"/>
  <c r="R722" i="11"/>
  <c r="Q722" i="11"/>
  <c r="P722" i="11"/>
  <c r="O722" i="11"/>
  <c r="N722" i="11"/>
  <c r="M722" i="11"/>
  <c r="L722" i="11"/>
  <c r="V722" i="11" s="1"/>
  <c r="T721" i="11"/>
  <c r="S721" i="11"/>
  <c r="R721" i="11"/>
  <c r="Q721" i="11"/>
  <c r="P721" i="11"/>
  <c r="O721" i="11"/>
  <c r="N721" i="11"/>
  <c r="M721" i="11"/>
  <c r="L721" i="11"/>
  <c r="V721" i="11" s="1"/>
  <c r="T720" i="11"/>
  <c r="S720" i="11"/>
  <c r="R720" i="11"/>
  <c r="Q720" i="11"/>
  <c r="P720" i="11"/>
  <c r="O720" i="11"/>
  <c r="N720" i="11"/>
  <c r="M720" i="11"/>
  <c r="L720" i="11"/>
  <c r="V720" i="11" s="1"/>
  <c r="T719" i="11"/>
  <c r="S719" i="11"/>
  <c r="R719" i="11"/>
  <c r="Q719" i="11"/>
  <c r="P719" i="11"/>
  <c r="O719" i="11"/>
  <c r="N719" i="11"/>
  <c r="M719" i="11"/>
  <c r="L719" i="11"/>
  <c r="V719" i="11" s="1"/>
  <c r="T718" i="11"/>
  <c r="S718" i="11"/>
  <c r="R718" i="11"/>
  <c r="Q718" i="11"/>
  <c r="P718" i="11"/>
  <c r="O718" i="11"/>
  <c r="N718" i="11"/>
  <c r="M718" i="11"/>
  <c r="L718" i="11"/>
  <c r="V718" i="11" s="1"/>
  <c r="T717" i="11"/>
  <c r="S717" i="11"/>
  <c r="R717" i="11"/>
  <c r="Q717" i="11"/>
  <c r="P717" i="11"/>
  <c r="O717" i="11"/>
  <c r="N717" i="11"/>
  <c r="M717" i="11"/>
  <c r="L717" i="11"/>
  <c r="V717" i="11" s="1"/>
  <c r="T716" i="11"/>
  <c r="S716" i="11"/>
  <c r="R716" i="11"/>
  <c r="Q716" i="11"/>
  <c r="P716" i="11"/>
  <c r="O716" i="11"/>
  <c r="N716" i="11"/>
  <c r="M716" i="11"/>
  <c r="L716" i="11"/>
  <c r="V716" i="11" s="1"/>
  <c r="T715" i="11"/>
  <c r="S715" i="11"/>
  <c r="R715" i="11"/>
  <c r="Q715" i="11"/>
  <c r="P715" i="11"/>
  <c r="O715" i="11"/>
  <c r="N715" i="11"/>
  <c r="M715" i="11"/>
  <c r="L715" i="11"/>
  <c r="V715" i="11" s="1"/>
  <c r="T714" i="11"/>
  <c r="S714" i="11"/>
  <c r="R714" i="11"/>
  <c r="Q714" i="11"/>
  <c r="P714" i="11"/>
  <c r="O714" i="11"/>
  <c r="N714" i="11"/>
  <c r="M714" i="11"/>
  <c r="L714" i="11"/>
  <c r="V714" i="11" s="1"/>
  <c r="T713" i="11"/>
  <c r="S713" i="11"/>
  <c r="R713" i="11"/>
  <c r="Q713" i="11"/>
  <c r="P713" i="11"/>
  <c r="O713" i="11"/>
  <c r="N713" i="11"/>
  <c r="M713" i="11"/>
  <c r="L713" i="11"/>
  <c r="V713" i="11" s="1"/>
  <c r="T712" i="11"/>
  <c r="S712" i="11"/>
  <c r="R712" i="11"/>
  <c r="Q712" i="11"/>
  <c r="P712" i="11"/>
  <c r="O712" i="11"/>
  <c r="N712" i="11"/>
  <c r="M712" i="11"/>
  <c r="L712" i="11"/>
  <c r="V712" i="11" s="1"/>
  <c r="T711" i="11"/>
  <c r="S711" i="11"/>
  <c r="R711" i="11"/>
  <c r="Q711" i="11"/>
  <c r="P711" i="11"/>
  <c r="O711" i="11"/>
  <c r="N711" i="11"/>
  <c r="M711" i="11"/>
  <c r="L711" i="11"/>
  <c r="V711" i="11" s="1"/>
  <c r="T710" i="11"/>
  <c r="S710" i="11"/>
  <c r="R710" i="11"/>
  <c r="Q710" i="11"/>
  <c r="P710" i="11"/>
  <c r="O710" i="11"/>
  <c r="N710" i="11"/>
  <c r="M710" i="11"/>
  <c r="L710" i="11"/>
  <c r="V710" i="11" s="1"/>
  <c r="T709" i="11"/>
  <c r="S709" i="11"/>
  <c r="R709" i="11"/>
  <c r="Q709" i="11"/>
  <c r="P709" i="11"/>
  <c r="O709" i="11"/>
  <c r="N709" i="11"/>
  <c r="M709" i="11"/>
  <c r="L709" i="11"/>
  <c r="V709" i="11" s="1"/>
  <c r="T708" i="11"/>
  <c r="S708" i="11"/>
  <c r="R708" i="11"/>
  <c r="Q708" i="11"/>
  <c r="P708" i="11"/>
  <c r="O708" i="11"/>
  <c r="N708" i="11"/>
  <c r="M708" i="11"/>
  <c r="L708" i="11"/>
  <c r="V708" i="11" s="1"/>
  <c r="T707" i="11"/>
  <c r="S707" i="11"/>
  <c r="R707" i="11"/>
  <c r="Q707" i="11"/>
  <c r="P707" i="11"/>
  <c r="O707" i="11"/>
  <c r="N707" i="11"/>
  <c r="M707" i="11"/>
  <c r="L707" i="11"/>
  <c r="V707" i="11" s="1"/>
  <c r="T706" i="11"/>
  <c r="S706" i="11"/>
  <c r="R706" i="11"/>
  <c r="Q706" i="11"/>
  <c r="P706" i="11"/>
  <c r="O706" i="11"/>
  <c r="N706" i="11"/>
  <c r="M706" i="11"/>
  <c r="L706" i="11"/>
  <c r="V706" i="11" s="1"/>
  <c r="T705" i="11"/>
  <c r="S705" i="11"/>
  <c r="R705" i="11"/>
  <c r="Q705" i="11"/>
  <c r="P705" i="11"/>
  <c r="O705" i="11"/>
  <c r="N705" i="11"/>
  <c r="M705" i="11"/>
  <c r="L705" i="11"/>
  <c r="V705" i="11" s="1"/>
  <c r="T704" i="11"/>
  <c r="S704" i="11"/>
  <c r="R704" i="11"/>
  <c r="Q704" i="11"/>
  <c r="P704" i="11"/>
  <c r="O704" i="11"/>
  <c r="N704" i="11"/>
  <c r="M704" i="11"/>
  <c r="L704" i="11"/>
  <c r="V704" i="11" s="1"/>
  <c r="T703" i="11"/>
  <c r="S703" i="11"/>
  <c r="R703" i="11"/>
  <c r="Q703" i="11"/>
  <c r="P703" i="11"/>
  <c r="O703" i="11"/>
  <c r="N703" i="11"/>
  <c r="M703" i="11"/>
  <c r="L703" i="11"/>
  <c r="V703" i="11" s="1"/>
  <c r="T702" i="11"/>
  <c r="S702" i="11"/>
  <c r="R702" i="11"/>
  <c r="Q702" i="11"/>
  <c r="P702" i="11"/>
  <c r="O702" i="11"/>
  <c r="N702" i="11"/>
  <c r="M702" i="11"/>
  <c r="L702" i="11"/>
  <c r="V702" i="11" s="1"/>
  <c r="T701" i="11"/>
  <c r="S701" i="11"/>
  <c r="R701" i="11"/>
  <c r="Q701" i="11"/>
  <c r="P701" i="11"/>
  <c r="O701" i="11"/>
  <c r="N701" i="11"/>
  <c r="M701" i="11"/>
  <c r="L701" i="11"/>
  <c r="V701" i="11" s="1"/>
  <c r="T700" i="11"/>
  <c r="S700" i="11"/>
  <c r="R700" i="11"/>
  <c r="Q700" i="11"/>
  <c r="P700" i="11"/>
  <c r="O700" i="11"/>
  <c r="N700" i="11"/>
  <c r="M700" i="11"/>
  <c r="L700" i="11"/>
  <c r="V700" i="11" s="1"/>
  <c r="T699" i="11"/>
  <c r="S699" i="11"/>
  <c r="R699" i="11"/>
  <c r="Q699" i="11"/>
  <c r="P699" i="11"/>
  <c r="O699" i="11"/>
  <c r="N699" i="11"/>
  <c r="M699" i="11"/>
  <c r="L699" i="11"/>
  <c r="V699" i="11" s="1"/>
  <c r="T698" i="11"/>
  <c r="S698" i="11"/>
  <c r="R698" i="11"/>
  <c r="Q698" i="11"/>
  <c r="P698" i="11"/>
  <c r="O698" i="11"/>
  <c r="N698" i="11"/>
  <c r="M698" i="11"/>
  <c r="L698" i="11"/>
  <c r="V698" i="11" s="1"/>
  <c r="T697" i="11"/>
  <c r="S697" i="11"/>
  <c r="R697" i="11"/>
  <c r="Q697" i="11"/>
  <c r="P697" i="11"/>
  <c r="O697" i="11"/>
  <c r="N697" i="11"/>
  <c r="M697" i="11"/>
  <c r="L697" i="11"/>
  <c r="V697" i="11" s="1"/>
  <c r="T696" i="11"/>
  <c r="S696" i="11"/>
  <c r="R696" i="11"/>
  <c r="Q696" i="11"/>
  <c r="P696" i="11"/>
  <c r="O696" i="11"/>
  <c r="N696" i="11"/>
  <c r="M696" i="11"/>
  <c r="L696" i="11"/>
  <c r="V696" i="11" s="1"/>
  <c r="T695" i="11"/>
  <c r="S695" i="11"/>
  <c r="R695" i="11"/>
  <c r="Q695" i="11"/>
  <c r="P695" i="11"/>
  <c r="O695" i="11"/>
  <c r="N695" i="11"/>
  <c r="M695" i="11"/>
  <c r="L695" i="11"/>
  <c r="V695" i="11" s="1"/>
  <c r="T694" i="11"/>
  <c r="S694" i="11"/>
  <c r="R694" i="11"/>
  <c r="Q694" i="11"/>
  <c r="P694" i="11"/>
  <c r="O694" i="11"/>
  <c r="N694" i="11"/>
  <c r="M694" i="11"/>
  <c r="L694" i="11"/>
  <c r="V694" i="11" s="1"/>
  <c r="T693" i="11"/>
  <c r="S693" i="11"/>
  <c r="R693" i="11"/>
  <c r="Q693" i="11"/>
  <c r="P693" i="11"/>
  <c r="O693" i="11"/>
  <c r="N693" i="11"/>
  <c r="M693" i="11"/>
  <c r="L693" i="11"/>
  <c r="V693" i="11" s="1"/>
  <c r="T692" i="11"/>
  <c r="S692" i="11"/>
  <c r="R692" i="11"/>
  <c r="Q692" i="11"/>
  <c r="P692" i="11"/>
  <c r="O692" i="11"/>
  <c r="N692" i="11"/>
  <c r="M692" i="11"/>
  <c r="L692" i="11"/>
  <c r="V692" i="11" s="1"/>
  <c r="T691" i="11"/>
  <c r="S691" i="11"/>
  <c r="R691" i="11"/>
  <c r="Q691" i="11"/>
  <c r="P691" i="11"/>
  <c r="O691" i="11"/>
  <c r="N691" i="11"/>
  <c r="M691" i="11"/>
  <c r="L691" i="11"/>
  <c r="V691" i="11" s="1"/>
  <c r="T690" i="11"/>
  <c r="S690" i="11"/>
  <c r="R690" i="11"/>
  <c r="Q690" i="11"/>
  <c r="P690" i="11"/>
  <c r="O690" i="11"/>
  <c r="N690" i="11"/>
  <c r="M690" i="11"/>
  <c r="L690" i="11"/>
  <c r="V690" i="11" s="1"/>
  <c r="T689" i="11"/>
  <c r="S689" i="11"/>
  <c r="R689" i="11"/>
  <c r="Q689" i="11"/>
  <c r="P689" i="11"/>
  <c r="O689" i="11"/>
  <c r="N689" i="11"/>
  <c r="M689" i="11"/>
  <c r="L689" i="11"/>
  <c r="V689" i="11" s="1"/>
  <c r="T688" i="11"/>
  <c r="S688" i="11"/>
  <c r="R688" i="11"/>
  <c r="Q688" i="11"/>
  <c r="P688" i="11"/>
  <c r="O688" i="11"/>
  <c r="N688" i="11"/>
  <c r="M688" i="11"/>
  <c r="L688" i="11"/>
  <c r="V688" i="11" s="1"/>
  <c r="T687" i="11"/>
  <c r="S687" i="11"/>
  <c r="R687" i="11"/>
  <c r="Q687" i="11"/>
  <c r="P687" i="11"/>
  <c r="O687" i="11"/>
  <c r="N687" i="11"/>
  <c r="M687" i="11"/>
  <c r="L687" i="11"/>
  <c r="V687" i="11" s="1"/>
  <c r="T686" i="11"/>
  <c r="S686" i="11"/>
  <c r="R686" i="11"/>
  <c r="Q686" i="11"/>
  <c r="P686" i="11"/>
  <c r="O686" i="11"/>
  <c r="N686" i="11"/>
  <c r="M686" i="11"/>
  <c r="L686" i="11"/>
  <c r="V686" i="11" s="1"/>
  <c r="T685" i="11"/>
  <c r="S685" i="11"/>
  <c r="R685" i="11"/>
  <c r="Q685" i="11"/>
  <c r="P685" i="11"/>
  <c r="O685" i="11"/>
  <c r="N685" i="11"/>
  <c r="M685" i="11"/>
  <c r="L685" i="11"/>
  <c r="V685" i="11" s="1"/>
  <c r="T684" i="11"/>
  <c r="S684" i="11"/>
  <c r="R684" i="11"/>
  <c r="Q684" i="11"/>
  <c r="P684" i="11"/>
  <c r="O684" i="11"/>
  <c r="N684" i="11"/>
  <c r="M684" i="11"/>
  <c r="L684" i="11"/>
  <c r="V684" i="11" s="1"/>
  <c r="T683" i="11"/>
  <c r="S683" i="11"/>
  <c r="R683" i="11"/>
  <c r="Q683" i="11"/>
  <c r="P683" i="11"/>
  <c r="O683" i="11"/>
  <c r="N683" i="11"/>
  <c r="M683" i="11"/>
  <c r="L683" i="11"/>
  <c r="V683" i="11" s="1"/>
  <c r="T682" i="11"/>
  <c r="S682" i="11"/>
  <c r="R682" i="11"/>
  <c r="Q682" i="11"/>
  <c r="P682" i="11"/>
  <c r="O682" i="11"/>
  <c r="N682" i="11"/>
  <c r="M682" i="11"/>
  <c r="L682" i="11"/>
  <c r="V682" i="11" s="1"/>
  <c r="T681" i="11"/>
  <c r="S681" i="11"/>
  <c r="R681" i="11"/>
  <c r="Q681" i="11"/>
  <c r="P681" i="11"/>
  <c r="O681" i="11"/>
  <c r="N681" i="11"/>
  <c r="M681" i="11"/>
  <c r="L681" i="11"/>
  <c r="V681" i="11" s="1"/>
  <c r="T680" i="11"/>
  <c r="S680" i="11"/>
  <c r="R680" i="11"/>
  <c r="Q680" i="11"/>
  <c r="P680" i="11"/>
  <c r="O680" i="11"/>
  <c r="N680" i="11"/>
  <c r="M680" i="11"/>
  <c r="L680" i="11"/>
  <c r="V680" i="11" s="1"/>
  <c r="T679" i="11"/>
  <c r="S679" i="11"/>
  <c r="R679" i="11"/>
  <c r="Q679" i="11"/>
  <c r="P679" i="11"/>
  <c r="O679" i="11"/>
  <c r="N679" i="11"/>
  <c r="M679" i="11"/>
  <c r="L679" i="11"/>
  <c r="V679" i="11" s="1"/>
  <c r="T678" i="11"/>
  <c r="S678" i="11"/>
  <c r="R678" i="11"/>
  <c r="Q678" i="11"/>
  <c r="P678" i="11"/>
  <c r="O678" i="11"/>
  <c r="N678" i="11"/>
  <c r="M678" i="11"/>
  <c r="L678" i="11"/>
  <c r="V678" i="11" s="1"/>
  <c r="T677" i="11"/>
  <c r="S677" i="11"/>
  <c r="R677" i="11"/>
  <c r="Q677" i="11"/>
  <c r="P677" i="11"/>
  <c r="O677" i="11"/>
  <c r="N677" i="11"/>
  <c r="M677" i="11"/>
  <c r="L677" i="11"/>
  <c r="V677" i="11" s="1"/>
  <c r="T676" i="11"/>
  <c r="S676" i="11"/>
  <c r="R676" i="11"/>
  <c r="Q676" i="11"/>
  <c r="P676" i="11"/>
  <c r="O676" i="11"/>
  <c r="N676" i="11"/>
  <c r="M676" i="11"/>
  <c r="L676" i="11"/>
  <c r="V676" i="11" s="1"/>
  <c r="T675" i="11"/>
  <c r="S675" i="11"/>
  <c r="R675" i="11"/>
  <c r="Q675" i="11"/>
  <c r="P675" i="11"/>
  <c r="O675" i="11"/>
  <c r="N675" i="11"/>
  <c r="M675" i="11"/>
  <c r="L675" i="11"/>
  <c r="V675" i="11" s="1"/>
  <c r="T674" i="11"/>
  <c r="S674" i="11"/>
  <c r="R674" i="11"/>
  <c r="Q674" i="11"/>
  <c r="P674" i="11"/>
  <c r="O674" i="11"/>
  <c r="N674" i="11"/>
  <c r="M674" i="11"/>
  <c r="L674" i="11"/>
  <c r="V674" i="11" s="1"/>
  <c r="T673" i="11"/>
  <c r="S673" i="11"/>
  <c r="R673" i="11"/>
  <c r="Q673" i="11"/>
  <c r="P673" i="11"/>
  <c r="O673" i="11"/>
  <c r="N673" i="11"/>
  <c r="M673" i="11"/>
  <c r="L673" i="11"/>
  <c r="V673" i="11" s="1"/>
  <c r="T672" i="11"/>
  <c r="S672" i="11"/>
  <c r="R672" i="11"/>
  <c r="Q672" i="11"/>
  <c r="P672" i="11"/>
  <c r="O672" i="11"/>
  <c r="N672" i="11"/>
  <c r="M672" i="11"/>
  <c r="L672" i="11"/>
  <c r="V672" i="11" s="1"/>
  <c r="T671" i="11"/>
  <c r="S671" i="11"/>
  <c r="R671" i="11"/>
  <c r="Q671" i="11"/>
  <c r="P671" i="11"/>
  <c r="O671" i="11"/>
  <c r="N671" i="11"/>
  <c r="M671" i="11"/>
  <c r="L671" i="11"/>
  <c r="V671" i="11" s="1"/>
  <c r="T670" i="11"/>
  <c r="S670" i="11"/>
  <c r="R670" i="11"/>
  <c r="Q670" i="11"/>
  <c r="P670" i="11"/>
  <c r="O670" i="11"/>
  <c r="N670" i="11"/>
  <c r="M670" i="11"/>
  <c r="L670" i="11"/>
  <c r="V670" i="11" s="1"/>
  <c r="T669" i="11"/>
  <c r="S669" i="11"/>
  <c r="R669" i="11"/>
  <c r="Q669" i="11"/>
  <c r="P669" i="11"/>
  <c r="O669" i="11"/>
  <c r="N669" i="11"/>
  <c r="M669" i="11"/>
  <c r="L669" i="11"/>
  <c r="V669" i="11" s="1"/>
  <c r="T668" i="11"/>
  <c r="S668" i="11"/>
  <c r="R668" i="11"/>
  <c r="Q668" i="11"/>
  <c r="P668" i="11"/>
  <c r="O668" i="11"/>
  <c r="N668" i="11"/>
  <c r="M668" i="11"/>
  <c r="L668" i="11"/>
  <c r="V668" i="11" s="1"/>
  <c r="T667" i="11"/>
  <c r="S667" i="11"/>
  <c r="R667" i="11"/>
  <c r="Q667" i="11"/>
  <c r="P667" i="11"/>
  <c r="O667" i="11"/>
  <c r="N667" i="11"/>
  <c r="M667" i="11"/>
  <c r="L667" i="11"/>
  <c r="V667" i="11" s="1"/>
  <c r="T666" i="11"/>
  <c r="S666" i="11"/>
  <c r="R666" i="11"/>
  <c r="Q666" i="11"/>
  <c r="P666" i="11"/>
  <c r="O666" i="11"/>
  <c r="N666" i="11"/>
  <c r="M666" i="11"/>
  <c r="L666" i="11"/>
  <c r="V666" i="11" s="1"/>
  <c r="T665" i="11"/>
  <c r="S665" i="11"/>
  <c r="R665" i="11"/>
  <c r="Q665" i="11"/>
  <c r="P665" i="11"/>
  <c r="O665" i="11"/>
  <c r="N665" i="11"/>
  <c r="M665" i="11"/>
  <c r="L665" i="11"/>
  <c r="V665" i="11" s="1"/>
  <c r="T664" i="11"/>
  <c r="S664" i="11"/>
  <c r="R664" i="11"/>
  <c r="Q664" i="11"/>
  <c r="P664" i="11"/>
  <c r="O664" i="11"/>
  <c r="N664" i="11"/>
  <c r="M664" i="11"/>
  <c r="L664" i="11"/>
  <c r="V664" i="11" s="1"/>
  <c r="T663" i="11"/>
  <c r="S663" i="11"/>
  <c r="R663" i="11"/>
  <c r="Q663" i="11"/>
  <c r="P663" i="11"/>
  <c r="O663" i="11"/>
  <c r="N663" i="11"/>
  <c r="M663" i="11"/>
  <c r="L663" i="11"/>
  <c r="V663" i="11" s="1"/>
  <c r="T662" i="11"/>
  <c r="S662" i="11"/>
  <c r="R662" i="11"/>
  <c r="Q662" i="11"/>
  <c r="P662" i="11"/>
  <c r="O662" i="11"/>
  <c r="N662" i="11"/>
  <c r="M662" i="11"/>
  <c r="L662" i="11"/>
  <c r="V662" i="11" s="1"/>
  <c r="T661" i="11"/>
  <c r="S661" i="11"/>
  <c r="R661" i="11"/>
  <c r="Q661" i="11"/>
  <c r="P661" i="11"/>
  <c r="O661" i="11"/>
  <c r="N661" i="11"/>
  <c r="M661" i="11"/>
  <c r="L661" i="11"/>
  <c r="V661" i="11" s="1"/>
  <c r="T660" i="11"/>
  <c r="S660" i="11"/>
  <c r="R660" i="11"/>
  <c r="Q660" i="11"/>
  <c r="P660" i="11"/>
  <c r="O660" i="11"/>
  <c r="N660" i="11"/>
  <c r="M660" i="11"/>
  <c r="L660" i="11"/>
  <c r="V660" i="11" s="1"/>
  <c r="T659" i="11"/>
  <c r="S659" i="11"/>
  <c r="R659" i="11"/>
  <c r="Q659" i="11"/>
  <c r="P659" i="11"/>
  <c r="O659" i="11"/>
  <c r="N659" i="11"/>
  <c r="M659" i="11"/>
  <c r="L659" i="11"/>
  <c r="V659" i="11" s="1"/>
  <c r="T658" i="11"/>
  <c r="S658" i="11"/>
  <c r="R658" i="11"/>
  <c r="Q658" i="11"/>
  <c r="P658" i="11"/>
  <c r="O658" i="11"/>
  <c r="N658" i="11"/>
  <c r="M658" i="11"/>
  <c r="L658" i="11"/>
  <c r="V658" i="11" s="1"/>
  <c r="T657" i="11"/>
  <c r="S657" i="11"/>
  <c r="R657" i="11"/>
  <c r="Q657" i="11"/>
  <c r="P657" i="11"/>
  <c r="O657" i="11"/>
  <c r="N657" i="11"/>
  <c r="M657" i="11"/>
  <c r="L657" i="11"/>
  <c r="V657" i="11" s="1"/>
  <c r="T656" i="11"/>
  <c r="S656" i="11"/>
  <c r="R656" i="11"/>
  <c r="Q656" i="11"/>
  <c r="P656" i="11"/>
  <c r="O656" i="11"/>
  <c r="N656" i="11"/>
  <c r="M656" i="11"/>
  <c r="L656" i="11"/>
  <c r="V656" i="11" s="1"/>
  <c r="T655" i="11"/>
  <c r="S655" i="11"/>
  <c r="R655" i="11"/>
  <c r="Q655" i="11"/>
  <c r="P655" i="11"/>
  <c r="O655" i="11"/>
  <c r="N655" i="11"/>
  <c r="M655" i="11"/>
  <c r="L655" i="11"/>
  <c r="V655" i="11" s="1"/>
  <c r="T654" i="11"/>
  <c r="S654" i="11"/>
  <c r="R654" i="11"/>
  <c r="Q654" i="11"/>
  <c r="P654" i="11"/>
  <c r="O654" i="11"/>
  <c r="N654" i="11"/>
  <c r="M654" i="11"/>
  <c r="L654" i="11"/>
  <c r="V654" i="11" s="1"/>
  <c r="T653" i="11"/>
  <c r="S653" i="11"/>
  <c r="R653" i="11"/>
  <c r="Q653" i="11"/>
  <c r="P653" i="11"/>
  <c r="O653" i="11"/>
  <c r="N653" i="11"/>
  <c r="M653" i="11"/>
  <c r="L653" i="11"/>
  <c r="V653" i="11" s="1"/>
  <c r="T652" i="11"/>
  <c r="S652" i="11"/>
  <c r="R652" i="11"/>
  <c r="Q652" i="11"/>
  <c r="P652" i="11"/>
  <c r="O652" i="11"/>
  <c r="N652" i="11"/>
  <c r="M652" i="11"/>
  <c r="L652" i="11"/>
  <c r="V652" i="11" s="1"/>
  <c r="T651" i="11"/>
  <c r="S651" i="11"/>
  <c r="R651" i="11"/>
  <c r="Q651" i="11"/>
  <c r="P651" i="11"/>
  <c r="O651" i="11"/>
  <c r="N651" i="11"/>
  <c r="M651" i="11"/>
  <c r="L651" i="11"/>
  <c r="V651" i="11" s="1"/>
  <c r="T650" i="11"/>
  <c r="S650" i="11"/>
  <c r="R650" i="11"/>
  <c r="Q650" i="11"/>
  <c r="P650" i="11"/>
  <c r="O650" i="11"/>
  <c r="N650" i="11"/>
  <c r="M650" i="11"/>
  <c r="L650" i="11"/>
  <c r="V650" i="11" s="1"/>
  <c r="T649" i="11"/>
  <c r="S649" i="11"/>
  <c r="R649" i="11"/>
  <c r="Q649" i="11"/>
  <c r="P649" i="11"/>
  <c r="O649" i="11"/>
  <c r="N649" i="11"/>
  <c r="M649" i="11"/>
  <c r="L649" i="11"/>
  <c r="V649" i="11" s="1"/>
  <c r="T648" i="11"/>
  <c r="S648" i="11"/>
  <c r="R648" i="11"/>
  <c r="Q648" i="11"/>
  <c r="P648" i="11"/>
  <c r="O648" i="11"/>
  <c r="N648" i="11"/>
  <c r="M648" i="11"/>
  <c r="L648" i="11"/>
  <c r="V648" i="11" s="1"/>
  <c r="T647" i="11"/>
  <c r="S647" i="11"/>
  <c r="R647" i="11"/>
  <c r="Q647" i="11"/>
  <c r="P647" i="11"/>
  <c r="O647" i="11"/>
  <c r="N647" i="11"/>
  <c r="M647" i="11"/>
  <c r="L647" i="11"/>
  <c r="V647" i="11" s="1"/>
  <c r="T646" i="11"/>
  <c r="S646" i="11"/>
  <c r="R646" i="11"/>
  <c r="Q646" i="11"/>
  <c r="P646" i="11"/>
  <c r="O646" i="11"/>
  <c r="N646" i="11"/>
  <c r="M646" i="11"/>
  <c r="L646" i="11"/>
  <c r="V646" i="11" s="1"/>
  <c r="T645" i="11"/>
  <c r="S645" i="11"/>
  <c r="R645" i="11"/>
  <c r="Q645" i="11"/>
  <c r="P645" i="11"/>
  <c r="O645" i="11"/>
  <c r="N645" i="11"/>
  <c r="M645" i="11"/>
  <c r="L645" i="11"/>
  <c r="V645" i="11" s="1"/>
  <c r="T644" i="11"/>
  <c r="S644" i="11"/>
  <c r="R644" i="11"/>
  <c r="Q644" i="11"/>
  <c r="P644" i="11"/>
  <c r="O644" i="11"/>
  <c r="N644" i="11"/>
  <c r="M644" i="11"/>
  <c r="L644" i="11"/>
  <c r="V644" i="11" s="1"/>
  <c r="T643" i="11"/>
  <c r="S643" i="11"/>
  <c r="R643" i="11"/>
  <c r="Q643" i="11"/>
  <c r="P643" i="11"/>
  <c r="O643" i="11"/>
  <c r="N643" i="11"/>
  <c r="M643" i="11"/>
  <c r="L643" i="11"/>
  <c r="V643" i="11" s="1"/>
  <c r="T642" i="11"/>
  <c r="S642" i="11"/>
  <c r="R642" i="11"/>
  <c r="Q642" i="11"/>
  <c r="P642" i="11"/>
  <c r="O642" i="11"/>
  <c r="N642" i="11"/>
  <c r="M642" i="11"/>
  <c r="L642" i="11"/>
  <c r="V642" i="11" s="1"/>
  <c r="T641" i="11"/>
  <c r="S641" i="11"/>
  <c r="R641" i="11"/>
  <c r="Q641" i="11"/>
  <c r="P641" i="11"/>
  <c r="O641" i="11"/>
  <c r="N641" i="11"/>
  <c r="M641" i="11"/>
  <c r="L641" i="11"/>
  <c r="V641" i="11" s="1"/>
  <c r="T640" i="11"/>
  <c r="S640" i="11"/>
  <c r="R640" i="11"/>
  <c r="Q640" i="11"/>
  <c r="P640" i="11"/>
  <c r="O640" i="11"/>
  <c r="N640" i="11"/>
  <c r="M640" i="11"/>
  <c r="L640" i="11"/>
  <c r="V640" i="11" s="1"/>
  <c r="T639" i="11"/>
  <c r="S639" i="11"/>
  <c r="R639" i="11"/>
  <c r="Q639" i="11"/>
  <c r="P639" i="11"/>
  <c r="O639" i="11"/>
  <c r="N639" i="11"/>
  <c r="M639" i="11"/>
  <c r="L639" i="11"/>
  <c r="V639" i="11" s="1"/>
  <c r="T638" i="11"/>
  <c r="S638" i="11"/>
  <c r="R638" i="11"/>
  <c r="Q638" i="11"/>
  <c r="P638" i="11"/>
  <c r="O638" i="11"/>
  <c r="N638" i="11"/>
  <c r="M638" i="11"/>
  <c r="L638" i="11"/>
  <c r="V638" i="11" s="1"/>
  <c r="T637" i="11"/>
  <c r="S637" i="11"/>
  <c r="R637" i="11"/>
  <c r="Q637" i="11"/>
  <c r="P637" i="11"/>
  <c r="O637" i="11"/>
  <c r="N637" i="11"/>
  <c r="M637" i="11"/>
  <c r="L637" i="11"/>
  <c r="V637" i="11" s="1"/>
  <c r="T636" i="11"/>
  <c r="S636" i="11"/>
  <c r="R636" i="11"/>
  <c r="Q636" i="11"/>
  <c r="P636" i="11"/>
  <c r="O636" i="11"/>
  <c r="N636" i="11"/>
  <c r="M636" i="11"/>
  <c r="L636" i="11"/>
  <c r="V636" i="11" s="1"/>
  <c r="T635" i="11"/>
  <c r="S635" i="11"/>
  <c r="R635" i="11"/>
  <c r="Q635" i="11"/>
  <c r="P635" i="11"/>
  <c r="O635" i="11"/>
  <c r="N635" i="11"/>
  <c r="M635" i="11"/>
  <c r="L635" i="11"/>
  <c r="V635" i="11" s="1"/>
  <c r="T634" i="11"/>
  <c r="S634" i="11"/>
  <c r="R634" i="11"/>
  <c r="Q634" i="11"/>
  <c r="P634" i="11"/>
  <c r="O634" i="11"/>
  <c r="N634" i="11"/>
  <c r="M634" i="11"/>
  <c r="L634" i="11"/>
  <c r="V634" i="11" s="1"/>
  <c r="T633" i="11"/>
  <c r="S633" i="11"/>
  <c r="R633" i="11"/>
  <c r="Q633" i="11"/>
  <c r="P633" i="11"/>
  <c r="O633" i="11"/>
  <c r="N633" i="11"/>
  <c r="M633" i="11"/>
  <c r="L633" i="11"/>
  <c r="V633" i="11" s="1"/>
  <c r="T632" i="11"/>
  <c r="S632" i="11"/>
  <c r="R632" i="11"/>
  <c r="Q632" i="11"/>
  <c r="P632" i="11"/>
  <c r="O632" i="11"/>
  <c r="N632" i="11"/>
  <c r="M632" i="11"/>
  <c r="L632" i="11"/>
  <c r="V632" i="11" s="1"/>
  <c r="T631" i="11"/>
  <c r="S631" i="11"/>
  <c r="R631" i="11"/>
  <c r="Q631" i="11"/>
  <c r="P631" i="11"/>
  <c r="O631" i="11"/>
  <c r="N631" i="11"/>
  <c r="M631" i="11"/>
  <c r="L631" i="11"/>
  <c r="V631" i="11" s="1"/>
  <c r="T630" i="11"/>
  <c r="S630" i="11"/>
  <c r="R630" i="11"/>
  <c r="Q630" i="11"/>
  <c r="P630" i="11"/>
  <c r="O630" i="11"/>
  <c r="N630" i="11"/>
  <c r="M630" i="11"/>
  <c r="L630" i="11"/>
  <c r="V630" i="11" s="1"/>
  <c r="T629" i="11"/>
  <c r="S629" i="11"/>
  <c r="R629" i="11"/>
  <c r="Q629" i="11"/>
  <c r="P629" i="11"/>
  <c r="O629" i="11"/>
  <c r="N629" i="11"/>
  <c r="M629" i="11"/>
  <c r="L629" i="11"/>
  <c r="V629" i="11" s="1"/>
  <c r="T628" i="11"/>
  <c r="S628" i="11"/>
  <c r="R628" i="11"/>
  <c r="Q628" i="11"/>
  <c r="P628" i="11"/>
  <c r="O628" i="11"/>
  <c r="N628" i="11"/>
  <c r="M628" i="11"/>
  <c r="L628" i="11"/>
  <c r="V628" i="11" s="1"/>
  <c r="T627" i="11"/>
  <c r="S627" i="11"/>
  <c r="R627" i="11"/>
  <c r="Q627" i="11"/>
  <c r="P627" i="11"/>
  <c r="O627" i="11"/>
  <c r="N627" i="11"/>
  <c r="M627" i="11"/>
  <c r="L627" i="11"/>
  <c r="V627" i="11" s="1"/>
  <c r="T626" i="11"/>
  <c r="S626" i="11"/>
  <c r="R626" i="11"/>
  <c r="Q626" i="11"/>
  <c r="P626" i="11"/>
  <c r="O626" i="11"/>
  <c r="N626" i="11"/>
  <c r="M626" i="11"/>
  <c r="L626" i="11"/>
  <c r="V626" i="11" s="1"/>
  <c r="T625" i="11"/>
  <c r="S625" i="11"/>
  <c r="R625" i="11"/>
  <c r="Q625" i="11"/>
  <c r="P625" i="11"/>
  <c r="O625" i="11"/>
  <c r="N625" i="11"/>
  <c r="M625" i="11"/>
  <c r="L625" i="11"/>
  <c r="V625" i="11" s="1"/>
  <c r="T624" i="11"/>
  <c r="S624" i="11"/>
  <c r="R624" i="11"/>
  <c r="Q624" i="11"/>
  <c r="P624" i="11"/>
  <c r="O624" i="11"/>
  <c r="N624" i="11"/>
  <c r="M624" i="11"/>
  <c r="L624" i="11"/>
  <c r="V624" i="11" s="1"/>
  <c r="T623" i="11"/>
  <c r="S623" i="11"/>
  <c r="R623" i="11"/>
  <c r="Q623" i="11"/>
  <c r="P623" i="11"/>
  <c r="O623" i="11"/>
  <c r="N623" i="11"/>
  <c r="M623" i="11"/>
  <c r="L623" i="11"/>
  <c r="V623" i="11" s="1"/>
  <c r="T622" i="11"/>
  <c r="S622" i="11"/>
  <c r="R622" i="11"/>
  <c r="Q622" i="11"/>
  <c r="P622" i="11"/>
  <c r="O622" i="11"/>
  <c r="N622" i="11"/>
  <c r="M622" i="11"/>
  <c r="L622" i="11"/>
  <c r="V622" i="11" s="1"/>
  <c r="T621" i="11"/>
  <c r="S621" i="11"/>
  <c r="R621" i="11"/>
  <c r="Q621" i="11"/>
  <c r="P621" i="11"/>
  <c r="O621" i="11"/>
  <c r="N621" i="11"/>
  <c r="M621" i="11"/>
  <c r="L621" i="11"/>
  <c r="V621" i="11" s="1"/>
  <c r="T620" i="11"/>
  <c r="S620" i="11"/>
  <c r="R620" i="11"/>
  <c r="Q620" i="11"/>
  <c r="P620" i="11"/>
  <c r="O620" i="11"/>
  <c r="N620" i="11"/>
  <c r="M620" i="11"/>
  <c r="L620" i="11"/>
  <c r="V620" i="11" s="1"/>
  <c r="T619" i="11"/>
  <c r="S619" i="11"/>
  <c r="R619" i="11"/>
  <c r="Q619" i="11"/>
  <c r="P619" i="11"/>
  <c r="O619" i="11"/>
  <c r="N619" i="11"/>
  <c r="M619" i="11"/>
  <c r="L619" i="11"/>
  <c r="V619" i="11" s="1"/>
  <c r="T618" i="11"/>
  <c r="S618" i="11"/>
  <c r="R618" i="11"/>
  <c r="Q618" i="11"/>
  <c r="P618" i="11"/>
  <c r="O618" i="11"/>
  <c r="N618" i="11"/>
  <c r="M618" i="11"/>
  <c r="L618" i="11"/>
  <c r="V618" i="11" s="1"/>
  <c r="T617" i="11"/>
  <c r="S617" i="11"/>
  <c r="R617" i="11"/>
  <c r="Q617" i="11"/>
  <c r="P617" i="11"/>
  <c r="O617" i="11"/>
  <c r="N617" i="11"/>
  <c r="M617" i="11"/>
  <c r="L617" i="11"/>
  <c r="V617" i="11" s="1"/>
  <c r="T616" i="11"/>
  <c r="S616" i="11"/>
  <c r="R616" i="11"/>
  <c r="Q616" i="11"/>
  <c r="P616" i="11"/>
  <c r="O616" i="11"/>
  <c r="N616" i="11"/>
  <c r="M616" i="11"/>
  <c r="L616" i="11"/>
  <c r="V616" i="11" s="1"/>
  <c r="T615" i="11"/>
  <c r="S615" i="11"/>
  <c r="R615" i="11"/>
  <c r="Q615" i="11"/>
  <c r="P615" i="11"/>
  <c r="O615" i="11"/>
  <c r="N615" i="11"/>
  <c r="M615" i="11"/>
  <c r="L615" i="11"/>
  <c r="V615" i="11" s="1"/>
  <c r="T614" i="11"/>
  <c r="S614" i="11"/>
  <c r="R614" i="11"/>
  <c r="Q614" i="11"/>
  <c r="P614" i="11"/>
  <c r="O614" i="11"/>
  <c r="N614" i="11"/>
  <c r="M614" i="11"/>
  <c r="L614" i="11"/>
  <c r="V614" i="11" s="1"/>
  <c r="T613" i="11"/>
  <c r="S613" i="11"/>
  <c r="R613" i="11"/>
  <c r="Q613" i="11"/>
  <c r="P613" i="11"/>
  <c r="O613" i="11"/>
  <c r="N613" i="11"/>
  <c r="M613" i="11"/>
  <c r="L613" i="11"/>
  <c r="V613" i="11" s="1"/>
  <c r="T612" i="11"/>
  <c r="S612" i="11"/>
  <c r="R612" i="11"/>
  <c r="Q612" i="11"/>
  <c r="P612" i="11"/>
  <c r="O612" i="11"/>
  <c r="N612" i="11"/>
  <c r="M612" i="11"/>
  <c r="L612" i="11"/>
  <c r="V612" i="11" s="1"/>
  <c r="T611" i="11"/>
  <c r="S611" i="11"/>
  <c r="R611" i="11"/>
  <c r="Q611" i="11"/>
  <c r="P611" i="11"/>
  <c r="O611" i="11"/>
  <c r="N611" i="11"/>
  <c r="M611" i="11"/>
  <c r="L611" i="11"/>
  <c r="V611" i="11" s="1"/>
  <c r="T610" i="11"/>
  <c r="S610" i="11"/>
  <c r="R610" i="11"/>
  <c r="Q610" i="11"/>
  <c r="P610" i="11"/>
  <c r="O610" i="11"/>
  <c r="N610" i="11"/>
  <c r="M610" i="11"/>
  <c r="L610" i="11"/>
  <c r="V610" i="11" s="1"/>
  <c r="T609" i="11"/>
  <c r="S609" i="11"/>
  <c r="R609" i="11"/>
  <c r="Q609" i="11"/>
  <c r="P609" i="11"/>
  <c r="O609" i="11"/>
  <c r="N609" i="11"/>
  <c r="M609" i="11"/>
  <c r="L609" i="11"/>
  <c r="V609" i="11" s="1"/>
  <c r="T608" i="11"/>
  <c r="S608" i="11"/>
  <c r="R608" i="11"/>
  <c r="Q608" i="11"/>
  <c r="P608" i="11"/>
  <c r="O608" i="11"/>
  <c r="N608" i="11"/>
  <c r="M608" i="11"/>
  <c r="L608" i="11"/>
  <c r="V608" i="11" s="1"/>
  <c r="T607" i="11"/>
  <c r="S607" i="11"/>
  <c r="R607" i="11"/>
  <c r="Q607" i="11"/>
  <c r="P607" i="11"/>
  <c r="O607" i="11"/>
  <c r="N607" i="11"/>
  <c r="M607" i="11"/>
  <c r="L607" i="11"/>
  <c r="V607" i="11" s="1"/>
  <c r="T606" i="11"/>
  <c r="S606" i="11"/>
  <c r="R606" i="11"/>
  <c r="Q606" i="11"/>
  <c r="P606" i="11"/>
  <c r="O606" i="11"/>
  <c r="N606" i="11"/>
  <c r="M606" i="11"/>
  <c r="L606" i="11"/>
  <c r="V606" i="11" s="1"/>
  <c r="T605" i="11"/>
  <c r="S605" i="11"/>
  <c r="R605" i="11"/>
  <c r="Q605" i="11"/>
  <c r="P605" i="11"/>
  <c r="O605" i="11"/>
  <c r="N605" i="11"/>
  <c r="M605" i="11"/>
  <c r="L605" i="11"/>
  <c r="V605" i="11" s="1"/>
  <c r="T604" i="11"/>
  <c r="S604" i="11"/>
  <c r="R604" i="11"/>
  <c r="Q604" i="11"/>
  <c r="P604" i="11"/>
  <c r="O604" i="11"/>
  <c r="N604" i="11"/>
  <c r="M604" i="11"/>
  <c r="L604" i="11"/>
  <c r="V604" i="11" s="1"/>
  <c r="T603" i="11"/>
  <c r="S603" i="11"/>
  <c r="R603" i="11"/>
  <c r="Q603" i="11"/>
  <c r="P603" i="11"/>
  <c r="O603" i="11"/>
  <c r="N603" i="11"/>
  <c r="M603" i="11"/>
  <c r="L603" i="11"/>
  <c r="V603" i="11" s="1"/>
  <c r="T602" i="11"/>
  <c r="S602" i="11"/>
  <c r="R602" i="11"/>
  <c r="Q602" i="11"/>
  <c r="P602" i="11"/>
  <c r="O602" i="11"/>
  <c r="N602" i="11"/>
  <c r="M602" i="11"/>
  <c r="L602" i="11"/>
  <c r="V602" i="11" s="1"/>
  <c r="T601" i="11"/>
  <c r="S601" i="11"/>
  <c r="R601" i="11"/>
  <c r="Q601" i="11"/>
  <c r="P601" i="11"/>
  <c r="O601" i="11"/>
  <c r="N601" i="11"/>
  <c r="M601" i="11"/>
  <c r="L601" i="11"/>
  <c r="V601" i="11" s="1"/>
  <c r="T600" i="11"/>
  <c r="S600" i="11"/>
  <c r="R600" i="11"/>
  <c r="Q600" i="11"/>
  <c r="P600" i="11"/>
  <c r="O600" i="11"/>
  <c r="N600" i="11"/>
  <c r="M600" i="11"/>
  <c r="L600" i="11"/>
  <c r="V600" i="11" s="1"/>
  <c r="T599" i="11"/>
  <c r="S599" i="11"/>
  <c r="R599" i="11"/>
  <c r="Q599" i="11"/>
  <c r="P599" i="11"/>
  <c r="O599" i="11"/>
  <c r="N599" i="11"/>
  <c r="M599" i="11"/>
  <c r="L599" i="11"/>
  <c r="V599" i="11" s="1"/>
  <c r="T598" i="11"/>
  <c r="S598" i="11"/>
  <c r="R598" i="11"/>
  <c r="Q598" i="11"/>
  <c r="P598" i="11"/>
  <c r="O598" i="11"/>
  <c r="N598" i="11"/>
  <c r="M598" i="11"/>
  <c r="L598" i="11"/>
  <c r="V598" i="11" s="1"/>
  <c r="T597" i="11"/>
  <c r="S597" i="11"/>
  <c r="R597" i="11"/>
  <c r="Q597" i="11"/>
  <c r="P597" i="11"/>
  <c r="O597" i="11"/>
  <c r="N597" i="11"/>
  <c r="M597" i="11"/>
  <c r="L597" i="11"/>
  <c r="V597" i="11" s="1"/>
  <c r="T596" i="11"/>
  <c r="S596" i="11"/>
  <c r="R596" i="11"/>
  <c r="Q596" i="11"/>
  <c r="P596" i="11"/>
  <c r="O596" i="11"/>
  <c r="N596" i="11"/>
  <c r="M596" i="11"/>
  <c r="L596" i="11"/>
  <c r="V596" i="11" s="1"/>
  <c r="T595" i="11"/>
  <c r="S595" i="11"/>
  <c r="R595" i="11"/>
  <c r="Q595" i="11"/>
  <c r="P595" i="11"/>
  <c r="O595" i="11"/>
  <c r="N595" i="11"/>
  <c r="M595" i="11"/>
  <c r="L595" i="11"/>
  <c r="V595" i="11" s="1"/>
  <c r="T594" i="11"/>
  <c r="S594" i="11"/>
  <c r="R594" i="11"/>
  <c r="Q594" i="11"/>
  <c r="P594" i="11"/>
  <c r="O594" i="11"/>
  <c r="N594" i="11"/>
  <c r="M594" i="11"/>
  <c r="L594" i="11"/>
  <c r="V594" i="11" s="1"/>
  <c r="T593" i="11"/>
  <c r="S593" i="11"/>
  <c r="R593" i="11"/>
  <c r="Q593" i="11"/>
  <c r="P593" i="11"/>
  <c r="O593" i="11"/>
  <c r="N593" i="11"/>
  <c r="M593" i="11"/>
  <c r="L593" i="11"/>
  <c r="V593" i="11" s="1"/>
  <c r="T592" i="11"/>
  <c r="S592" i="11"/>
  <c r="R592" i="11"/>
  <c r="Q592" i="11"/>
  <c r="P592" i="11"/>
  <c r="O592" i="11"/>
  <c r="N592" i="11"/>
  <c r="M592" i="11"/>
  <c r="L592" i="11"/>
  <c r="V592" i="11" s="1"/>
  <c r="T591" i="11"/>
  <c r="S591" i="11"/>
  <c r="R591" i="11"/>
  <c r="Q591" i="11"/>
  <c r="P591" i="11"/>
  <c r="O591" i="11"/>
  <c r="N591" i="11"/>
  <c r="M591" i="11"/>
  <c r="L591" i="11"/>
  <c r="V591" i="11" s="1"/>
  <c r="T590" i="11"/>
  <c r="S590" i="11"/>
  <c r="R590" i="11"/>
  <c r="Q590" i="11"/>
  <c r="P590" i="11"/>
  <c r="O590" i="11"/>
  <c r="N590" i="11"/>
  <c r="M590" i="11"/>
  <c r="L590" i="11"/>
  <c r="V590" i="11" s="1"/>
  <c r="T589" i="11"/>
  <c r="S589" i="11"/>
  <c r="R589" i="11"/>
  <c r="Q589" i="11"/>
  <c r="P589" i="11"/>
  <c r="O589" i="11"/>
  <c r="N589" i="11"/>
  <c r="M589" i="11"/>
  <c r="L589" i="11"/>
  <c r="V589" i="11" s="1"/>
  <c r="T588" i="11"/>
  <c r="S588" i="11"/>
  <c r="R588" i="11"/>
  <c r="Q588" i="11"/>
  <c r="P588" i="11"/>
  <c r="O588" i="11"/>
  <c r="N588" i="11"/>
  <c r="M588" i="11"/>
  <c r="L588" i="11"/>
  <c r="V588" i="11" s="1"/>
  <c r="T587" i="11"/>
  <c r="S587" i="11"/>
  <c r="R587" i="11"/>
  <c r="Q587" i="11"/>
  <c r="P587" i="11"/>
  <c r="O587" i="11"/>
  <c r="N587" i="11"/>
  <c r="M587" i="11"/>
  <c r="L587" i="11"/>
  <c r="V587" i="11" s="1"/>
  <c r="T586" i="11"/>
  <c r="S586" i="11"/>
  <c r="R586" i="11"/>
  <c r="Q586" i="11"/>
  <c r="P586" i="11"/>
  <c r="O586" i="11"/>
  <c r="N586" i="11"/>
  <c r="M586" i="11"/>
  <c r="L586" i="11"/>
  <c r="V586" i="11" s="1"/>
  <c r="T585" i="11"/>
  <c r="S585" i="11"/>
  <c r="R585" i="11"/>
  <c r="Q585" i="11"/>
  <c r="P585" i="11"/>
  <c r="O585" i="11"/>
  <c r="N585" i="11"/>
  <c r="M585" i="11"/>
  <c r="L585" i="11"/>
  <c r="V585" i="11" s="1"/>
  <c r="T584" i="11"/>
  <c r="S584" i="11"/>
  <c r="R584" i="11"/>
  <c r="Q584" i="11"/>
  <c r="P584" i="11"/>
  <c r="O584" i="11"/>
  <c r="N584" i="11"/>
  <c r="M584" i="11"/>
  <c r="L584" i="11"/>
  <c r="V584" i="11" s="1"/>
  <c r="T583" i="11"/>
  <c r="S583" i="11"/>
  <c r="R583" i="11"/>
  <c r="Q583" i="11"/>
  <c r="P583" i="11"/>
  <c r="O583" i="11"/>
  <c r="N583" i="11"/>
  <c r="M583" i="11"/>
  <c r="L583" i="11"/>
  <c r="V583" i="11" s="1"/>
  <c r="T582" i="11"/>
  <c r="S582" i="11"/>
  <c r="R582" i="11"/>
  <c r="Q582" i="11"/>
  <c r="P582" i="11"/>
  <c r="O582" i="11"/>
  <c r="N582" i="11"/>
  <c r="M582" i="11"/>
  <c r="L582" i="11"/>
  <c r="V582" i="11" s="1"/>
  <c r="T581" i="11"/>
  <c r="S581" i="11"/>
  <c r="R581" i="11"/>
  <c r="Q581" i="11"/>
  <c r="P581" i="11"/>
  <c r="O581" i="11"/>
  <c r="N581" i="11"/>
  <c r="M581" i="11"/>
  <c r="L581" i="11"/>
  <c r="V581" i="11" s="1"/>
  <c r="T580" i="11"/>
  <c r="S580" i="11"/>
  <c r="R580" i="11"/>
  <c r="Q580" i="11"/>
  <c r="P580" i="11"/>
  <c r="O580" i="11"/>
  <c r="N580" i="11"/>
  <c r="M580" i="11"/>
  <c r="L580" i="11"/>
  <c r="V580" i="11" s="1"/>
  <c r="T579" i="11"/>
  <c r="S579" i="11"/>
  <c r="R579" i="11"/>
  <c r="Q579" i="11"/>
  <c r="P579" i="11"/>
  <c r="O579" i="11"/>
  <c r="N579" i="11"/>
  <c r="M579" i="11"/>
  <c r="L579" i="11"/>
  <c r="V579" i="11" s="1"/>
  <c r="T578" i="11"/>
  <c r="S578" i="11"/>
  <c r="R578" i="11"/>
  <c r="Q578" i="11"/>
  <c r="P578" i="11"/>
  <c r="O578" i="11"/>
  <c r="N578" i="11"/>
  <c r="M578" i="11"/>
  <c r="L578" i="11"/>
  <c r="V578" i="11" s="1"/>
  <c r="T577" i="11"/>
  <c r="S577" i="11"/>
  <c r="R577" i="11"/>
  <c r="Q577" i="11"/>
  <c r="P577" i="11"/>
  <c r="O577" i="11"/>
  <c r="N577" i="11"/>
  <c r="M577" i="11"/>
  <c r="L577" i="11"/>
  <c r="V577" i="11" s="1"/>
  <c r="T576" i="11"/>
  <c r="S576" i="11"/>
  <c r="R576" i="11"/>
  <c r="Q576" i="11"/>
  <c r="P576" i="11"/>
  <c r="O576" i="11"/>
  <c r="N576" i="11"/>
  <c r="M576" i="11"/>
  <c r="L576" i="11"/>
  <c r="V576" i="11" s="1"/>
  <c r="T575" i="11"/>
  <c r="S575" i="11"/>
  <c r="R575" i="11"/>
  <c r="Q575" i="11"/>
  <c r="P575" i="11"/>
  <c r="O575" i="11"/>
  <c r="N575" i="11"/>
  <c r="M575" i="11"/>
  <c r="L575" i="11"/>
  <c r="V575" i="11" s="1"/>
  <c r="T574" i="11"/>
  <c r="S574" i="11"/>
  <c r="R574" i="11"/>
  <c r="Q574" i="11"/>
  <c r="P574" i="11"/>
  <c r="O574" i="11"/>
  <c r="N574" i="11"/>
  <c r="M574" i="11"/>
  <c r="L574" i="11"/>
  <c r="V574" i="11" s="1"/>
  <c r="T573" i="11"/>
  <c r="S573" i="11"/>
  <c r="R573" i="11"/>
  <c r="Q573" i="11"/>
  <c r="P573" i="11"/>
  <c r="O573" i="11"/>
  <c r="N573" i="11"/>
  <c r="M573" i="11"/>
  <c r="L573" i="11"/>
  <c r="V573" i="11" s="1"/>
  <c r="T572" i="11"/>
  <c r="S572" i="11"/>
  <c r="R572" i="11"/>
  <c r="Q572" i="11"/>
  <c r="P572" i="11"/>
  <c r="O572" i="11"/>
  <c r="N572" i="11"/>
  <c r="M572" i="11"/>
  <c r="L572" i="11"/>
  <c r="V572" i="11" s="1"/>
  <c r="T571" i="11"/>
  <c r="S571" i="11"/>
  <c r="R571" i="11"/>
  <c r="Q571" i="11"/>
  <c r="P571" i="11"/>
  <c r="O571" i="11"/>
  <c r="N571" i="11"/>
  <c r="M571" i="11"/>
  <c r="L571" i="11"/>
  <c r="V571" i="11" s="1"/>
  <c r="T570" i="11"/>
  <c r="S570" i="11"/>
  <c r="R570" i="11"/>
  <c r="Q570" i="11"/>
  <c r="P570" i="11"/>
  <c r="O570" i="11"/>
  <c r="N570" i="11"/>
  <c r="M570" i="11"/>
  <c r="L570" i="11"/>
  <c r="V570" i="11" s="1"/>
  <c r="T569" i="11"/>
  <c r="S569" i="11"/>
  <c r="R569" i="11"/>
  <c r="Q569" i="11"/>
  <c r="P569" i="11"/>
  <c r="O569" i="11"/>
  <c r="N569" i="11"/>
  <c r="M569" i="11"/>
  <c r="L569" i="11"/>
  <c r="V569" i="11" s="1"/>
  <c r="T568" i="11"/>
  <c r="S568" i="11"/>
  <c r="R568" i="11"/>
  <c r="Q568" i="11"/>
  <c r="P568" i="11"/>
  <c r="O568" i="11"/>
  <c r="N568" i="11"/>
  <c r="M568" i="11"/>
  <c r="L568" i="11"/>
  <c r="V568" i="11" s="1"/>
  <c r="T567" i="11"/>
  <c r="S567" i="11"/>
  <c r="R567" i="11"/>
  <c r="Q567" i="11"/>
  <c r="P567" i="11"/>
  <c r="O567" i="11"/>
  <c r="N567" i="11"/>
  <c r="M567" i="11"/>
  <c r="L567" i="11"/>
  <c r="V567" i="11" s="1"/>
  <c r="T566" i="11"/>
  <c r="S566" i="11"/>
  <c r="R566" i="11"/>
  <c r="Q566" i="11"/>
  <c r="P566" i="11"/>
  <c r="O566" i="11"/>
  <c r="N566" i="11"/>
  <c r="M566" i="11"/>
  <c r="L566" i="11"/>
  <c r="V566" i="11" s="1"/>
  <c r="T565" i="11"/>
  <c r="S565" i="11"/>
  <c r="R565" i="11"/>
  <c r="Q565" i="11"/>
  <c r="P565" i="11"/>
  <c r="O565" i="11"/>
  <c r="N565" i="11"/>
  <c r="M565" i="11"/>
  <c r="L565" i="11"/>
  <c r="V565" i="11" s="1"/>
  <c r="T564" i="11"/>
  <c r="S564" i="11"/>
  <c r="R564" i="11"/>
  <c r="Q564" i="11"/>
  <c r="P564" i="11"/>
  <c r="O564" i="11"/>
  <c r="N564" i="11"/>
  <c r="M564" i="11"/>
  <c r="L564" i="11"/>
  <c r="V564" i="11" s="1"/>
  <c r="T563" i="11"/>
  <c r="S563" i="11"/>
  <c r="R563" i="11"/>
  <c r="Q563" i="11"/>
  <c r="P563" i="11"/>
  <c r="O563" i="11"/>
  <c r="N563" i="11"/>
  <c r="M563" i="11"/>
  <c r="L563" i="11"/>
  <c r="V563" i="11" s="1"/>
  <c r="T562" i="11"/>
  <c r="S562" i="11"/>
  <c r="R562" i="11"/>
  <c r="Q562" i="11"/>
  <c r="P562" i="11"/>
  <c r="O562" i="11"/>
  <c r="N562" i="11"/>
  <c r="M562" i="11"/>
  <c r="L562" i="11"/>
  <c r="V562" i="11" s="1"/>
  <c r="T561" i="11"/>
  <c r="S561" i="11"/>
  <c r="R561" i="11"/>
  <c r="Q561" i="11"/>
  <c r="P561" i="11"/>
  <c r="O561" i="11"/>
  <c r="N561" i="11"/>
  <c r="M561" i="11"/>
  <c r="L561" i="11"/>
  <c r="V561" i="11" s="1"/>
  <c r="T560" i="11"/>
  <c r="S560" i="11"/>
  <c r="R560" i="11"/>
  <c r="Q560" i="11"/>
  <c r="P560" i="11"/>
  <c r="O560" i="11"/>
  <c r="N560" i="11"/>
  <c r="M560" i="11"/>
  <c r="L560" i="11"/>
  <c r="V560" i="11" s="1"/>
  <c r="T559" i="11"/>
  <c r="S559" i="11"/>
  <c r="R559" i="11"/>
  <c r="Q559" i="11"/>
  <c r="P559" i="11"/>
  <c r="O559" i="11"/>
  <c r="N559" i="11"/>
  <c r="M559" i="11"/>
  <c r="L559" i="11"/>
  <c r="V559" i="11" s="1"/>
  <c r="T558" i="11"/>
  <c r="S558" i="11"/>
  <c r="R558" i="11"/>
  <c r="Q558" i="11"/>
  <c r="P558" i="11"/>
  <c r="O558" i="11"/>
  <c r="N558" i="11"/>
  <c r="M558" i="11"/>
  <c r="L558" i="11"/>
  <c r="V558" i="11" s="1"/>
  <c r="T557" i="11"/>
  <c r="S557" i="11"/>
  <c r="R557" i="11"/>
  <c r="Q557" i="11"/>
  <c r="P557" i="11"/>
  <c r="O557" i="11"/>
  <c r="N557" i="11"/>
  <c r="M557" i="11"/>
  <c r="L557" i="11"/>
  <c r="V557" i="11" s="1"/>
  <c r="T556" i="11"/>
  <c r="S556" i="11"/>
  <c r="R556" i="11"/>
  <c r="Q556" i="11"/>
  <c r="P556" i="11"/>
  <c r="O556" i="11"/>
  <c r="N556" i="11"/>
  <c r="M556" i="11"/>
  <c r="L556" i="11"/>
  <c r="V556" i="11" s="1"/>
  <c r="T555" i="11"/>
  <c r="S555" i="11"/>
  <c r="R555" i="11"/>
  <c r="Q555" i="11"/>
  <c r="P555" i="11"/>
  <c r="O555" i="11"/>
  <c r="N555" i="11"/>
  <c r="M555" i="11"/>
  <c r="L555" i="11"/>
  <c r="V555" i="11" s="1"/>
  <c r="T554" i="11"/>
  <c r="S554" i="11"/>
  <c r="R554" i="11"/>
  <c r="Q554" i="11"/>
  <c r="P554" i="11"/>
  <c r="O554" i="11"/>
  <c r="N554" i="11"/>
  <c r="M554" i="11"/>
  <c r="L554" i="11"/>
  <c r="V554" i="11" s="1"/>
  <c r="T553" i="11"/>
  <c r="S553" i="11"/>
  <c r="R553" i="11"/>
  <c r="Q553" i="11"/>
  <c r="P553" i="11"/>
  <c r="O553" i="11"/>
  <c r="N553" i="11"/>
  <c r="M553" i="11"/>
  <c r="L553" i="11"/>
  <c r="V553" i="11" s="1"/>
  <c r="T552" i="11"/>
  <c r="S552" i="11"/>
  <c r="R552" i="11"/>
  <c r="Q552" i="11"/>
  <c r="P552" i="11"/>
  <c r="O552" i="11"/>
  <c r="N552" i="11"/>
  <c r="M552" i="11"/>
  <c r="L552" i="11"/>
  <c r="V552" i="11" s="1"/>
  <c r="T551" i="11"/>
  <c r="S551" i="11"/>
  <c r="R551" i="11"/>
  <c r="Q551" i="11"/>
  <c r="P551" i="11"/>
  <c r="O551" i="11"/>
  <c r="N551" i="11"/>
  <c r="M551" i="11"/>
  <c r="L551" i="11"/>
  <c r="V551" i="11" s="1"/>
  <c r="T550" i="11"/>
  <c r="S550" i="11"/>
  <c r="R550" i="11"/>
  <c r="Q550" i="11"/>
  <c r="P550" i="11"/>
  <c r="O550" i="11"/>
  <c r="N550" i="11"/>
  <c r="M550" i="11"/>
  <c r="L550" i="11"/>
  <c r="V550" i="11" s="1"/>
  <c r="T549" i="11"/>
  <c r="S549" i="11"/>
  <c r="R549" i="11"/>
  <c r="Q549" i="11"/>
  <c r="P549" i="11"/>
  <c r="O549" i="11"/>
  <c r="N549" i="11"/>
  <c r="M549" i="11"/>
  <c r="L549" i="11"/>
  <c r="V549" i="11" s="1"/>
  <c r="T548" i="11"/>
  <c r="S548" i="11"/>
  <c r="R548" i="11"/>
  <c r="Q548" i="11"/>
  <c r="P548" i="11"/>
  <c r="O548" i="11"/>
  <c r="N548" i="11"/>
  <c r="M548" i="11"/>
  <c r="L548" i="11"/>
  <c r="V548" i="11" s="1"/>
  <c r="T547" i="11"/>
  <c r="S547" i="11"/>
  <c r="R547" i="11"/>
  <c r="Q547" i="11"/>
  <c r="P547" i="11"/>
  <c r="O547" i="11"/>
  <c r="N547" i="11"/>
  <c r="M547" i="11"/>
  <c r="L547" i="11"/>
  <c r="V547" i="11" s="1"/>
  <c r="T546" i="11"/>
  <c r="S546" i="11"/>
  <c r="R546" i="11"/>
  <c r="Q546" i="11"/>
  <c r="P546" i="11"/>
  <c r="O546" i="11"/>
  <c r="N546" i="11"/>
  <c r="M546" i="11"/>
  <c r="L546" i="11"/>
  <c r="V546" i="11" s="1"/>
  <c r="T545" i="11"/>
  <c r="S545" i="11"/>
  <c r="R545" i="11"/>
  <c r="Q545" i="11"/>
  <c r="P545" i="11"/>
  <c r="O545" i="11"/>
  <c r="N545" i="11"/>
  <c r="M545" i="11"/>
  <c r="L545" i="11"/>
  <c r="V545" i="11" s="1"/>
  <c r="T544" i="11"/>
  <c r="S544" i="11"/>
  <c r="R544" i="11"/>
  <c r="Q544" i="11"/>
  <c r="P544" i="11"/>
  <c r="O544" i="11"/>
  <c r="N544" i="11"/>
  <c r="M544" i="11"/>
  <c r="L544" i="11"/>
  <c r="V544" i="11" s="1"/>
  <c r="T543" i="11"/>
  <c r="S543" i="11"/>
  <c r="R543" i="11"/>
  <c r="Q543" i="11"/>
  <c r="P543" i="11"/>
  <c r="O543" i="11"/>
  <c r="N543" i="11"/>
  <c r="M543" i="11"/>
  <c r="L543" i="11"/>
  <c r="V543" i="11" s="1"/>
  <c r="T542" i="11"/>
  <c r="S542" i="11"/>
  <c r="R542" i="11"/>
  <c r="Q542" i="11"/>
  <c r="P542" i="11"/>
  <c r="O542" i="11"/>
  <c r="N542" i="11"/>
  <c r="M542" i="11"/>
  <c r="L542" i="11"/>
  <c r="V542" i="11" s="1"/>
  <c r="T541" i="11"/>
  <c r="S541" i="11"/>
  <c r="R541" i="11"/>
  <c r="Q541" i="11"/>
  <c r="P541" i="11"/>
  <c r="O541" i="11"/>
  <c r="N541" i="11"/>
  <c r="M541" i="11"/>
  <c r="L541" i="11"/>
  <c r="V541" i="11" s="1"/>
  <c r="T540" i="11"/>
  <c r="S540" i="11"/>
  <c r="R540" i="11"/>
  <c r="Q540" i="11"/>
  <c r="P540" i="11"/>
  <c r="O540" i="11"/>
  <c r="N540" i="11"/>
  <c r="M540" i="11"/>
  <c r="L540" i="11"/>
  <c r="V540" i="11" s="1"/>
  <c r="T539" i="11"/>
  <c r="S539" i="11"/>
  <c r="R539" i="11"/>
  <c r="Q539" i="11"/>
  <c r="P539" i="11"/>
  <c r="O539" i="11"/>
  <c r="N539" i="11"/>
  <c r="M539" i="11"/>
  <c r="L539" i="11"/>
  <c r="V539" i="11" s="1"/>
  <c r="T538" i="11"/>
  <c r="S538" i="11"/>
  <c r="R538" i="11"/>
  <c r="Q538" i="11"/>
  <c r="P538" i="11"/>
  <c r="O538" i="11"/>
  <c r="N538" i="11"/>
  <c r="M538" i="11"/>
  <c r="L538" i="11"/>
  <c r="V538" i="11" s="1"/>
  <c r="T537" i="11"/>
  <c r="S537" i="11"/>
  <c r="R537" i="11"/>
  <c r="Q537" i="11"/>
  <c r="P537" i="11"/>
  <c r="O537" i="11"/>
  <c r="N537" i="11"/>
  <c r="M537" i="11"/>
  <c r="L537" i="11"/>
  <c r="V537" i="11" s="1"/>
  <c r="T536" i="11"/>
  <c r="S536" i="11"/>
  <c r="R536" i="11"/>
  <c r="Q536" i="11"/>
  <c r="P536" i="11"/>
  <c r="O536" i="11"/>
  <c r="N536" i="11"/>
  <c r="M536" i="11"/>
  <c r="L536" i="11"/>
  <c r="V536" i="11" s="1"/>
  <c r="T535" i="11"/>
  <c r="S535" i="11"/>
  <c r="R535" i="11"/>
  <c r="Q535" i="11"/>
  <c r="P535" i="11"/>
  <c r="O535" i="11"/>
  <c r="N535" i="11"/>
  <c r="M535" i="11"/>
  <c r="L535" i="11"/>
  <c r="V535" i="11" s="1"/>
  <c r="T534" i="11"/>
  <c r="S534" i="11"/>
  <c r="R534" i="11"/>
  <c r="Q534" i="11"/>
  <c r="P534" i="11"/>
  <c r="O534" i="11"/>
  <c r="N534" i="11"/>
  <c r="M534" i="11"/>
  <c r="L534" i="11"/>
  <c r="V534" i="11" s="1"/>
  <c r="T533" i="11"/>
  <c r="S533" i="11"/>
  <c r="R533" i="11"/>
  <c r="Q533" i="11"/>
  <c r="P533" i="11"/>
  <c r="O533" i="11"/>
  <c r="N533" i="11"/>
  <c r="M533" i="11"/>
  <c r="L533" i="11"/>
  <c r="V533" i="11" s="1"/>
  <c r="T532" i="11"/>
  <c r="S532" i="11"/>
  <c r="R532" i="11"/>
  <c r="Q532" i="11"/>
  <c r="P532" i="11"/>
  <c r="O532" i="11"/>
  <c r="N532" i="11"/>
  <c r="M532" i="11"/>
  <c r="L532" i="11"/>
  <c r="V532" i="11" s="1"/>
  <c r="T531" i="11"/>
  <c r="S531" i="11"/>
  <c r="R531" i="11"/>
  <c r="Q531" i="11"/>
  <c r="P531" i="11"/>
  <c r="O531" i="11"/>
  <c r="N531" i="11"/>
  <c r="M531" i="11"/>
  <c r="L531" i="11"/>
  <c r="V531" i="11" s="1"/>
  <c r="T530" i="11"/>
  <c r="S530" i="11"/>
  <c r="R530" i="11"/>
  <c r="Q530" i="11"/>
  <c r="P530" i="11"/>
  <c r="O530" i="11"/>
  <c r="N530" i="11"/>
  <c r="M530" i="11"/>
  <c r="L530" i="11"/>
  <c r="V530" i="11" s="1"/>
  <c r="T529" i="11"/>
  <c r="S529" i="11"/>
  <c r="R529" i="11"/>
  <c r="Q529" i="11"/>
  <c r="P529" i="11"/>
  <c r="O529" i="11"/>
  <c r="N529" i="11"/>
  <c r="M529" i="11"/>
  <c r="L529" i="11"/>
  <c r="V529" i="11" s="1"/>
  <c r="T528" i="11"/>
  <c r="S528" i="11"/>
  <c r="R528" i="11"/>
  <c r="Q528" i="11"/>
  <c r="P528" i="11"/>
  <c r="O528" i="11"/>
  <c r="N528" i="11"/>
  <c r="M528" i="11"/>
  <c r="L528" i="11"/>
  <c r="V528" i="11" s="1"/>
  <c r="T527" i="11"/>
  <c r="S527" i="11"/>
  <c r="R527" i="11"/>
  <c r="Q527" i="11"/>
  <c r="P527" i="11"/>
  <c r="O527" i="11"/>
  <c r="N527" i="11"/>
  <c r="M527" i="11"/>
  <c r="L527" i="11"/>
  <c r="V527" i="11" s="1"/>
  <c r="T526" i="11"/>
  <c r="S526" i="11"/>
  <c r="R526" i="11"/>
  <c r="Q526" i="11"/>
  <c r="P526" i="11"/>
  <c r="O526" i="11"/>
  <c r="N526" i="11"/>
  <c r="M526" i="11"/>
  <c r="L526" i="11"/>
  <c r="V526" i="11" s="1"/>
  <c r="T525" i="11"/>
  <c r="S525" i="11"/>
  <c r="R525" i="11"/>
  <c r="Q525" i="11"/>
  <c r="P525" i="11"/>
  <c r="O525" i="11"/>
  <c r="N525" i="11"/>
  <c r="M525" i="11"/>
  <c r="L525" i="11"/>
  <c r="V525" i="11" s="1"/>
  <c r="T524" i="11"/>
  <c r="S524" i="11"/>
  <c r="R524" i="11"/>
  <c r="Q524" i="11"/>
  <c r="P524" i="11"/>
  <c r="O524" i="11"/>
  <c r="N524" i="11"/>
  <c r="M524" i="11"/>
  <c r="L524" i="11"/>
  <c r="V524" i="11" s="1"/>
  <c r="T523" i="11"/>
  <c r="S523" i="11"/>
  <c r="R523" i="11"/>
  <c r="Q523" i="11"/>
  <c r="P523" i="11"/>
  <c r="O523" i="11"/>
  <c r="N523" i="11"/>
  <c r="M523" i="11"/>
  <c r="L523" i="11"/>
  <c r="V523" i="11" s="1"/>
  <c r="T522" i="11"/>
  <c r="S522" i="11"/>
  <c r="R522" i="11"/>
  <c r="Q522" i="11"/>
  <c r="P522" i="11"/>
  <c r="O522" i="11"/>
  <c r="N522" i="11"/>
  <c r="M522" i="11"/>
  <c r="L522" i="11"/>
  <c r="V522" i="11" s="1"/>
  <c r="T521" i="11"/>
  <c r="S521" i="11"/>
  <c r="R521" i="11"/>
  <c r="Q521" i="11"/>
  <c r="P521" i="11"/>
  <c r="O521" i="11"/>
  <c r="N521" i="11"/>
  <c r="M521" i="11"/>
  <c r="L521" i="11"/>
  <c r="V521" i="11" s="1"/>
  <c r="T520" i="11"/>
  <c r="S520" i="11"/>
  <c r="R520" i="11"/>
  <c r="Q520" i="11"/>
  <c r="P520" i="11"/>
  <c r="O520" i="11"/>
  <c r="N520" i="11"/>
  <c r="M520" i="11"/>
  <c r="L520" i="11"/>
  <c r="V520" i="11" s="1"/>
  <c r="T519" i="11"/>
  <c r="S519" i="11"/>
  <c r="R519" i="11"/>
  <c r="Q519" i="11"/>
  <c r="P519" i="11"/>
  <c r="O519" i="11"/>
  <c r="N519" i="11"/>
  <c r="M519" i="11"/>
  <c r="L519" i="11"/>
  <c r="V519" i="11" s="1"/>
  <c r="T518" i="11"/>
  <c r="S518" i="11"/>
  <c r="R518" i="11"/>
  <c r="Q518" i="11"/>
  <c r="P518" i="11"/>
  <c r="O518" i="11"/>
  <c r="N518" i="11"/>
  <c r="M518" i="11"/>
  <c r="L518" i="11"/>
  <c r="V518" i="11" s="1"/>
  <c r="T517" i="11"/>
  <c r="S517" i="11"/>
  <c r="R517" i="11"/>
  <c r="Q517" i="11"/>
  <c r="P517" i="11"/>
  <c r="O517" i="11"/>
  <c r="N517" i="11"/>
  <c r="M517" i="11"/>
  <c r="L517" i="11"/>
  <c r="V517" i="11" s="1"/>
  <c r="T516" i="11"/>
  <c r="S516" i="11"/>
  <c r="R516" i="11"/>
  <c r="Q516" i="11"/>
  <c r="P516" i="11"/>
  <c r="O516" i="11"/>
  <c r="N516" i="11"/>
  <c r="M516" i="11"/>
  <c r="L516" i="11"/>
  <c r="V516" i="11" s="1"/>
  <c r="T515" i="11"/>
  <c r="S515" i="11"/>
  <c r="R515" i="11"/>
  <c r="Q515" i="11"/>
  <c r="P515" i="11"/>
  <c r="O515" i="11"/>
  <c r="N515" i="11"/>
  <c r="M515" i="11"/>
  <c r="L515" i="11"/>
  <c r="V515" i="11" s="1"/>
  <c r="T514" i="11"/>
  <c r="S514" i="11"/>
  <c r="R514" i="11"/>
  <c r="Q514" i="11"/>
  <c r="P514" i="11"/>
  <c r="O514" i="11"/>
  <c r="N514" i="11"/>
  <c r="M514" i="11"/>
  <c r="L514" i="11"/>
  <c r="V514" i="11" s="1"/>
  <c r="T513" i="11"/>
  <c r="S513" i="11"/>
  <c r="R513" i="11"/>
  <c r="Q513" i="11"/>
  <c r="P513" i="11"/>
  <c r="O513" i="11"/>
  <c r="N513" i="11"/>
  <c r="M513" i="11"/>
  <c r="L513" i="11"/>
  <c r="V513" i="11" s="1"/>
  <c r="T512" i="11"/>
  <c r="S512" i="11"/>
  <c r="R512" i="11"/>
  <c r="Q512" i="11"/>
  <c r="P512" i="11"/>
  <c r="O512" i="11"/>
  <c r="N512" i="11"/>
  <c r="M512" i="11"/>
  <c r="L512" i="11"/>
  <c r="V512" i="11" s="1"/>
  <c r="T511" i="11"/>
  <c r="S511" i="11"/>
  <c r="R511" i="11"/>
  <c r="Q511" i="11"/>
  <c r="P511" i="11"/>
  <c r="O511" i="11"/>
  <c r="N511" i="11"/>
  <c r="M511" i="11"/>
  <c r="L511" i="11"/>
  <c r="V511" i="11" s="1"/>
  <c r="T510" i="11"/>
  <c r="S510" i="11"/>
  <c r="R510" i="11"/>
  <c r="Q510" i="11"/>
  <c r="P510" i="11"/>
  <c r="O510" i="11"/>
  <c r="N510" i="11"/>
  <c r="M510" i="11"/>
  <c r="L510" i="11"/>
  <c r="V510" i="11" s="1"/>
  <c r="T509" i="11"/>
  <c r="S509" i="11"/>
  <c r="R509" i="11"/>
  <c r="Q509" i="11"/>
  <c r="P509" i="11"/>
  <c r="O509" i="11"/>
  <c r="N509" i="11"/>
  <c r="M509" i="11"/>
  <c r="L509" i="11"/>
  <c r="V509" i="11" s="1"/>
  <c r="T508" i="11"/>
  <c r="S508" i="11"/>
  <c r="R508" i="11"/>
  <c r="Q508" i="11"/>
  <c r="P508" i="11"/>
  <c r="O508" i="11"/>
  <c r="N508" i="11"/>
  <c r="M508" i="11"/>
  <c r="L508" i="11"/>
  <c r="V508" i="11" s="1"/>
  <c r="T507" i="11"/>
  <c r="S507" i="11"/>
  <c r="R507" i="11"/>
  <c r="Q507" i="11"/>
  <c r="P507" i="11"/>
  <c r="O507" i="11"/>
  <c r="N507" i="11"/>
  <c r="M507" i="11"/>
  <c r="L507" i="11"/>
  <c r="V507" i="11" s="1"/>
  <c r="T506" i="11"/>
  <c r="S506" i="11"/>
  <c r="R506" i="11"/>
  <c r="Q506" i="11"/>
  <c r="P506" i="11"/>
  <c r="O506" i="11"/>
  <c r="N506" i="11"/>
  <c r="M506" i="11"/>
  <c r="L506" i="11"/>
  <c r="V506" i="11" s="1"/>
  <c r="T505" i="11"/>
  <c r="S505" i="11"/>
  <c r="R505" i="11"/>
  <c r="Q505" i="11"/>
  <c r="P505" i="11"/>
  <c r="O505" i="11"/>
  <c r="N505" i="11"/>
  <c r="M505" i="11"/>
  <c r="L505" i="11"/>
  <c r="V505" i="11" s="1"/>
  <c r="T504" i="11"/>
  <c r="S504" i="11"/>
  <c r="R504" i="11"/>
  <c r="Q504" i="11"/>
  <c r="P504" i="11"/>
  <c r="O504" i="11"/>
  <c r="N504" i="11"/>
  <c r="M504" i="11"/>
  <c r="L504" i="11"/>
  <c r="V504" i="11" s="1"/>
  <c r="T503" i="11"/>
  <c r="S503" i="11"/>
  <c r="R503" i="11"/>
  <c r="Q503" i="11"/>
  <c r="P503" i="11"/>
  <c r="O503" i="11"/>
  <c r="N503" i="11"/>
  <c r="M503" i="11"/>
  <c r="L503" i="11"/>
  <c r="V503" i="11" s="1"/>
  <c r="T502" i="11"/>
  <c r="S502" i="11"/>
  <c r="R502" i="11"/>
  <c r="Q502" i="11"/>
  <c r="P502" i="11"/>
  <c r="O502" i="11"/>
  <c r="N502" i="11"/>
  <c r="M502" i="11"/>
  <c r="L502" i="11"/>
  <c r="V502" i="11" s="1"/>
  <c r="T501" i="11"/>
  <c r="S501" i="11"/>
  <c r="R501" i="11"/>
  <c r="Q501" i="11"/>
  <c r="P501" i="11"/>
  <c r="O501" i="11"/>
  <c r="N501" i="11"/>
  <c r="M501" i="11"/>
  <c r="L501" i="11"/>
  <c r="V501" i="11" s="1"/>
  <c r="T500" i="11"/>
  <c r="S500" i="11"/>
  <c r="R500" i="11"/>
  <c r="Q500" i="11"/>
  <c r="P500" i="11"/>
  <c r="O500" i="11"/>
  <c r="N500" i="11"/>
  <c r="M500" i="11"/>
  <c r="L500" i="11"/>
  <c r="V500" i="11" s="1"/>
  <c r="T499" i="11"/>
  <c r="S499" i="11"/>
  <c r="R499" i="11"/>
  <c r="Q499" i="11"/>
  <c r="P499" i="11"/>
  <c r="O499" i="11"/>
  <c r="N499" i="11"/>
  <c r="M499" i="11"/>
  <c r="L499" i="11"/>
  <c r="V499" i="11" s="1"/>
  <c r="T498" i="11"/>
  <c r="S498" i="11"/>
  <c r="R498" i="11"/>
  <c r="Q498" i="11"/>
  <c r="P498" i="11"/>
  <c r="O498" i="11"/>
  <c r="N498" i="11"/>
  <c r="M498" i="11"/>
  <c r="L498" i="11"/>
  <c r="V498" i="11" s="1"/>
  <c r="T497" i="11"/>
  <c r="S497" i="11"/>
  <c r="R497" i="11"/>
  <c r="Q497" i="11"/>
  <c r="P497" i="11"/>
  <c r="O497" i="11"/>
  <c r="N497" i="11"/>
  <c r="M497" i="11"/>
  <c r="L497" i="11"/>
  <c r="V497" i="11" s="1"/>
  <c r="T496" i="11"/>
  <c r="S496" i="11"/>
  <c r="R496" i="11"/>
  <c r="Q496" i="11"/>
  <c r="P496" i="11"/>
  <c r="O496" i="11"/>
  <c r="N496" i="11"/>
  <c r="M496" i="11"/>
  <c r="L496" i="11"/>
  <c r="V496" i="11" s="1"/>
  <c r="T495" i="11"/>
  <c r="S495" i="11"/>
  <c r="R495" i="11"/>
  <c r="Q495" i="11"/>
  <c r="P495" i="11"/>
  <c r="O495" i="11"/>
  <c r="N495" i="11"/>
  <c r="M495" i="11"/>
  <c r="L495" i="11"/>
  <c r="V495" i="11" s="1"/>
  <c r="T494" i="11"/>
  <c r="S494" i="11"/>
  <c r="R494" i="11"/>
  <c r="Q494" i="11"/>
  <c r="P494" i="11"/>
  <c r="O494" i="11"/>
  <c r="N494" i="11"/>
  <c r="M494" i="11"/>
  <c r="L494" i="11"/>
  <c r="V494" i="11" s="1"/>
  <c r="T493" i="11"/>
  <c r="S493" i="11"/>
  <c r="R493" i="11"/>
  <c r="Q493" i="11"/>
  <c r="P493" i="11"/>
  <c r="O493" i="11"/>
  <c r="N493" i="11"/>
  <c r="M493" i="11"/>
  <c r="L493" i="11"/>
  <c r="V493" i="11" s="1"/>
  <c r="T492" i="11"/>
  <c r="S492" i="11"/>
  <c r="R492" i="11"/>
  <c r="Q492" i="11"/>
  <c r="P492" i="11"/>
  <c r="O492" i="11"/>
  <c r="N492" i="11"/>
  <c r="M492" i="11"/>
  <c r="L492" i="11"/>
  <c r="V492" i="11" s="1"/>
  <c r="T491" i="11"/>
  <c r="S491" i="11"/>
  <c r="R491" i="11"/>
  <c r="Q491" i="11"/>
  <c r="P491" i="11"/>
  <c r="O491" i="11"/>
  <c r="N491" i="11"/>
  <c r="M491" i="11"/>
  <c r="L491" i="11"/>
  <c r="V491" i="11" s="1"/>
  <c r="T490" i="11"/>
  <c r="S490" i="11"/>
  <c r="R490" i="11"/>
  <c r="Q490" i="11"/>
  <c r="P490" i="11"/>
  <c r="O490" i="11"/>
  <c r="N490" i="11"/>
  <c r="M490" i="11"/>
  <c r="L490" i="11"/>
  <c r="V490" i="11" s="1"/>
  <c r="T489" i="11"/>
  <c r="S489" i="11"/>
  <c r="R489" i="11"/>
  <c r="Q489" i="11"/>
  <c r="P489" i="11"/>
  <c r="O489" i="11"/>
  <c r="N489" i="11"/>
  <c r="M489" i="11"/>
  <c r="L489" i="11"/>
  <c r="V489" i="11" s="1"/>
  <c r="T488" i="11"/>
  <c r="S488" i="11"/>
  <c r="R488" i="11"/>
  <c r="Q488" i="11"/>
  <c r="P488" i="11"/>
  <c r="O488" i="11"/>
  <c r="N488" i="11"/>
  <c r="M488" i="11"/>
  <c r="L488" i="11"/>
  <c r="V488" i="11" s="1"/>
  <c r="T487" i="11"/>
  <c r="S487" i="11"/>
  <c r="R487" i="11"/>
  <c r="Q487" i="11"/>
  <c r="P487" i="11"/>
  <c r="O487" i="11"/>
  <c r="N487" i="11"/>
  <c r="M487" i="11"/>
  <c r="L487" i="11"/>
  <c r="V487" i="11" s="1"/>
  <c r="T486" i="11"/>
  <c r="S486" i="11"/>
  <c r="R486" i="11"/>
  <c r="Q486" i="11"/>
  <c r="P486" i="11"/>
  <c r="O486" i="11"/>
  <c r="N486" i="11"/>
  <c r="M486" i="11"/>
  <c r="L486" i="11"/>
  <c r="V486" i="11" s="1"/>
  <c r="T485" i="11"/>
  <c r="S485" i="11"/>
  <c r="R485" i="11"/>
  <c r="Q485" i="11"/>
  <c r="P485" i="11"/>
  <c r="O485" i="11"/>
  <c r="N485" i="11"/>
  <c r="M485" i="11"/>
  <c r="L485" i="11"/>
  <c r="V485" i="11" s="1"/>
  <c r="T484" i="11"/>
  <c r="S484" i="11"/>
  <c r="R484" i="11"/>
  <c r="Q484" i="11"/>
  <c r="P484" i="11"/>
  <c r="O484" i="11"/>
  <c r="N484" i="11"/>
  <c r="M484" i="11"/>
  <c r="L484" i="11"/>
  <c r="V484" i="11" s="1"/>
  <c r="T483" i="11"/>
  <c r="S483" i="11"/>
  <c r="R483" i="11"/>
  <c r="Q483" i="11"/>
  <c r="P483" i="11"/>
  <c r="O483" i="11"/>
  <c r="N483" i="11"/>
  <c r="M483" i="11"/>
  <c r="L483" i="11"/>
  <c r="V483" i="11" s="1"/>
  <c r="T482" i="11"/>
  <c r="S482" i="11"/>
  <c r="R482" i="11"/>
  <c r="Q482" i="11"/>
  <c r="P482" i="11"/>
  <c r="O482" i="11"/>
  <c r="N482" i="11"/>
  <c r="M482" i="11"/>
  <c r="L482" i="11"/>
  <c r="V482" i="11" s="1"/>
  <c r="T481" i="11"/>
  <c r="S481" i="11"/>
  <c r="R481" i="11"/>
  <c r="Q481" i="11"/>
  <c r="P481" i="11"/>
  <c r="O481" i="11"/>
  <c r="N481" i="11"/>
  <c r="M481" i="11"/>
  <c r="L481" i="11"/>
  <c r="V481" i="11" s="1"/>
  <c r="T480" i="11"/>
  <c r="S480" i="11"/>
  <c r="R480" i="11"/>
  <c r="Q480" i="11"/>
  <c r="P480" i="11"/>
  <c r="O480" i="11"/>
  <c r="N480" i="11"/>
  <c r="M480" i="11"/>
  <c r="L480" i="11"/>
  <c r="V480" i="11" s="1"/>
  <c r="T479" i="11"/>
  <c r="S479" i="11"/>
  <c r="R479" i="11"/>
  <c r="Q479" i="11"/>
  <c r="P479" i="11"/>
  <c r="O479" i="11"/>
  <c r="N479" i="11"/>
  <c r="M479" i="11"/>
  <c r="L479" i="11"/>
  <c r="V479" i="11" s="1"/>
  <c r="T478" i="11"/>
  <c r="S478" i="11"/>
  <c r="R478" i="11"/>
  <c r="Q478" i="11"/>
  <c r="P478" i="11"/>
  <c r="O478" i="11"/>
  <c r="N478" i="11"/>
  <c r="M478" i="11"/>
  <c r="L478" i="11"/>
  <c r="V478" i="11" s="1"/>
  <c r="T477" i="11"/>
  <c r="S477" i="11"/>
  <c r="R477" i="11"/>
  <c r="Q477" i="11"/>
  <c r="P477" i="11"/>
  <c r="O477" i="11"/>
  <c r="N477" i="11"/>
  <c r="M477" i="11"/>
  <c r="L477" i="11"/>
  <c r="V477" i="11" s="1"/>
  <c r="T476" i="11"/>
  <c r="S476" i="11"/>
  <c r="R476" i="11"/>
  <c r="Q476" i="11"/>
  <c r="P476" i="11"/>
  <c r="O476" i="11"/>
  <c r="N476" i="11"/>
  <c r="M476" i="11"/>
  <c r="L476" i="11"/>
  <c r="V476" i="11" s="1"/>
  <c r="T475" i="11"/>
  <c r="S475" i="11"/>
  <c r="R475" i="11"/>
  <c r="Q475" i="11"/>
  <c r="P475" i="11"/>
  <c r="O475" i="11"/>
  <c r="N475" i="11"/>
  <c r="M475" i="11"/>
  <c r="L475" i="11"/>
  <c r="V475" i="11" s="1"/>
  <c r="T474" i="11"/>
  <c r="S474" i="11"/>
  <c r="R474" i="11"/>
  <c r="Q474" i="11"/>
  <c r="P474" i="11"/>
  <c r="O474" i="11"/>
  <c r="N474" i="11"/>
  <c r="M474" i="11"/>
  <c r="L474" i="11"/>
  <c r="V474" i="11" s="1"/>
  <c r="T473" i="11"/>
  <c r="S473" i="11"/>
  <c r="R473" i="11"/>
  <c r="Q473" i="11"/>
  <c r="P473" i="11"/>
  <c r="O473" i="11"/>
  <c r="N473" i="11"/>
  <c r="M473" i="11"/>
  <c r="L473" i="11"/>
  <c r="V473" i="11" s="1"/>
  <c r="T472" i="11"/>
  <c r="S472" i="11"/>
  <c r="R472" i="11"/>
  <c r="Q472" i="11"/>
  <c r="P472" i="11"/>
  <c r="O472" i="11"/>
  <c r="N472" i="11"/>
  <c r="M472" i="11"/>
  <c r="L472" i="11"/>
  <c r="V472" i="11" s="1"/>
  <c r="T471" i="11"/>
  <c r="S471" i="11"/>
  <c r="R471" i="11"/>
  <c r="Q471" i="11"/>
  <c r="P471" i="11"/>
  <c r="O471" i="11"/>
  <c r="N471" i="11"/>
  <c r="M471" i="11"/>
  <c r="L471" i="11"/>
  <c r="V471" i="11" s="1"/>
  <c r="T470" i="11"/>
  <c r="S470" i="11"/>
  <c r="R470" i="11"/>
  <c r="Q470" i="11"/>
  <c r="P470" i="11"/>
  <c r="O470" i="11"/>
  <c r="N470" i="11"/>
  <c r="M470" i="11"/>
  <c r="L470" i="11"/>
  <c r="V470" i="11" s="1"/>
  <c r="T469" i="11"/>
  <c r="S469" i="11"/>
  <c r="R469" i="11"/>
  <c r="Q469" i="11"/>
  <c r="P469" i="11"/>
  <c r="O469" i="11"/>
  <c r="N469" i="11"/>
  <c r="M469" i="11"/>
  <c r="L469" i="11"/>
  <c r="V469" i="11" s="1"/>
  <c r="T468" i="11"/>
  <c r="S468" i="11"/>
  <c r="R468" i="11"/>
  <c r="Q468" i="11"/>
  <c r="P468" i="11"/>
  <c r="O468" i="11"/>
  <c r="N468" i="11"/>
  <c r="M468" i="11"/>
  <c r="L468" i="11"/>
  <c r="V468" i="11" s="1"/>
  <c r="T467" i="11"/>
  <c r="S467" i="11"/>
  <c r="R467" i="11"/>
  <c r="Q467" i="11"/>
  <c r="P467" i="11"/>
  <c r="O467" i="11"/>
  <c r="N467" i="11"/>
  <c r="M467" i="11"/>
  <c r="L467" i="11"/>
  <c r="V467" i="11" s="1"/>
  <c r="T466" i="11"/>
  <c r="S466" i="11"/>
  <c r="R466" i="11"/>
  <c r="Q466" i="11"/>
  <c r="P466" i="11"/>
  <c r="O466" i="11"/>
  <c r="N466" i="11"/>
  <c r="M466" i="11"/>
  <c r="L466" i="11"/>
  <c r="V466" i="11" s="1"/>
  <c r="T465" i="11"/>
  <c r="S465" i="11"/>
  <c r="R465" i="11"/>
  <c r="Q465" i="11"/>
  <c r="P465" i="11"/>
  <c r="O465" i="11"/>
  <c r="N465" i="11"/>
  <c r="M465" i="11"/>
  <c r="L465" i="11"/>
  <c r="V465" i="11" s="1"/>
  <c r="T464" i="11"/>
  <c r="S464" i="11"/>
  <c r="R464" i="11"/>
  <c r="Q464" i="11"/>
  <c r="P464" i="11"/>
  <c r="O464" i="11"/>
  <c r="N464" i="11"/>
  <c r="M464" i="11"/>
  <c r="L464" i="11"/>
  <c r="V464" i="11" s="1"/>
  <c r="T463" i="11"/>
  <c r="S463" i="11"/>
  <c r="R463" i="11"/>
  <c r="Q463" i="11"/>
  <c r="P463" i="11"/>
  <c r="O463" i="11"/>
  <c r="N463" i="11"/>
  <c r="M463" i="11"/>
  <c r="L463" i="11"/>
  <c r="V463" i="11" s="1"/>
  <c r="T462" i="11"/>
  <c r="S462" i="11"/>
  <c r="R462" i="11"/>
  <c r="Q462" i="11"/>
  <c r="P462" i="11"/>
  <c r="O462" i="11"/>
  <c r="N462" i="11"/>
  <c r="M462" i="11"/>
  <c r="L462" i="11"/>
  <c r="V462" i="11" s="1"/>
  <c r="T461" i="11"/>
  <c r="S461" i="11"/>
  <c r="R461" i="11"/>
  <c r="Q461" i="11"/>
  <c r="P461" i="11"/>
  <c r="O461" i="11"/>
  <c r="N461" i="11"/>
  <c r="M461" i="11"/>
  <c r="L461" i="11"/>
  <c r="V461" i="11" s="1"/>
  <c r="T460" i="11"/>
  <c r="S460" i="11"/>
  <c r="R460" i="11"/>
  <c r="Q460" i="11"/>
  <c r="P460" i="11"/>
  <c r="O460" i="11"/>
  <c r="N460" i="11"/>
  <c r="M460" i="11"/>
  <c r="L460" i="11"/>
  <c r="V460" i="11" s="1"/>
  <c r="T459" i="11"/>
  <c r="S459" i="11"/>
  <c r="R459" i="11"/>
  <c r="Q459" i="11"/>
  <c r="P459" i="11"/>
  <c r="O459" i="11"/>
  <c r="N459" i="11"/>
  <c r="M459" i="11"/>
  <c r="L459" i="11"/>
  <c r="V459" i="11" s="1"/>
  <c r="T458" i="11"/>
  <c r="S458" i="11"/>
  <c r="R458" i="11"/>
  <c r="Q458" i="11"/>
  <c r="P458" i="11"/>
  <c r="O458" i="11"/>
  <c r="N458" i="11"/>
  <c r="M458" i="11"/>
  <c r="L458" i="11"/>
  <c r="V458" i="11" s="1"/>
  <c r="T457" i="11"/>
  <c r="S457" i="11"/>
  <c r="R457" i="11"/>
  <c r="Q457" i="11"/>
  <c r="P457" i="11"/>
  <c r="O457" i="11"/>
  <c r="N457" i="11"/>
  <c r="M457" i="11"/>
  <c r="L457" i="11"/>
  <c r="V457" i="11" s="1"/>
  <c r="T456" i="11"/>
  <c r="S456" i="11"/>
  <c r="R456" i="11"/>
  <c r="Q456" i="11"/>
  <c r="P456" i="11"/>
  <c r="O456" i="11"/>
  <c r="N456" i="11"/>
  <c r="M456" i="11"/>
  <c r="L456" i="11"/>
  <c r="V456" i="11" s="1"/>
  <c r="T455" i="11"/>
  <c r="S455" i="11"/>
  <c r="R455" i="11"/>
  <c r="Q455" i="11"/>
  <c r="P455" i="11"/>
  <c r="O455" i="11"/>
  <c r="N455" i="11"/>
  <c r="M455" i="11"/>
  <c r="L455" i="11"/>
  <c r="V455" i="11" s="1"/>
  <c r="T454" i="11"/>
  <c r="S454" i="11"/>
  <c r="R454" i="11"/>
  <c r="Q454" i="11"/>
  <c r="P454" i="11"/>
  <c r="O454" i="11"/>
  <c r="N454" i="11"/>
  <c r="M454" i="11"/>
  <c r="L454" i="11"/>
  <c r="V454" i="11" s="1"/>
  <c r="T453" i="11"/>
  <c r="S453" i="11"/>
  <c r="R453" i="11"/>
  <c r="Q453" i="11"/>
  <c r="P453" i="11"/>
  <c r="O453" i="11"/>
  <c r="N453" i="11"/>
  <c r="M453" i="11"/>
  <c r="L453" i="11"/>
  <c r="V453" i="11" s="1"/>
  <c r="T452" i="11"/>
  <c r="S452" i="11"/>
  <c r="R452" i="11"/>
  <c r="Q452" i="11"/>
  <c r="P452" i="11"/>
  <c r="O452" i="11"/>
  <c r="N452" i="11"/>
  <c r="M452" i="11"/>
  <c r="L452" i="11"/>
  <c r="V452" i="11" s="1"/>
  <c r="T451" i="11"/>
  <c r="S451" i="11"/>
  <c r="R451" i="11"/>
  <c r="Q451" i="11"/>
  <c r="P451" i="11"/>
  <c r="O451" i="11"/>
  <c r="N451" i="11"/>
  <c r="M451" i="11"/>
  <c r="L451" i="11"/>
  <c r="V451" i="11" s="1"/>
  <c r="T450" i="11"/>
  <c r="S450" i="11"/>
  <c r="R450" i="11"/>
  <c r="Q450" i="11"/>
  <c r="P450" i="11"/>
  <c r="O450" i="11"/>
  <c r="N450" i="11"/>
  <c r="M450" i="11"/>
  <c r="L450" i="11"/>
  <c r="V450" i="11" s="1"/>
  <c r="T449" i="11"/>
  <c r="S449" i="11"/>
  <c r="R449" i="11"/>
  <c r="Q449" i="11"/>
  <c r="P449" i="11"/>
  <c r="O449" i="11"/>
  <c r="N449" i="11"/>
  <c r="M449" i="11"/>
  <c r="L449" i="11"/>
  <c r="V449" i="11" s="1"/>
  <c r="T448" i="11"/>
  <c r="S448" i="11"/>
  <c r="R448" i="11"/>
  <c r="Q448" i="11"/>
  <c r="P448" i="11"/>
  <c r="O448" i="11"/>
  <c r="N448" i="11"/>
  <c r="M448" i="11"/>
  <c r="L448" i="11"/>
  <c r="V448" i="11" s="1"/>
  <c r="T447" i="11"/>
  <c r="S447" i="11"/>
  <c r="R447" i="11"/>
  <c r="Q447" i="11"/>
  <c r="P447" i="11"/>
  <c r="O447" i="11"/>
  <c r="N447" i="11"/>
  <c r="M447" i="11"/>
  <c r="L447" i="11"/>
  <c r="V447" i="11" s="1"/>
  <c r="T446" i="11"/>
  <c r="S446" i="11"/>
  <c r="R446" i="11"/>
  <c r="Q446" i="11"/>
  <c r="P446" i="11"/>
  <c r="O446" i="11"/>
  <c r="N446" i="11"/>
  <c r="M446" i="11"/>
  <c r="L446" i="11"/>
  <c r="V446" i="11" s="1"/>
  <c r="T445" i="11"/>
  <c r="S445" i="11"/>
  <c r="R445" i="11"/>
  <c r="Q445" i="11"/>
  <c r="P445" i="11"/>
  <c r="O445" i="11"/>
  <c r="N445" i="11"/>
  <c r="M445" i="11"/>
  <c r="L445" i="11"/>
  <c r="V445" i="11" s="1"/>
  <c r="T444" i="11"/>
  <c r="S444" i="11"/>
  <c r="R444" i="11"/>
  <c r="Q444" i="11"/>
  <c r="P444" i="11"/>
  <c r="O444" i="11"/>
  <c r="N444" i="11"/>
  <c r="M444" i="11"/>
  <c r="L444" i="11"/>
  <c r="V444" i="11" s="1"/>
  <c r="T443" i="11"/>
  <c r="S443" i="11"/>
  <c r="R443" i="11"/>
  <c r="Q443" i="11"/>
  <c r="P443" i="11"/>
  <c r="O443" i="11"/>
  <c r="N443" i="11"/>
  <c r="M443" i="11"/>
  <c r="L443" i="11"/>
  <c r="V443" i="11" s="1"/>
  <c r="T442" i="11"/>
  <c r="S442" i="11"/>
  <c r="R442" i="11"/>
  <c r="Q442" i="11"/>
  <c r="P442" i="11"/>
  <c r="O442" i="11"/>
  <c r="N442" i="11"/>
  <c r="M442" i="11"/>
  <c r="L442" i="11"/>
  <c r="V442" i="11" s="1"/>
  <c r="T441" i="11"/>
  <c r="S441" i="11"/>
  <c r="R441" i="11"/>
  <c r="Q441" i="11"/>
  <c r="P441" i="11"/>
  <c r="O441" i="11"/>
  <c r="N441" i="11"/>
  <c r="M441" i="11"/>
  <c r="L441" i="11"/>
  <c r="V441" i="11" s="1"/>
  <c r="T440" i="11"/>
  <c r="S440" i="11"/>
  <c r="R440" i="11"/>
  <c r="Q440" i="11"/>
  <c r="P440" i="11"/>
  <c r="O440" i="11"/>
  <c r="N440" i="11"/>
  <c r="M440" i="11"/>
  <c r="L440" i="11"/>
  <c r="V440" i="11" s="1"/>
  <c r="T439" i="11"/>
  <c r="S439" i="11"/>
  <c r="R439" i="11"/>
  <c r="Q439" i="11"/>
  <c r="P439" i="11"/>
  <c r="O439" i="11"/>
  <c r="N439" i="11"/>
  <c r="M439" i="11"/>
  <c r="L439" i="11"/>
  <c r="V439" i="11" s="1"/>
  <c r="T438" i="11"/>
  <c r="S438" i="11"/>
  <c r="R438" i="11"/>
  <c r="Q438" i="11"/>
  <c r="P438" i="11"/>
  <c r="O438" i="11"/>
  <c r="N438" i="11"/>
  <c r="M438" i="11"/>
  <c r="L438" i="11"/>
  <c r="V438" i="11" s="1"/>
  <c r="T437" i="11"/>
  <c r="S437" i="11"/>
  <c r="R437" i="11"/>
  <c r="Q437" i="11"/>
  <c r="P437" i="11"/>
  <c r="O437" i="11"/>
  <c r="N437" i="11"/>
  <c r="M437" i="11"/>
  <c r="L437" i="11"/>
  <c r="V437" i="11" s="1"/>
  <c r="T436" i="11"/>
  <c r="S436" i="11"/>
  <c r="R436" i="11"/>
  <c r="Q436" i="11"/>
  <c r="P436" i="11"/>
  <c r="O436" i="11"/>
  <c r="N436" i="11"/>
  <c r="M436" i="11"/>
  <c r="L436" i="11"/>
  <c r="V436" i="11" s="1"/>
  <c r="T435" i="11"/>
  <c r="S435" i="11"/>
  <c r="R435" i="11"/>
  <c r="Q435" i="11"/>
  <c r="P435" i="11"/>
  <c r="O435" i="11"/>
  <c r="N435" i="11"/>
  <c r="M435" i="11"/>
  <c r="L435" i="11"/>
  <c r="V435" i="11" s="1"/>
  <c r="T434" i="11"/>
  <c r="S434" i="11"/>
  <c r="R434" i="11"/>
  <c r="Q434" i="11"/>
  <c r="P434" i="11"/>
  <c r="O434" i="11"/>
  <c r="N434" i="11"/>
  <c r="M434" i="11"/>
  <c r="L434" i="11"/>
  <c r="V434" i="11" s="1"/>
  <c r="T433" i="11"/>
  <c r="S433" i="11"/>
  <c r="R433" i="11"/>
  <c r="Q433" i="11"/>
  <c r="P433" i="11"/>
  <c r="O433" i="11"/>
  <c r="N433" i="11"/>
  <c r="M433" i="11"/>
  <c r="L433" i="11"/>
  <c r="V433" i="11" s="1"/>
  <c r="T432" i="11"/>
  <c r="S432" i="11"/>
  <c r="R432" i="11"/>
  <c r="Q432" i="11"/>
  <c r="P432" i="11"/>
  <c r="O432" i="11"/>
  <c r="N432" i="11"/>
  <c r="M432" i="11"/>
  <c r="L432" i="11"/>
  <c r="V432" i="11" s="1"/>
  <c r="T431" i="11"/>
  <c r="S431" i="11"/>
  <c r="R431" i="11"/>
  <c r="Q431" i="11"/>
  <c r="P431" i="11"/>
  <c r="O431" i="11"/>
  <c r="N431" i="11"/>
  <c r="M431" i="11"/>
  <c r="L431" i="11"/>
  <c r="V431" i="11" s="1"/>
  <c r="T430" i="11"/>
  <c r="S430" i="11"/>
  <c r="R430" i="11"/>
  <c r="Q430" i="11"/>
  <c r="P430" i="11"/>
  <c r="O430" i="11"/>
  <c r="N430" i="11"/>
  <c r="M430" i="11"/>
  <c r="L430" i="11"/>
  <c r="V430" i="11" s="1"/>
  <c r="T429" i="11"/>
  <c r="S429" i="11"/>
  <c r="R429" i="11"/>
  <c r="Q429" i="11"/>
  <c r="P429" i="11"/>
  <c r="O429" i="11"/>
  <c r="N429" i="11"/>
  <c r="M429" i="11"/>
  <c r="L429" i="11"/>
  <c r="V429" i="11" s="1"/>
  <c r="T428" i="11"/>
  <c r="S428" i="11"/>
  <c r="R428" i="11"/>
  <c r="Q428" i="11"/>
  <c r="P428" i="11"/>
  <c r="O428" i="11"/>
  <c r="N428" i="11"/>
  <c r="M428" i="11"/>
  <c r="L428" i="11"/>
  <c r="V428" i="11" s="1"/>
  <c r="T427" i="11"/>
  <c r="S427" i="11"/>
  <c r="R427" i="11"/>
  <c r="Q427" i="11"/>
  <c r="P427" i="11"/>
  <c r="O427" i="11"/>
  <c r="N427" i="11"/>
  <c r="M427" i="11"/>
  <c r="L427" i="11"/>
  <c r="V427" i="11" s="1"/>
  <c r="T426" i="11"/>
  <c r="S426" i="11"/>
  <c r="R426" i="11"/>
  <c r="Q426" i="11"/>
  <c r="P426" i="11"/>
  <c r="O426" i="11"/>
  <c r="N426" i="11"/>
  <c r="M426" i="11"/>
  <c r="L426" i="11"/>
  <c r="V426" i="11" s="1"/>
  <c r="T425" i="11"/>
  <c r="S425" i="11"/>
  <c r="R425" i="11"/>
  <c r="Q425" i="11"/>
  <c r="P425" i="11"/>
  <c r="O425" i="11"/>
  <c r="N425" i="11"/>
  <c r="M425" i="11"/>
  <c r="L425" i="11"/>
  <c r="V425" i="11" s="1"/>
  <c r="T424" i="11"/>
  <c r="S424" i="11"/>
  <c r="R424" i="11"/>
  <c r="Q424" i="11"/>
  <c r="P424" i="11"/>
  <c r="O424" i="11"/>
  <c r="N424" i="11"/>
  <c r="M424" i="11"/>
  <c r="L424" i="11"/>
  <c r="V424" i="11" s="1"/>
  <c r="T423" i="11"/>
  <c r="S423" i="11"/>
  <c r="R423" i="11"/>
  <c r="Q423" i="11"/>
  <c r="P423" i="11"/>
  <c r="O423" i="11"/>
  <c r="N423" i="11"/>
  <c r="M423" i="11"/>
  <c r="L423" i="11"/>
  <c r="V423" i="11" s="1"/>
  <c r="T422" i="11"/>
  <c r="S422" i="11"/>
  <c r="R422" i="11"/>
  <c r="Q422" i="11"/>
  <c r="P422" i="11"/>
  <c r="O422" i="11"/>
  <c r="N422" i="11"/>
  <c r="M422" i="11"/>
  <c r="L422" i="11"/>
  <c r="V422" i="11" s="1"/>
  <c r="T421" i="11"/>
  <c r="S421" i="11"/>
  <c r="R421" i="11"/>
  <c r="Q421" i="11"/>
  <c r="P421" i="11"/>
  <c r="O421" i="11"/>
  <c r="N421" i="11"/>
  <c r="M421" i="11"/>
  <c r="L421" i="11"/>
  <c r="V421" i="11" s="1"/>
  <c r="T420" i="11"/>
  <c r="S420" i="11"/>
  <c r="R420" i="11"/>
  <c r="Q420" i="11"/>
  <c r="P420" i="11"/>
  <c r="O420" i="11"/>
  <c r="N420" i="11"/>
  <c r="M420" i="11"/>
  <c r="L420" i="11"/>
  <c r="V420" i="11" s="1"/>
  <c r="T419" i="11"/>
  <c r="S419" i="11"/>
  <c r="R419" i="11"/>
  <c r="Q419" i="11"/>
  <c r="P419" i="11"/>
  <c r="O419" i="11"/>
  <c r="N419" i="11"/>
  <c r="M419" i="11"/>
  <c r="L419" i="11"/>
  <c r="V419" i="11" s="1"/>
  <c r="T418" i="11"/>
  <c r="S418" i="11"/>
  <c r="R418" i="11"/>
  <c r="Q418" i="11"/>
  <c r="P418" i="11"/>
  <c r="O418" i="11"/>
  <c r="N418" i="11"/>
  <c r="M418" i="11"/>
  <c r="L418" i="11"/>
  <c r="V418" i="11" s="1"/>
  <c r="T417" i="11"/>
  <c r="S417" i="11"/>
  <c r="R417" i="11"/>
  <c r="Q417" i="11"/>
  <c r="P417" i="11"/>
  <c r="O417" i="11"/>
  <c r="N417" i="11"/>
  <c r="M417" i="11"/>
  <c r="L417" i="11"/>
  <c r="V417" i="11" s="1"/>
  <c r="T416" i="11"/>
  <c r="S416" i="11"/>
  <c r="R416" i="11"/>
  <c r="Q416" i="11"/>
  <c r="P416" i="11"/>
  <c r="O416" i="11"/>
  <c r="N416" i="11"/>
  <c r="M416" i="11"/>
  <c r="L416" i="11"/>
  <c r="V416" i="11" s="1"/>
  <c r="T415" i="11"/>
  <c r="S415" i="11"/>
  <c r="R415" i="11"/>
  <c r="Q415" i="11"/>
  <c r="P415" i="11"/>
  <c r="O415" i="11"/>
  <c r="N415" i="11"/>
  <c r="M415" i="11"/>
  <c r="L415" i="11"/>
  <c r="V415" i="11" s="1"/>
  <c r="T414" i="11"/>
  <c r="S414" i="11"/>
  <c r="R414" i="11"/>
  <c r="Q414" i="11"/>
  <c r="P414" i="11"/>
  <c r="O414" i="11"/>
  <c r="N414" i="11"/>
  <c r="M414" i="11"/>
  <c r="L414" i="11"/>
  <c r="V414" i="11" s="1"/>
  <c r="T413" i="11"/>
  <c r="S413" i="11"/>
  <c r="R413" i="11"/>
  <c r="Q413" i="11"/>
  <c r="P413" i="11"/>
  <c r="O413" i="11"/>
  <c r="N413" i="11"/>
  <c r="M413" i="11"/>
  <c r="L413" i="11"/>
  <c r="V413" i="11" s="1"/>
  <c r="T412" i="11"/>
  <c r="S412" i="11"/>
  <c r="R412" i="11"/>
  <c r="Q412" i="11"/>
  <c r="P412" i="11"/>
  <c r="O412" i="11"/>
  <c r="N412" i="11"/>
  <c r="M412" i="11"/>
  <c r="L412" i="11"/>
  <c r="V412" i="11" s="1"/>
  <c r="T411" i="11"/>
  <c r="S411" i="11"/>
  <c r="R411" i="11"/>
  <c r="Q411" i="11"/>
  <c r="P411" i="11"/>
  <c r="O411" i="11"/>
  <c r="N411" i="11"/>
  <c r="M411" i="11"/>
  <c r="L411" i="11"/>
  <c r="V411" i="11" s="1"/>
  <c r="T410" i="11"/>
  <c r="S410" i="11"/>
  <c r="R410" i="11"/>
  <c r="Q410" i="11"/>
  <c r="P410" i="11"/>
  <c r="O410" i="11"/>
  <c r="N410" i="11"/>
  <c r="M410" i="11"/>
  <c r="L410" i="11"/>
  <c r="V410" i="11" s="1"/>
  <c r="T409" i="11"/>
  <c r="S409" i="11"/>
  <c r="R409" i="11"/>
  <c r="Q409" i="11"/>
  <c r="P409" i="11"/>
  <c r="O409" i="11"/>
  <c r="N409" i="11"/>
  <c r="M409" i="11"/>
  <c r="L409" i="11"/>
  <c r="V409" i="11" s="1"/>
  <c r="T408" i="11"/>
  <c r="S408" i="11"/>
  <c r="R408" i="11"/>
  <c r="Q408" i="11"/>
  <c r="P408" i="11"/>
  <c r="O408" i="11"/>
  <c r="N408" i="11"/>
  <c r="M408" i="11"/>
  <c r="L408" i="11"/>
  <c r="V408" i="11" s="1"/>
  <c r="T407" i="11"/>
  <c r="S407" i="11"/>
  <c r="R407" i="11"/>
  <c r="Q407" i="11"/>
  <c r="P407" i="11"/>
  <c r="O407" i="11"/>
  <c r="N407" i="11"/>
  <c r="M407" i="11"/>
  <c r="L407" i="11"/>
  <c r="V407" i="11" s="1"/>
  <c r="T406" i="11"/>
  <c r="S406" i="11"/>
  <c r="R406" i="11"/>
  <c r="Q406" i="11"/>
  <c r="P406" i="11"/>
  <c r="O406" i="11"/>
  <c r="N406" i="11"/>
  <c r="M406" i="11"/>
  <c r="L406" i="11"/>
  <c r="V406" i="11" s="1"/>
  <c r="T405" i="11"/>
  <c r="S405" i="11"/>
  <c r="R405" i="11"/>
  <c r="Q405" i="11"/>
  <c r="P405" i="11"/>
  <c r="O405" i="11"/>
  <c r="N405" i="11"/>
  <c r="M405" i="11"/>
  <c r="L405" i="11"/>
  <c r="V405" i="11" s="1"/>
  <c r="T404" i="11"/>
  <c r="S404" i="11"/>
  <c r="R404" i="11"/>
  <c r="Q404" i="11"/>
  <c r="P404" i="11"/>
  <c r="O404" i="11"/>
  <c r="N404" i="11"/>
  <c r="M404" i="11"/>
  <c r="L404" i="11"/>
  <c r="V404" i="11" s="1"/>
  <c r="T403" i="11"/>
  <c r="S403" i="11"/>
  <c r="R403" i="11"/>
  <c r="Q403" i="11"/>
  <c r="P403" i="11"/>
  <c r="O403" i="11"/>
  <c r="N403" i="11"/>
  <c r="M403" i="11"/>
  <c r="L403" i="11"/>
  <c r="V403" i="11" s="1"/>
  <c r="T402" i="11"/>
  <c r="S402" i="11"/>
  <c r="R402" i="11"/>
  <c r="Q402" i="11"/>
  <c r="P402" i="11"/>
  <c r="O402" i="11"/>
  <c r="N402" i="11"/>
  <c r="M402" i="11"/>
  <c r="L402" i="11"/>
  <c r="V402" i="11" s="1"/>
  <c r="T401" i="11"/>
  <c r="S401" i="11"/>
  <c r="R401" i="11"/>
  <c r="Q401" i="11"/>
  <c r="P401" i="11"/>
  <c r="O401" i="11"/>
  <c r="N401" i="11"/>
  <c r="M401" i="11"/>
  <c r="L401" i="11"/>
  <c r="V401" i="11" s="1"/>
  <c r="T400" i="11"/>
  <c r="S400" i="11"/>
  <c r="R400" i="11"/>
  <c r="Q400" i="11"/>
  <c r="P400" i="11"/>
  <c r="O400" i="11"/>
  <c r="N400" i="11"/>
  <c r="M400" i="11"/>
  <c r="L400" i="11"/>
  <c r="V400" i="11" s="1"/>
  <c r="T399" i="11"/>
  <c r="S399" i="11"/>
  <c r="R399" i="11"/>
  <c r="Q399" i="11"/>
  <c r="P399" i="11"/>
  <c r="O399" i="11"/>
  <c r="N399" i="11"/>
  <c r="M399" i="11"/>
  <c r="L399" i="11"/>
  <c r="V399" i="11" s="1"/>
  <c r="T398" i="11"/>
  <c r="S398" i="11"/>
  <c r="R398" i="11"/>
  <c r="Q398" i="11"/>
  <c r="P398" i="11"/>
  <c r="O398" i="11"/>
  <c r="N398" i="11"/>
  <c r="M398" i="11"/>
  <c r="L398" i="11"/>
  <c r="V398" i="11" s="1"/>
  <c r="T397" i="11"/>
  <c r="S397" i="11"/>
  <c r="R397" i="11"/>
  <c r="Q397" i="11"/>
  <c r="P397" i="11"/>
  <c r="O397" i="11"/>
  <c r="N397" i="11"/>
  <c r="M397" i="11"/>
  <c r="L397" i="11"/>
  <c r="V397" i="11" s="1"/>
  <c r="T396" i="11"/>
  <c r="S396" i="11"/>
  <c r="R396" i="11"/>
  <c r="Q396" i="11"/>
  <c r="P396" i="11"/>
  <c r="O396" i="11"/>
  <c r="N396" i="11"/>
  <c r="M396" i="11"/>
  <c r="L396" i="11"/>
  <c r="V396" i="11" s="1"/>
  <c r="T395" i="11"/>
  <c r="S395" i="11"/>
  <c r="R395" i="11"/>
  <c r="Q395" i="11"/>
  <c r="P395" i="11"/>
  <c r="O395" i="11"/>
  <c r="N395" i="11"/>
  <c r="M395" i="11"/>
  <c r="L395" i="11"/>
  <c r="V395" i="11" s="1"/>
  <c r="T394" i="11"/>
  <c r="S394" i="11"/>
  <c r="R394" i="11"/>
  <c r="Q394" i="11"/>
  <c r="P394" i="11"/>
  <c r="O394" i="11"/>
  <c r="N394" i="11"/>
  <c r="M394" i="11"/>
  <c r="L394" i="11"/>
  <c r="V394" i="11" s="1"/>
  <c r="T393" i="11"/>
  <c r="S393" i="11"/>
  <c r="R393" i="11"/>
  <c r="Q393" i="11"/>
  <c r="P393" i="11"/>
  <c r="O393" i="11"/>
  <c r="N393" i="11"/>
  <c r="M393" i="11"/>
  <c r="L393" i="11"/>
  <c r="V393" i="11" s="1"/>
  <c r="T392" i="11"/>
  <c r="S392" i="11"/>
  <c r="R392" i="11"/>
  <c r="Q392" i="11"/>
  <c r="P392" i="11"/>
  <c r="O392" i="11"/>
  <c r="N392" i="11"/>
  <c r="M392" i="11"/>
  <c r="L392" i="11"/>
  <c r="V392" i="11" s="1"/>
  <c r="T391" i="11"/>
  <c r="S391" i="11"/>
  <c r="R391" i="11"/>
  <c r="Q391" i="11"/>
  <c r="P391" i="11"/>
  <c r="O391" i="11"/>
  <c r="N391" i="11"/>
  <c r="M391" i="11"/>
  <c r="L391" i="11"/>
  <c r="V391" i="11" s="1"/>
  <c r="T390" i="11"/>
  <c r="S390" i="11"/>
  <c r="R390" i="11"/>
  <c r="Q390" i="11"/>
  <c r="P390" i="11"/>
  <c r="O390" i="11"/>
  <c r="N390" i="11"/>
  <c r="M390" i="11"/>
  <c r="L390" i="11"/>
  <c r="V390" i="11" s="1"/>
  <c r="T389" i="11"/>
  <c r="S389" i="11"/>
  <c r="R389" i="11"/>
  <c r="Q389" i="11"/>
  <c r="P389" i="11"/>
  <c r="O389" i="11"/>
  <c r="N389" i="11"/>
  <c r="M389" i="11"/>
  <c r="L389" i="11"/>
  <c r="V389" i="11" s="1"/>
  <c r="T388" i="11"/>
  <c r="S388" i="11"/>
  <c r="R388" i="11"/>
  <c r="Q388" i="11"/>
  <c r="P388" i="11"/>
  <c r="O388" i="11"/>
  <c r="N388" i="11"/>
  <c r="M388" i="11"/>
  <c r="L388" i="11"/>
  <c r="V388" i="11" s="1"/>
  <c r="T387" i="11"/>
  <c r="S387" i="11"/>
  <c r="R387" i="11"/>
  <c r="Q387" i="11"/>
  <c r="P387" i="11"/>
  <c r="O387" i="11"/>
  <c r="N387" i="11"/>
  <c r="M387" i="11"/>
  <c r="L387" i="11"/>
  <c r="V387" i="11" s="1"/>
  <c r="T386" i="11"/>
  <c r="S386" i="11"/>
  <c r="R386" i="11"/>
  <c r="Q386" i="11"/>
  <c r="P386" i="11"/>
  <c r="O386" i="11"/>
  <c r="N386" i="11"/>
  <c r="M386" i="11"/>
  <c r="L386" i="11"/>
  <c r="V386" i="11" s="1"/>
  <c r="T385" i="11"/>
  <c r="S385" i="11"/>
  <c r="R385" i="11"/>
  <c r="Q385" i="11"/>
  <c r="P385" i="11"/>
  <c r="O385" i="11"/>
  <c r="N385" i="11"/>
  <c r="M385" i="11"/>
  <c r="L385" i="11"/>
  <c r="V385" i="11" s="1"/>
  <c r="T384" i="11"/>
  <c r="S384" i="11"/>
  <c r="R384" i="11"/>
  <c r="Q384" i="11"/>
  <c r="P384" i="11"/>
  <c r="O384" i="11"/>
  <c r="N384" i="11"/>
  <c r="M384" i="11"/>
  <c r="L384" i="11"/>
  <c r="V384" i="11" s="1"/>
  <c r="T383" i="11"/>
  <c r="S383" i="11"/>
  <c r="R383" i="11"/>
  <c r="Q383" i="11"/>
  <c r="P383" i="11"/>
  <c r="O383" i="11"/>
  <c r="N383" i="11"/>
  <c r="M383" i="11"/>
  <c r="L383" i="11"/>
  <c r="V383" i="11" s="1"/>
  <c r="T382" i="11"/>
  <c r="S382" i="11"/>
  <c r="R382" i="11"/>
  <c r="Q382" i="11"/>
  <c r="P382" i="11"/>
  <c r="O382" i="11"/>
  <c r="N382" i="11"/>
  <c r="M382" i="11"/>
  <c r="L382" i="11"/>
  <c r="V382" i="11" s="1"/>
  <c r="T381" i="11"/>
  <c r="S381" i="11"/>
  <c r="R381" i="11"/>
  <c r="Q381" i="11"/>
  <c r="P381" i="11"/>
  <c r="O381" i="11"/>
  <c r="N381" i="11"/>
  <c r="M381" i="11"/>
  <c r="L381" i="11"/>
  <c r="V381" i="11" s="1"/>
  <c r="T380" i="11"/>
  <c r="S380" i="11"/>
  <c r="R380" i="11"/>
  <c r="Q380" i="11"/>
  <c r="P380" i="11"/>
  <c r="O380" i="11"/>
  <c r="N380" i="11"/>
  <c r="M380" i="11"/>
  <c r="L380" i="11"/>
  <c r="V380" i="11" s="1"/>
  <c r="T379" i="11"/>
  <c r="S379" i="11"/>
  <c r="R379" i="11"/>
  <c r="Q379" i="11"/>
  <c r="P379" i="11"/>
  <c r="O379" i="11"/>
  <c r="N379" i="11"/>
  <c r="M379" i="11"/>
  <c r="L379" i="11"/>
  <c r="V379" i="11" s="1"/>
  <c r="T378" i="11"/>
  <c r="S378" i="11"/>
  <c r="R378" i="11"/>
  <c r="Q378" i="11"/>
  <c r="P378" i="11"/>
  <c r="O378" i="11"/>
  <c r="N378" i="11"/>
  <c r="M378" i="11"/>
  <c r="L378" i="11"/>
  <c r="V378" i="11" s="1"/>
  <c r="T377" i="11"/>
  <c r="S377" i="11"/>
  <c r="R377" i="11"/>
  <c r="Q377" i="11"/>
  <c r="P377" i="11"/>
  <c r="O377" i="11"/>
  <c r="N377" i="11"/>
  <c r="M377" i="11"/>
  <c r="L377" i="11"/>
  <c r="V377" i="11" s="1"/>
  <c r="T376" i="11"/>
  <c r="S376" i="11"/>
  <c r="R376" i="11"/>
  <c r="Q376" i="11"/>
  <c r="P376" i="11"/>
  <c r="O376" i="11"/>
  <c r="N376" i="11"/>
  <c r="M376" i="11"/>
  <c r="L376" i="11"/>
  <c r="V376" i="11" s="1"/>
  <c r="T375" i="11"/>
  <c r="S375" i="11"/>
  <c r="R375" i="11"/>
  <c r="Q375" i="11"/>
  <c r="P375" i="11"/>
  <c r="O375" i="11"/>
  <c r="N375" i="11"/>
  <c r="M375" i="11"/>
  <c r="L375" i="11"/>
  <c r="V375" i="11" s="1"/>
  <c r="T374" i="11"/>
  <c r="S374" i="11"/>
  <c r="R374" i="11"/>
  <c r="Q374" i="11"/>
  <c r="P374" i="11"/>
  <c r="O374" i="11"/>
  <c r="N374" i="11"/>
  <c r="M374" i="11"/>
  <c r="L374" i="11"/>
  <c r="V374" i="11" s="1"/>
  <c r="T373" i="11"/>
  <c r="S373" i="11"/>
  <c r="R373" i="11"/>
  <c r="Q373" i="11"/>
  <c r="P373" i="11"/>
  <c r="O373" i="11"/>
  <c r="N373" i="11"/>
  <c r="M373" i="11"/>
  <c r="L373" i="11"/>
  <c r="V373" i="11" s="1"/>
  <c r="T372" i="11"/>
  <c r="S372" i="11"/>
  <c r="R372" i="11"/>
  <c r="Q372" i="11"/>
  <c r="P372" i="11"/>
  <c r="O372" i="11"/>
  <c r="N372" i="11"/>
  <c r="M372" i="11"/>
  <c r="L372" i="11"/>
  <c r="V372" i="11" s="1"/>
  <c r="T371" i="11"/>
  <c r="S371" i="11"/>
  <c r="R371" i="11"/>
  <c r="Q371" i="11"/>
  <c r="P371" i="11"/>
  <c r="O371" i="11"/>
  <c r="N371" i="11"/>
  <c r="M371" i="11"/>
  <c r="L371" i="11"/>
  <c r="V371" i="11" s="1"/>
  <c r="T370" i="11"/>
  <c r="S370" i="11"/>
  <c r="R370" i="11"/>
  <c r="Q370" i="11"/>
  <c r="P370" i="11"/>
  <c r="O370" i="11"/>
  <c r="N370" i="11"/>
  <c r="M370" i="11"/>
  <c r="L370" i="11"/>
  <c r="V370" i="11" s="1"/>
  <c r="T369" i="11"/>
  <c r="S369" i="11"/>
  <c r="R369" i="11"/>
  <c r="Q369" i="11"/>
  <c r="P369" i="11"/>
  <c r="O369" i="11"/>
  <c r="N369" i="11"/>
  <c r="M369" i="11"/>
  <c r="L369" i="11"/>
  <c r="V369" i="11" s="1"/>
  <c r="T368" i="11"/>
  <c r="S368" i="11"/>
  <c r="R368" i="11"/>
  <c r="Q368" i="11"/>
  <c r="P368" i="11"/>
  <c r="O368" i="11"/>
  <c r="N368" i="11"/>
  <c r="M368" i="11"/>
  <c r="L368" i="11"/>
  <c r="V368" i="11" s="1"/>
  <c r="T367" i="11"/>
  <c r="S367" i="11"/>
  <c r="R367" i="11"/>
  <c r="Q367" i="11"/>
  <c r="P367" i="11"/>
  <c r="O367" i="11"/>
  <c r="N367" i="11"/>
  <c r="M367" i="11"/>
  <c r="L367" i="11"/>
  <c r="V367" i="11" s="1"/>
  <c r="T366" i="11"/>
  <c r="S366" i="11"/>
  <c r="R366" i="11"/>
  <c r="Q366" i="11"/>
  <c r="P366" i="11"/>
  <c r="O366" i="11"/>
  <c r="N366" i="11"/>
  <c r="M366" i="11"/>
  <c r="L366" i="11"/>
  <c r="V366" i="11" s="1"/>
  <c r="T365" i="11"/>
  <c r="S365" i="11"/>
  <c r="R365" i="11"/>
  <c r="Q365" i="11"/>
  <c r="P365" i="11"/>
  <c r="O365" i="11"/>
  <c r="N365" i="11"/>
  <c r="M365" i="11"/>
  <c r="L365" i="11"/>
  <c r="V365" i="11" s="1"/>
  <c r="T364" i="11"/>
  <c r="S364" i="11"/>
  <c r="R364" i="11"/>
  <c r="Q364" i="11"/>
  <c r="P364" i="11"/>
  <c r="O364" i="11"/>
  <c r="N364" i="11"/>
  <c r="M364" i="11"/>
  <c r="L364" i="11"/>
  <c r="V364" i="11" s="1"/>
  <c r="T363" i="11"/>
  <c r="S363" i="11"/>
  <c r="R363" i="11"/>
  <c r="Q363" i="11"/>
  <c r="P363" i="11"/>
  <c r="O363" i="11"/>
  <c r="N363" i="11"/>
  <c r="M363" i="11"/>
  <c r="L363" i="11"/>
  <c r="V363" i="11" s="1"/>
  <c r="T362" i="11"/>
  <c r="S362" i="11"/>
  <c r="R362" i="11"/>
  <c r="Q362" i="11"/>
  <c r="P362" i="11"/>
  <c r="O362" i="11"/>
  <c r="N362" i="11"/>
  <c r="M362" i="11"/>
  <c r="L362" i="11"/>
  <c r="V362" i="11" s="1"/>
  <c r="T361" i="11"/>
  <c r="S361" i="11"/>
  <c r="R361" i="11"/>
  <c r="Q361" i="11"/>
  <c r="P361" i="11"/>
  <c r="O361" i="11"/>
  <c r="N361" i="11"/>
  <c r="M361" i="11"/>
  <c r="L361" i="11"/>
  <c r="V361" i="11" s="1"/>
  <c r="T360" i="11"/>
  <c r="S360" i="11"/>
  <c r="R360" i="11"/>
  <c r="Q360" i="11"/>
  <c r="P360" i="11"/>
  <c r="O360" i="11"/>
  <c r="N360" i="11"/>
  <c r="M360" i="11"/>
  <c r="L360" i="11"/>
  <c r="V360" i="11" s="1"/>
  <c r="T359" i="11"/>
  <c r="S359" i="11"/>
  <c r="R359" i="11"/>
  <c r="Q359" i="11"/>
  <c r="P359" i="11"/>
  <c r="O359" i="11"/>
  <c r="N359" i="11"/>
  <c r="M359" i="11"/>
  <c r="L359" i="11"/>
  <c r="V359" i="11" s="1"/>
  <c r="T358" i="11"/>
  <c r="S358" i="11"/>
  <c r="R358" i="11"/>
  <c r="Q358" i="11"/>
  <c r="P358" i="11"/>
  <c r="O358" i="11"/>
  <c r="N358" i="11"/>
  <c r="M358" i="11"/>
  <c r="L358" i="11"/>
  <c r="V358" i="11" s="1"/>
  <c r="T357" i="11"/>
  <c r="S357" i="11"/>
  <c r="R357" i="11"/>
  <c r="Q357" i="11"/>
  <c r="P357" i="11"/>
  <c r="O357" i="11"/>
  <c r="N357" i="11"/>
  <c r="M357" i="11"/>
  <c r="L357" i="11"/>
  <c r="V357" i="11" s="1"/>
  <c r="T356" i="11"/>
  <c r="S356" i="11"/>
  <c r="R356" i="11"/>
  <c r="Q356" i="11"/>
  <c r="P356" i="11"/>
  <c r="O356" i="11"/>
  <c r="N356" i="11"/>
  <c r="M356" i="11"/>
  <c r="L356" i="11"/>
  <c r="V356" i="11" s="1"/>
  <c r="T355" i="11"/>
  <c r="S355" i="11"/>
  <c r="R355" i="11"/>
  <c r="Q355" i="11"/>
  <c r="P355" i="11"/>
  <c r="O355" i="11"/>
  <c r="N355" i="11"/>
  <c r="M355" i="11"/>
  <c r="L355" i="11"/>
  <c r="V355" i="11" s="1"/>
  <c r="T354" i="11"/>
  <c r="S354" i="11"/>
  <c r="R354" i="11"/>
  <c r="Q354" i="11"/>
  <c r="P354" i="11"/>
  <c r="O354" i="11"/>
  <c r="N354" i="11"/>
  <c r="M354" i="11"/>
  <c r="L354" i="11"/>
  <c r="V354" i="11" s="1"/>
  <c r="T353" i="11"/>
  <c r="S353" i="11"/>
  <c r="R353" i="11"/>
  <c r="Q353" i="11"/>
  <c r="P353" i="11"/>
  <c r="O353" i="11"/>
  <c r="N353" i="11"/>
  <c r="M353" i="11"/>
  <c r="L353" i="11"/>
  <c r="V353" i="11" s="1"/>
  <c r="T352" i="11"/>
  <c r="S352" i="11"/>
  <c r="R352" i="11"/>
  <c r="Q352" i="11"/>
  <c r="P352" i="11"/>
  <c r="O352" i="11"/>
  <c r="N352" i="11"/>
  <c r="M352" i="11"/>
  <c r="L352" i="11"/>
  <c r="V352" i="11" s="1"/>
  <c r="T351" i="11"/>
  <c r="S351" i="11"/>
  <c r="R351" i="11"/>
  <c r="Q351" i="11"/>
  <c r="P351" i="11"/>
  <c r="O351" i="11"/>
  <c r="N351" i="11"/>
  <c r="M351" i="11"/>
  <c r="L351" i="11"/>
  <c r="V351" i="11" s="1"/>
  <c r="T350" i="11"/>
  <c r="S350" i="11"/>
  <c r="R350" i="11"/>
  <c r="Q350" i="11"/>
  <c r="P350" i="11"/>
  <c r="O350" i="11"/>
  <c r="N350" i="11"/>
  <c r="M350" i="11"/>
  <c r="L350" i="11"/>
  <c r="V350" i="11" s="1"/>
  <c r="T349" i="11"/>
  <c r="S349" i="11"/>
  <c r="R349" i="11"/>
  <c r="Q349" i="11"/>
  <c r="P349" i="11"/>
  <c r="O349" i="11"/>
  <c r="N349" i="11"/>
  <c r="M349" i="11"/>
  <c r="L349" i="11"/>
  <c r="V349" i="11" s="1"/>
  <c r="T348" i="11"/>
  <c r="S348" i="11"/>
  <c r="R348" i="11"/>
  <c r="Q348" i="11"/>
  <c r="P348" i="11"/>
  <c r="O348" i="11"/>
  <c r="N348" i="11"/>
  <c r="M348" i="11"/>
  <c r="L348" i="11"/>
  <c r="V348" i="11" s="1"/>
  <c r="T347" i="11"/>
  <c r="S347" i="11"/>
  <c r="R347" i="11"/>
  <c r="Q347" i="11"/>
  <c r="P347" i="11"/>
  <c r="O347" i="11"/>
  <c r="N347" i="11"/>
  <c r="M347" i="11"/>
  <c r="L347" i="11"/>
  <c r="V347" i="11" s="1"/>
  <c r="T346" i="11"/>
  <c r="S346" i="11"/>
  <c r="R346" i="11"/>
  <c r="Q346" i="11"/>
  <c r="P346" i="11"/>
  <c r="O346" i="11"/>
  <c r="N346" i="11"/>
  <c r="M346" i="11"/>
  <c r="L346" i="11"/>
  <c r="V346" i="11" s="1"/>
  <c r="T345" i="11"/>
  <c r="S345" i="11"/>
  <c r="R345" i="11"/>
  <c r="Q345" i="11"/>
  <c r="P345" i="11"/>
  <c r="O345" i="11"/>
  <c r="N345" i="11"/>
  <c r="M345" i="11"/>
  <c r="L345" i="11"/>
  <c r="V345" i="11" s="1"/>
  <c r="T344" i="11"/>
  <c r="S344" i="11"/>
  <c r="R344" i="11"/>
  <c r="Q344" i="11"/>
  <c r="P344" i="11"/>
  <c r="O344" i="11"/>
  <c r="N344" i="11"/>
  <c r="M344" i="11"/>
  <c r="L344" i="11"/>
  <c r="V344" i="11" s="1"/>
  <c r="T343" i="11"/>
  <c r="S343" i="11"/>
  <c r="R343" i="11"/>
  <c r="Q343" i="11"/>
  <c r="P343" i="11"/>
  <c r="O343" i="11"/>
  <c r="N343" i="11"/>
  <c r="M343" i="11"/>
  <c r="L343" i="11"/>
  <c r="V343" i="11" s="1"/>
  <c r="T342" i="11"/>
  <c r="S342" i="11"/>
  <c r="R342" i="11"/>
  <c r="Q342" i="11"/>
  <c r="P342" i="11"/>
  <c r="O342" i="11"/>
  <c r="N342" i="11"/>
  <c r="M342" i="11"/>
  <c r="L342" i="11"/>
  <c r="V342" i="11" s="1"/>
  <c r="T341" i="11"/>
  <c r="S341" i="11"/>
  <c r="R341" i="11"/>
  <c r="Q341" i="11"/>
  <c r="P341" i="11"/>
  <c r="O341" i="11"/>
  <c r="N341" i="11"/>
  <c r="M341" i="11"/>
  <c r="L341" i="11"/>
  <c r="V341" i="11" s="1"/>
  <c r="T340" i="11"/>
  <c r="S340" i="11"/>
  <c r="R340" i="11"/>
  <c r="Q340" i="11"/>
  <c r="P340" i="11"/>
  <c r="O340" i="11"/>
  <c r="N340" i="11"/>
  <c r="M340" i="11"/>
  <c r="L340" i="11"/>
  <c r="V340" i="11" s="1"/>
  <c r="T339" i="11"/>
  <c r="S339" i="11"/>
  <c r="R339" i="11"/>
  <c r="Q339" i="11"/>
  <c r="P339" i="11"/>
  <c r="O339" i="11"/>
  <c r="N339" i="11"/>
  <c r="M339" i="11"/>
  <c r="L339" i="11"/>
  <c r="V339" i="11" s="1"/>
  <c r="T338" i="11"/>
  <c r="S338" i="11"/>
  <c r="R338" i="11"/>
  <c r="Q338" i="11"/>
  <c r="P338" i="11"/>
  <c r="O338" i="11"/>
  <c r="N338" i="11"/>
  <c r="M338" i="11"/>
  <c r="L338" i="11"/>
  <c r="V338" i="11" s="1"/>
  <c r="T337" i="11"/>
  <c r="S337" i="11"/>
  <c r="R337" i="11"/>
  <c r="Q337" i="11"/>
  <c r="P337" i="11"/>
  <c r="O337" i="11"/>
  <c r="N337" i="11"/>
  <c r="M337" i="11"/>
  <c r="L337" i="11"/>
  <c r="V337" i="11" s="1"/>
  <c r="T336" i="11"/>
  <c r="S336" i="11"/>
  <c r="R336" i="11"/>
  <c r="Q336" i="11"/>
  <c r="P336" i="11"/>
  <c r="O336" i="11"/>
  <c r="N336" i="11"/>
  <c r="M336" i="11"/>
  <c r="L336" i="11"/>
  <c r="V336" i="11" s="1"/>
  <c r="T335" i="11"/>
  <c r="S335" i="11"/>
  <c r="R335" i="11"/>
  <c r="Q335" i="11"/>
  <c r="P335" i="11"/>
  <c r="O335" i="11"/>
  <c r="N335" i="11"/>
  <c r="M335" i="11"/>
  <c r="L335" i="11"/>
  <c r="V335" i="11" s="1"/>
  <c r="T334" i="11"/>
  <c r="S334" i="11"/>
  <c r="R334" i="11"/>
  <c r="Q334" i="11"/>
  <c r="P334" i="11"/>
  <c r="O334" i="11"/>
  <c r="N334" i="11"/>
  <c r="M334" i="11"/>
  <c r="L334" i="11"/>
  <c r="V334" i="11" s="1"/>
  <c r="T333" i="11"/>
  <c r="S333" i="11"/>
  <c r="R333" i="11"/>
  <c r="Q333" i="11"/>
  <c r="P333" i="11"/>
  <c r="O333" i="11"/>
  <c r="N333" i="11"/>
  <c r="M333" i="11"/>
  <c r="L333" i="11"/>
  <c r="V333" i="11" s="1"/>
  <c r="T332" i="11"/>
  <c r="S332" i="11"/>
  <c r="R332" i="11"/>
  <c r="Q332" i="11"/>
  <c r="P332" i="11"/>
  <c r="O332" i="11"/>
  <c r="N332" i="11"/>
  <c r="M332" i="11"/>
  <c r="L332" i="11"/>
  <c r="V332" i="11" s="1"/>
  <c r="T331" i="11"/>
  <c r="S331" i="11"/>
  <c r="R331" i="11"/>
  <c r="Q331" i="11"/>
  <c r="P331" i="11"/>
  <c r="O331" i="11"/>
  <c r="N331" i="11"/>
  <c r="M331" i="11"/>
  <c r="L331" i="11"/>
  <c r="V331" i="11" s="1"/>
  <c r="T330" i="11"/>
  <c r="S330" i="11"/>
  <c r="R330" i="11"/>
  <c r="Q330" i="11"/>
  <c r="P330" i="11"/>
  <c r="O330" i="11"/>
  <c r="N330" i="11"/>
  <c r="M330" i="11"/>
  <c r="L330" i="11"/>
  <c r="V330" i="11" s="1"/>
  <c r="T329" i="11"/>
  <c r="S329" i="11"/>
  <c r="R329" i="11"/>
  <c r="Q329" i="11"/>
  <c r="P329" i="11"/>
  <c r="O329" i="11"/>
  <c r="N329" i="11"/>
  <c r="M329" i="11"/>
  <c r="L329" i="11"/>
  <c r="V329" i="11" s="1"/>
  <c r="T328" i="11"/>
  <c r="S328" i="11"/>
  <c r="R328" i="11"/>
  <c r="Q328" i="11"/>
  <c r="P328" i="11"/>
  <c r="O328" i="11"/>
  <c r="N328" i="11"/>
  <c r="M328" i="11"/>
  <c r="L328" i="11"/>
  <c r="V328" i="11" s="1"/>
  <c r="T327" i="11"/>
  <c r="S327" i="11"/>
  <c r="R327" i="11"/>
  <c r="Q327" i="11"/>
  <c r="P327" i="11"/>
  <c r="O327" i="11"/>
  <c r="N327" i="11"/>
  <c r="M327" i="11"/>
  <c r="L327" i="11"/>
  <c r="V327" i="11" s="1"/>
  <c r="T326" i="11"/>
  <c r="S326" i="11"/>
  <c r="R326" i="11"/>
  <c r="Q326" i="11"/>
  <c r="P326" i="11"/>
  <c r="O326" i="11"/>
  <c r="N326" i="11"/>
  <c r="M326" i="11"/>
  <c r="L326" i="11"/>
  <c r="V326" i="11" s="1"/>
  <c r="T325" i="11"/>
  <c r="S325" i="11"/>
  <c r="R325" i="11"/>
  <c r="Q325" i="11"/>
  <c r="P325" i="11"/>
  <c r="O325" i="11"/>
  <c r="N325" i="11"/>
  <c r="M325" i="11"/>
  <c r="L325" i="11"/>
  <c r="V325" i="11" s="1"/>
  <c r="T324" i="11"/>
  <c r="S324" i="11"/>
  <c r="R324" i="11"/>
  <c r="Q324" i="11"/>
  <c r="P324" i="11"/>
  <c r="O324" i="11"/>
  <c r="N324" i="11"/>
  <c r="M324" i="11"/>
  <c r="L324" i="11"/>
  <c r="V324" i="11" s="1"/>
  <c r="T323" i="11"/>
  <c r="S323" i="11"/>
  <c r="R323" i="11"/>
  <c r="Q323" i="11"/>
  <c r="P323" i="11"/>
  <c r="O323" i="11"/>
  <c r="N323" i="11"/>
  <c r="M323" i="11"/>
  <c r="L323" i="11"/>
  <c r="V323" i="11" s="1"/>
  <c r="T322" i="11"/>
  <c r="S322" i="11"/>
  <c r="R322" i="11"/>
  <c r="Q322" i="11"/>
  <c r="P322" i="11"/>
  <c r="O322" i="11"/>
  <c r="N322" i="11"/>
  <c r="M322" i="11"/>
  <c r="L322" i="11"/>
  <c r="V322" i="11" s="1"/>
  <c r="T321" i="11"/>
  <c r="S321" i="11"/>
  <c r="R321" i="11"/>
  <c r="Q321" i="11"/>
  <c r="P321" i="11"/>
  <c r="O321" i="11"/>
  <c r="N321" i="11"/>
  <c r="M321" i="11"/>
  <c r="L321" i="11"/>
  <c r="V321" i="11" s="1"/>
  <c r="T320" i="11"/>
  <c r="S320" i="11"/>
  <c r="R320" i="11"/>
  <c r="Q320" i="11"/>
  <c r="P320" i="11"/>
  <c r="O320" i="11"/>
  <c r="N320" i="11"/>
  <c r="M320" i="11"/>
  <c r="L320" i="11"/>
  <c r="V320" i="11" s="1"/>
  <c r="T319" i="11"/>
  <c r="S319" i="11"/>
  <c r="R319" i="11"/>
  <c r="Q319" i="11"/>
  <c r="P319" i="11"/>
  <c r="O319" i="11"/>
  <c r="N319" i="11"/>
  <c r="M319" i="11"/>
  <c r="L319" i="11"/>
  <c r="V319" i="11" s="1"/>
  <c r="T318" i="11"/>
  <c r="S318" i="11"/>
  <c r="R318" i="11"/>
  <c r="Q318" i="11"/>
  <c r="P318" i="11"/>
  <c r="O318" i="11"/>
  <c r="N318" i="11"/>
  <c r="M318" i="11"/>
  <c r="L318" i="11"/>
  <c r="V318" i="11" s="1"/>
  <c r="T317" i="11"/>
  <c r="S317" i="11"/>
  <c r="R317" i="11"/>
  <c r="Q317" i="11"/>
  <c r="P317" i="11"/>
  <c r="O317" i="11"/>
  <c r="N317" i="11"/>
  <c r="M317" i="11"/>
  <c r="L317" i="11"/>
  <c r="V317" i="11" s="1"/>
  <c r="T316" i="11"/>
  <c r="S316" i="11"/>
  <c r="R316" i="11"/>
  <c r="Q316" i="11"/>
  <c r="P316" i="11"/>
  <c r="O316" i="11"/>
  <c r="N316" i="11"/>
  <c r="M316" i="11"/>
  <c r="L316" i="11"/>
  <c r="V316" i="11" s="1"/>
  <c r="T315" i="11"/>
  <c r="S315" i="11"/>
  <c r="R315" i="11"/>
  <c r="Q315" i="11"/>
  <c r="P315" i="11"/>
  <c r="O315" i="11"/>
  <c r="N315" i="11"/>
  <c r="M315" i="11"/>
  <c r="L315" i="11"/>
  <c r="V315" i="11" s="1"/>
  <c r="T314" i="11"/>
  <c r="S314" i="11"/>
  <c r="R314" i="11"/>
  <c r="Q314" i="11"/>
  <c r="P314" i="11"/>
  <c r="O314" i="11"/>
  <c r="N314" i="11"/>
  <c r="M314" i="11"/>
  <c r="L314" i="11"/>
  <c r="V314" i="11" s="1"/>
  <c r="T313" i="11"/>
  <c r="S313" i="11"/>
  <c r="R313" i="11"/>
  <c r="Q313" i="11"/>
  <c r="P313" i="11"/>
  <c r="O313" i="11"/>
  <c r="N313" i="11"/>
  <c r="M313" i="11"/>
  <c r="L313" i="11"/>
  <c r="V313" i="11" s="1"/>
  <c r="T312" i="11"/>
  <c r="S312" i="11"/>
  <c r="R312" i="11"/>
  <c r="Q312" i="11"/>
  <c r="P312" i="11"/>
  <c r="O312" i="11"/>
  <c r="N312" i="11"/>
  <c r="M312" i="11"/>
  <c r="L312" i="11"/>
  <c r="V312" i="11" s="1"/>
  <c r="T311" i="11"/>
  <c r="S311" i="11"/>
  <c r="R311" i="11"/>
  <c r="Q311" i="11"/>
  <c r="P311" i="11"/>
  <c r="O311" i="11"/>
  <c r="N311" i="11"/>
  <c r="M311" i="11"/>
  <c r="L311" i="11"/>
  <c r="V311" i="11" s="1"/>
  <c r="T310" i="11"/>
  <c r="S310" i="11"/>
  <c r="R310" i="11"/>
  <c r="Q310" i="11"/>
  <c r="P310" i="11"/>
  <c r="O310" i="11"/>
  <c r="N310" i="11"/>
  <c r="M310" i="11"/>
  <c r="L310" i="11"/>
  <c r="V310" i="11" s="1"/>
  <c r="T309" i="11"/>
  <c r="S309" i="11"/>
  <c r="R309" i="11"/>
  <c r="Q309" i="11"/>
  <c r="P309" i="11"/>
  <c r="O309" i="11"/>
  <c r="N309" i="11"/>
  <c r="M309" i="11"/>
  <c r="L309" i="11"/>
  <c r="V309" i="11" s="1"/>
  <c r="T308" i="11"/>
  <c r="S308" i="11"/>
  <c r="R308" i="11"/>
  <c r="Q308" i="11"/>
  <c r="P308" i="11"/>
  <c r="O308" i="11"/>
  <c r="N308" i="11"/>
  <c r="M308" i="11"/>
  <c r="L308" i="11"/>
  <c r="V308" i="11" s="1"/>
  <c r="T307" i="11"/>
  <c r="S307" i="11"/>
  <c r="R307" i="11"/>
  <c r="Q307" i="11"/>
  <c r="P307" i="11"/>
  <c r="O307" i="11"/>
  <c r="N307" i="11"/>
  <c r="M307" i="11"/>
  <c r="L307" i="11"/>
  <c r="V307" i="11" s="1"/>
  <c r="T306" i="11"/>
  <c r="S306" i="11"/>
  <c r="R306" i="11"/>
  <c r="Q306" i="11"/>
  <c r="P306" i="11"/>
  <c r="O306" i="11"/>
  <c r="N306" i="11"/>
  <c r="M306" i="11"/>
  <c r="L306" i="11"/>
  <c r="V306" i="11" s="1"/>
  <c r="T305" i="11"/>
  <c r="S305" i="11"/>
  <c r="R305" i="11"/>
  <c r="Q305" i="11"/>
  <c r="P305" i="11"/>
  <c r="O305" i="11"/>
  <c r="N305" i="11"/>
  <c r="M305" i="11"/>
  <c r="L305" i="11"/>
  <c r="V305" i="11" s="1"/>
  <c r="T304" i="11"/>
  <c r="S304" i="11"/>
  <c r="R304" i="11"/>
  <c r="Q304" i="11"/>
  <c r="P304" i="11"/>
  <c r="O304" i="11"/>
  <c r="N304" i="11"/>
  <c r="M304" i="11"/>
  <c r="L304" i="11"/>
  <c r="V304" i="11" s="1"/>
  <c r="T303" i="11"/>
  <c r="S303" i="11"/>
  <c r="R303" i="11"/>
  <c r="Q303" i="11"/>
  <c r="P303" i="11"/>
  <c r="O303" i="11"/>
  <c r="N303" i="11"/>
  <c r="M303" i="11"/>
  <c r="L303" i="11"/>
  <c r="V303" i="11" s="1"/>
  <c r="T302" i="11"/>
  <c r="S302" i="11"/>
  <c r="R302" i="11"/>
  <c r="Q302" i="11"/>
  <c r="P302" i="11"/>
  <c r="O302" i="11"/>
  <c r="N302" i="11"/>
  <c r="M302" i="11"/>
  <c r="L302" i="11"/>
  <c r="V302" i="11" s="1"/>
  <c r="T301" i="11"/>
  <c r="S301" i="11"/>
  <c r="R301" i="11"/>
  <c r="Q301" i="11"/>
  <c r="P301" i="11"/>
  <c r="O301" i="11"/>
  <c r="N301" i="11"/>
  <c r="M301" i="11"/>
  <c r="L301" i="11"/>
  <c r="V301" i="11" s="1"/>
  <c r="T300" i="11"/>
  <c r="S300" i="11"/>
  <c r="R300" i="11"/>
  <c r="Q300" i="11"/>
  <c r="P300" i="11"/>
  <c r="O300" i="11"/>
  <c r="N300" i="11"/>
  <c r="M300" i="11"/>
  <c r="L300" i="11"/>
  <c r="V300" i="11" s="1"/>
  <c r="T299" i="11"/>
  <c r="S299" i="11"/>
  <c r="R299" i="11"/>
  <c r="Q299" i="11"/>
  <c r="P299" i="11"/>
  <c r="O299" i="11"/>
  <c r="N299" i="11"/>
  <c r="M299" i="11"/>
  <c r="L299" i="11"/>
  <c r="V299" i="11" s="1"/>
  <c r="T298" i="11"/>
  <c r="S298" i="11"/>
  <c r="R298" i="11"/>
  <c r="Q298" i="11"/>
  <c r="P298" i="11"/>
  <c r="O298" i="11"/>
  <c r="N298" i="11"/>
  <c r="M298" i="11"/>
  <c r="L298" i="11"/>
  <c r="V298" i="11" s="1"/>
  <c r="T297" i="11"/>
  <c r="S297" i="11"/>
  <c r="R297" i="11"/>
  <c r="Q297" i="11"/>
  <c r="P297" i="11"/>
  <c r="O297" i="11"/>
  <c r="N297" i="11"/>
  <c r="M297" i="11"/>
  <c r="L297" i="11"/>
  <c r="V297" i="11" s="1"/>
  <c r="T296" i="11"/>
  <c r="S296" i="11"/>
  <c r="R296" i="11"/>
  <c r="Q296" i="11"/>
  <c r="P296" i="11"/>
  <c r="O296" i="11"/>
  <c r="N296" i="11"/>
  <c r="M296" i="11"/>
  <c r="L296" i="11"/>
  <c r="V296" i="11" s="1"/>
  <c r="T295" i="11"/>
  <c r="S295" i="11"/>
  <c r="R295" i="11"/>
  <c r="Q295" i="11"/>
  <c r="P295" i="11"/>
  <c r="O295" i="11"/>
  <c r="N295" i="11"/>
  <c r="M295" i="11"/>
  <c r="L295" i="11"/>
  <c r="V295" i="11" s="1"/>
  <c r="T294" i="11"/>
  <c r="S294" i="11"/>
  <c r="R294" i="11"/>
  <c r="Q294" i="11"/>
  <c r="P294" i="11"/>
  <c r="O294" i="11"/>
  <c r="N294" i="11"/>
  <c r="M294" i="11"/>
  <c r="L294" i="11"/>
  <c r="V294" i="11" s="1"/>
  <c r="T293" i="11"/>
  <c r="S293" i="11"/>
  <c r="R293" i="11"/>
  <c r="Q293" i="11"/>
  <c r="P293" i="11"/>
  <c r="O293" i="11"/>
  <c r="N293" i="11"/>
  <c r="M293" i="11"/>
  <c r="L293" i="11"/>
  <c r="V293" i="11" s="1"/>
  <c r="T292" i="11"/>
  <c r="S292" i="11"/>
  <c r="R292" i="11"/>
  <c r="Q292" i="11"/>
  <c r="P292" i="11"/>
  <c r="O292" i="11"/>
  <c r="N292" i="11"/>
  <c r="M292" i="11"/>
  <c r="L292" i="11"/>
  <c r="V292" i="11" s="1"/>
  <c r="T291" i="11"/>
  <c r="S291" i="11"/>
  <c r="R291" i="11"/>
  <c r="Q291" i="11"/>
  <c r="P291" i="11"/>
  <c r="O291" i="11"/>
  <c r="N291" i="11"/>
  <c r="M291" i="11"/>
  <c r="L291" i="11"/>
  <c r="V291" i="11" s="1"/>
  <c r="T290" i="11"/>
  <c r="S290" i="11"/>
  <c r="R290" i="11"/>
  <c r="Q290" i="11"/>
  <c r="P290" i="11"/>
  <c r="O290" i="11"/>
  <c r="N290" i="11"/>
  <c r="M290" i="11"/>
  <c r="L290" i="11"/>
  <c r="V290" i="11" s="1"/>
  <c r="T289" i="11"/>
  <c r="S289" i="11"/>
  <c r="R289" i="11"/>
  <c r="Q289" i="11"/>
  <c r="P289" i="11"/>
  <c r="O289" i="11"/>
  <c r="N289" i="11"/>
  <c r="M289" i="11"/>
  <c r="L289" i="11"/>
  <c r="V289" i="11" s="1"/>
  <c r="T288" i="11"/>
  <c r="S288" i="11"/>
  <c r="R288" i="11"/>
  <c r="Q288" i="11"/>
  <c r="P288" i="11"/>
  <c r="O288" i="11"/>
  <c r="N288" i="11"/>
  <c r="M288" i="11"/>
  <c r="L288" i="11"/>
  <c r="V288" i="11" s="1"/>
  <c r="T287" i="11"/>
  <c r="S287" i="11"/>
  <c r="R287" i="11"/>
  <c r="Q287" i="11"/>
  <c r="P287" i="11"/>
  <c r="O287" i="11"/>
  <c r="N287" i="11"/>
  <c r="M287" i="11"/>
  <c r="L287" i="11"/>
  <c r="V287" i="11" s="1"/>
  <c r="T286" i="11"/>
  <c r="S286" i="11"/>
  <c r="R286" i="11"/>
  <c r="Q286" i="11"/>
  <c r="P286" i="11"/>
  <c r="O286" i="11"/>
  <c r="N286" i="11"/>
  <c r="M286" i="11"/>
  <c r="L286" i="11"/>
  <c r="V286" i="11" s="1"/>
  <c r="T285" i="11"/>
  <c r="S285" i="11"/>
  <c r="R285" i="11"/>
  <c r="Q285" i="11"/>
  <c r="P285" i="11"/>
  <c r="O285" i="11"/>
  <c r="N285" i="11"/>
  <c r="M285" i="11"/>
  <c r="L285" i="11"/>
  <c r="V285" i="11" s="1"/>
  <c r="T284" i="11"/>
  <c r="S284" i="11"/>
  <c r="R284" i="11"/>
  <c r="Q284" i="11"/>
  <c r="P284" i="11"/>
  <c r="O284" i="11"/>
  <c r="N284" i="11"/>
  <c r="M284" i="11"/>
  <c r="L284" i="11"/>
  <c r="V284" i="11" s="1"/>
  <c r="T283" i="11"/>
  <c r="S283" i="11"/>
  <c r="R283" i="11"/>
  <c r="Q283" i="11"/>
  <c r="P283" i="11"/>
  <c r="O283" i="11"/>
  <c r="N283" i="11"/>
  <c r="M283" i="11"/>
  <c r="L283" i="11"/>
  <c r="V283" i="11" s="1"/>
  <c r="T282" i="11"/>
  <c r="S282" i="11"/>
  <c r="R282" i="11"/>
  <c r="Q282" i="11"/>
  <c r="P282" i="11"/>
  <c r="O282" i="11"/>
  <c r="N282" i="11"/>
  <c r="M282" i="11"/>
  <c r="L282" i="11"/>
  <c r="V282" i="11" s="1"/>
  <c r="T281" i="11"/>
  <c r="S281" i="11"/>
  <c r="R281" i="11"/>
  <c r="Q281" i="11"/>
  <c r="P281" i="11"/>
  <c r="O281" i="11"/>
  <c r="N281" i="11"/>
  <c r="M281" i="11"/>
  <c r="L281" i="11"/>
  <c r="V281" i="11" s="1"/>
  <c r="T280" i="11"/>
  <c r="S280" i="11"/>
  <c r="R280" i="11"/>
  <c r="Q280" i="11"/>
  <c r="P280" i="11"/>
  <c r="O280" i="11"/>
  <c r="N280" i="11"/>
  <c r="M280" i="11"/>
  <c r="L280" i="11"/>
  <c r="V280" i="11" s="1"/>
  <c r="T279" i="11"/>
  <c r="S279" i="11"/>
  <c r="R279" i="11"/>
  <c r="Q279" i="11"/>
  <c r="P279" i="11"/>
  <c r="O279" i="11"/>
  <c r="N279" i="11"/>
  <c r="M279" i="11"/>
  <c r="L279" i="11"/>
  <c r="V279" i="11" s="1"/>
  <c r="T278" i="11"/>
  <c r="S278" i="11"/>
  <c r="R278" i="11"/>
  <c r="Q278" i="11"/>
  <c r="P278" i="11"/>
  <c r="O278" i="11"/>
  <c r="N278" i="11"/>
  <c r="M278" i="11"/>
  <c r="L278" i="11"/>
  <c r="V278" i="11" s="1"/>
  <c r="T277" i="11"/>
  <c r="S277" i="11"/>
  <c r="R277" i="11"/>
  <c r="Q277" i="11"/>
  <c r="P277" i="11"/>
  <c r="O277" i="11"/>
  <c r="N277" i="11"/>
  <c r="M277" i="11"/>
  <c r="L277" i="11"/>
  <c r="V277" i="11" s="1"/>
  <c r="T276" i="11"/>
  <c r="S276" i="11"/>
  <c r="R276" i="11"/>
  <c r="Q276" i="11"/>
  <c r="P276" i="11"/>
  <c r="O276" i="11"/>
  <c r="N276" i="11"/>
  <c r="M276" i="11"/>
  <c r="L276" i="11"/>
  <c r="V276" i="11" s="1"/>
  <c r="T275" i="11"/>
  <c r="S275" i="11"/>
  <c r="R275" i="11"/>
  <c r="Q275" i="11"/>
  <c r="P275" i="11"/>
  <c r="O275" i="11"/>
  <c r="N275" i="11"/>
  <c r="M275" i="11"/>
  <c r="L275" i="11"/>
  <c r="V275" i="11" s="1"/>
  <c r="T274" i="11"/>
  <c r="S274" i="11"/>
  <c r="R274" i="11"/>
  <c r="Q274" i="11"/>
  <c r="P274" i="11"/>
  <c r="O274" i="11"/>
  <c r="N274" i="11"/>
  <c r="M274" i="11"/>
  <c r="L274" i="11"/>
  <c r="V274" i="11" s="1"/>
  <c r="T273" i="11"/>
  <c r="S273" i="11"/>
  <c r="R273" i="11"/>
  <c r="Q273" i="11"/>
  <c r="P273" i="11"/>
  <c r="O273" i="11"/>
  <c r="N273" i="11"/>
  <c r="M273" i="11"/>
  <c r="L273" i="11"/>
  <c r="V273" i="11" s="1"/>
  <c r="T272" i="11"/>
  <c r="S272" i="11"/>
  <c r="R272" i="11"/>
  <c r="Q272" i="11"/>
  <c r="P272" i="11"/>
  <c r="O272" i="11"/>
  <c r="N272" i="11"/>
  <c r="M272" i="11"/>
  <c r="L272" i="11"/>
  <c r="V272" i="11" s="1"/>
  <c r="T271" i="11"/>
  <c r="S271" i="11"/>
  <c r="R271" i="11"/>
  <c r="Q271" i="11"/>
  <c r="P271" i="11"/>
  <c r="O271" i="11"/>
  <c r="N271" i="11"/>
  <c r="M271" i="11"/>
  <c r="L271" i="11"/>
  <c r="V271" i="11" s="1"/>
  <c r="T270" i="11"/>
  <c r="S270" i="11"/>
  <c r="R270" i="11"/>
  <c r="Q270" i="11"/>
  <c r="P270" i="11"/>
  <c r="O270" i="11"/>
  <c r="N270" i="11"/>
  <c r="M270" i="11"/>
  <c r="L270" i="11"/>
  <c r="V270" i="11" s="1"/>
  <c r="T269" i="11"/>
  <c r="S269" i="11"/>
  <c r="R269" i="11"/>
  <c r="Q269" i="11"/>
  <c r="P269" i="11"/>
  <c r="O269" i="11"/>
  <c r="N269" i="11"/>
  <c r="M269" i="11"/>
  <c r="L269" i="11"/>
  <c r="V269" i="11" s="1"/>
  <c r="T268" i="11"/>
  <c r="S268" i="11"/>
  <c r="R268" i="11"/>
  <c r="Q268" i="11"/>
  <c r="P268" i="11"/>
  <c r="O268" i="11"/>
  <c r="N268" i="11"/>
  <c r="M268" i="11"/>
  <c r="L268" i="11"/>
  <c r="V268" i="11" s="1"/>
  <c r="T267" i="11"/>
  <c r="S267" i="11"/>
  <c r="R267" i="11"/>
  <c r="Q267" i="11"/>
  <c r="P267" i="11"/>
  <c r="O267" i="11"/>
  <c r="N267" i="11"/>
  <c r="M267" i="11"/>
  <c r="L267" i="11"/>
  <c r="V267" i="11" s="1"/>
  <c r="T266" i="11"/>
  <c r="S266" i="11"/>
  <c r="R266" i="11"/>
  <c r="Q266" i="11"/>
  <c r="P266" i="11"/>
  <c r="O266" i="11"/>
  <c r="N266" i="11"/>
  <c r="M266" i="11"/>
  <c r="L266" i="11"/>
  <c r="V266" i="11" s="1"/>
  <c r="T265" i="11"/>
  <c r="S265" i="11"/>
  <c r="R265" i="11"/>
  <c r="Q265" i="11"/>
  <c r="P265" i="11"/>
  <c r="O265" i="11"/>
  <c r="N265" i="11"/>
  <c r="M265" i="11"/>
  <c r="L265" i="11"/>
  <c r="V265" i="11" s="1"/>
  <c r="T264" i="11"/>
  <c r="S264" i="11"/>
  <c r="R264" i="11"/>
  <c r="Q264" i="11"/>
  <c r="P264" i="11"/>
  <c r="O264" i="11"/>
  <c r="N264" i="11"/>
  <c r="M264" i="11"/>
  <c r="L264" i="11"/>
  <c r="V264" i="11" s="1"/>
  <c r="T263" i="11"/>
  <c r="S263" i="11"/>
  <c r="R263" i="11"/>
  <c r="Q263" i="11"/>
  <c r="P263" i="11"/>
  <c r="O263" i="11"/>
  <c r="N263" i="11"/>
  <c r="M263" i="11"/>
  <c r="L263" i="11"/>
  <c r="V263" i="11" s="1"/>
  <c r="T262" i="11"/>
  <c r="S262" i="11"/>
  <c r="R262" i="11"/>
  <c r="Q262" i="11"/>
  <c r="P262" i="11"/>
  <c r="O262" i="11"/>
  <c r="N262" i="11"/>
  <c r="M262" i="11"/>
  <c r="L262" i="11"/>
  <c r="V262" i="11" s="1"/>
  <c r="T261" i="11"/>
  <c r="S261" i="11"/>
  <c r="R261" i="11"/>
  <c r="Q261" i="11"/>
  <c r="P261" i="11"/>
  <c r="O261" i="11"/>
  <c r="N261" i="11"/>
  <c r="M261" i="11"/>
  <c r="L261" i="11"/>
  <c r="V261" i="11" s="1"/>
  <c r="T260" i="11"/>
  <c r="S260" i="11"/>
  <c r="R260" i="11"/>
  <c r="Q260" i="11"/>
  <c r="P260" i="11"/>
  <c r="O260" i="11"/>
  <c r="N260" i="11"/>
  <c r="M260" i="11"/>
  <c r="L260" i="11"/>
  <c r="V260" i="11" s="1"/>
  <c r="T259" i="11"/>
  <c r="S259" i="11"/>
  <c r="R259" i="11"/>
  <c r="Q259" i="11"/>
  <c r="P259" i="11"/>
  <c r="O259" i="11"/>
  <c r="N259" i="11"/>
  <c r="M259" i="11"/>
  <c r="L259" i="11"/>
  <c r="V259" i="11" s="1"/>
  <c r="T258" i="11"/>
  <c r="S258" i="11"/>
  <c r="R258" i="11"/>
  <c r="Q258" i="11"/>
  <c r="P258" i="11"/>
  <c r="O258" i="11"/>
  <c r="N258" i="11"/>
  <c r="M258" i="11"/>
  <c r="L258" i="11"/>
  <c r="V258" i="11" s="1"/>
  <c r="T257" i="11"/>
  <c r="S257" i="11"/>
  <c r="R257" i="11"/>
  <c r="Q257" i="11"/>
  <c r="P257" i="11"/>
  <c r="O257" i="11"/>
  <c r="N257" i="11"/>
  <c r="M257" i="11"/>
  <c r="L257" i="11"/>
  <c r="V257" i="11" s="1"/>
  <c r="T256" i="11"/>
  <c r="S256" i="11"/>
  <c r="R256" i="11"/>
  <c r="Q256" i="11"/>
  <c r="P256" i="11"/>
  <c r="O256" i="11"/>
  <c r="N256" i="11"/>
  <c r="M256" i="11"/>
  <c r="L256" i="11"/>
  <c r="V256" i="11" s="1"/>
  <c r="T255" i="11"/>
  <c r="S255" i="11"/>
  <c r="R255" i="11"/>
  <c r="Q255" i="11"/>
  <c r="P255" i="11"/>
  <c r="O255" i="11"/>
  <c r="N255" i="11"/>
  <c r="M255" i="11"/>
  <c r="L255" i="11"/>
  <c r="V255" i="11" s="1"/>
  <c r="T254" i="11"/>
  <c r="S254" i="11"/>
  <c r="R254" i="11"/>
  <c r="Q254" i="11"/>
  <c r="P254" i="11"/>
  <c r="O254" i="11"/>
  <c r="N254" i="11"/>
  <c r="M254" i="11"/>
  <c r="L254" i="11"/>
  <c r="V254" i="11" s="1"/>
  <c r="T253" i="11"/>
  <c r="S253" i="11"/>
  <c r="R253" i="11"/>
  <c r="Q253" i="11"/>
  <c r="P253" i="11"/>
  <c r="O253" i="11"/>
  <c r="N253" i="11"/>
  <c r="M253" i="11"/>
  <c r="L253" i="11"/>
  <c r="V253" i="11" s="1"/>
  <c r="T252" i="11"/>
  <c r="S252" i="11"/>
  <c r="R252" i="11"/>
  <c r="Q252" i="11"/>
  <c r="P252" i="11"/>
  <c r="O252" i="11"/>
  <c r="N252" i="11"/>
  <c r="M252" i="11"/>
  <c r="L252" i="11"/>
  <c r="V252" i="11" s="1"/>
  <c r="T251" i="11"/>
  <c r="S251" i="11"/>
  <c r="R251" i="11"/>
  <c r="Q251" i="11"/>
  <c r="P251" i="11"/>
  <c r="O251" i="11"/>
  <c r="N251" i="11"/>
  <c r="M251" i="11"/>
  <c r="L251" i="11"/>
  <c r="V251" i="11" s="1"/>
  <c r="T250" i="11"/>
  <c r="S250" i="11"/>
  <c r="R250" i="11"/>
  <c r="Q250" i="11"/>
  <c r="P250" i="11"/>
  <c r="O250" i="11"/>
  <c r="N250" i="11"/>
  <c r="M250" i="11"/>
  <c r="L250" i="11"/>
  <c r="V250" i="11" s="1"/>
  <c r="T249" i="11"/>
  <c r="S249" i="11"/>
  <c r="R249" i="11"/>
  <c r="Q249" i="11"/>
  <c r="P249" i="11"/>
  <c r="O249" i="11"/>
  <c r="N249" i="11"/>
  <c r="M249" i="11"/>
  <c r="L249" i="11"/>
  <c r="V249" i="11" s="1"/>
  <c r="T248" i="11"/>
  <c r="S248" i="11"/>
  <c r="R248" i="11"/>
  <c r="Q248" i="11"/>
  <c r="P248" i="11"/>
  <c r="O248" i="11"/>
  <c r="N248" i="11"/>
  <c r="M248" i="11"/>
  <c r="L248" i="11"/>
  <c r="V248" i="11" s="1"/>
  <c r="T247" i="11"/>
  <c r="S247" i="11"/>
  <c r="R247" i="11"/>
  <c r="Q247" i="11"/>
  <c r="P247" i="11"/>
  <c r="O247" i="11"/>
  <c r="N247" i="11"/>
  <c r="M247" i="11"/>
  <c r="L247" i="11"/>
  <c r="V247" i="11" s="1"/>
  <c r="T246" i="11"/>
  <c r="S246" i="11"/>
  <c r="R246" i="11"/>
  <c r="Q246" i="11"/>
  <c r="P246" i="11"/>
  <c r="O246" i="11"/>
  <c r="N246" i="11"/>
  <c r="M246" i="11"/>
  <c r="L246" i="11"/>
  <c r="V246" i="11" s="1"/>
  <c r="T245" i="11"/>
  <c r="S245" i="11"/>
  <c r="R245" i="11"/>
  <c r="Q245" i="11"/>
  <c r="P245" i="11"/>
  <c r="O245" i="11"/>
  <c r="N245" i="11"/>
  <c r="M245" i="11"/>
  <c r="L245" i="11"/>
  <c r="V245" i="11" s="1"/>
  <c r="T244" i="11"/>
  <c r="S244" i="11"/>
  <c r="R244" i="11"/>
  <c r="Q244" i="11"/>
  <c r="P244" i="11"/>
  <c r="O244" i="11"/>
  <c r="N244" i="11"/>
  <c r="M244" i="11"/>
  <c r="L244" i="11"/>
  <c r="V244" i="11" s="1"/>
  <c r="T243" i="11"/>
  <c r="S243" i="11"/>
  <c r="R243" i="11"/>
  <c r="Q243" i="11"/>
  <c r="P243" i="11"/>
  <c r="O243" i="11"/>
  <c r="N243" i="11"/>
  <c r="M243" i="11"/>
  <c r="L243" i="11"/>
  <c r="V243" i="11" s="1"/>
  <c r="T242" i="11"/>
  <c r="S242" i="11"/>
  <c r="R242" i="11"/>
  <c r="Q242" i="11"/>
  <c r="P242" i="11"/>
  <c r="O242" i="11"/>
  <c r="N242" i="11"/>
  <c r="M242" i="11"/>
  <c r="L242" i="11"/>
  <c r="V242" i="11" s="1"/>
  <c r="T241" i="11"/>
  <c r="S241" i="11"/>
  <c r="R241" i="11"/>
  <c r="Q241" i="11"/>
  <c r="P241" i="11"/>
  <c r="O241" i="11"/>
  <c r="N241" i="11"/>
  <c r="M241" i="11"/>
  <c r="L241" i="11"/>
  <c r="V241" i="11" s="1"/>
  <c r="T240" i="11"/>
  <c r="S240" i="11"/>
  <c r="R240" i="11"/>
  <c r="Q240" i="11"/>
  <c r="P240" i="11"/>
  <c r="O240" i="11"/>
  <c r="N240" i="11"/>
  <c r="M240" i="11"/>
  <c r="L240" i="11"/>
  <c r="V240" i="11" s="1"/>
  <c r="T239" i="11"/>
  <c r="S239" i="11"/>
  <c r="R239" i="11"/>
  <c r="Q239" i="11"/>
  <c r="P239" i="11"/>
  <c r="O239" i="11"/>
  <c r="N239" i="11"/>
  <c r="M239" i="11"/>
  <c r="L239" i="11"/>
  <c r="V239" i="11" s="1"/>
  <c r="T238" i="11"/>
  <c r="S238" i="11"/>
  <c r="R238" i="11"/>
  <c r="Q238" i="11"/>
  <c r="P238" i="11"/>
  <c r="O238" i="11"/>
  <c r="N238" i="11"/>
  <c r="M238" i="11"/>
  <c r="L238" i="11"/>
  <c r="V238" i="11" s="1"/>
  <c r="T237" i="11"/>
  <c r="S237" i="11"/>
  <c r="R237" i="11"/>
  <c r="Q237" i="11"/>
  <c r="P237" i="11"/>
  <c r="O237" i="11"/>
  <c r="N237" i="11"/>
  <c r="M237" i="11"/>
  <c r="L237" i="11"/>
  <c r="V237" i="11" s="1"/>
  <c r="T236" i="11"/>
  <c r="S236" i="11"/>
  <c r="R236" i="11"/>
  <c r="Q236" i="11"/>
  <c r="P236" i="11"/>
  <c r="O236" i="11"/>
  <c r="N236" i="11"/>
  <c r="M236" i="11"/>
  <c r="L236" i="11"/>
  <c r="V236" i="11" s="1"/>
  <c r="T235" i="11"/>
  <c r="S235" i="11"/>
  <c r="R235" i="11"/>
  <c r="Q235" i="11"/>
  <c r="P235" i="11"/>
  <c r="O235" i="11"/>
  <c r="N235" i="11"/>
  <c r="M235" i="11"/>
  <c r="L235" i="11"/>
  <c r="V235" i="11" s="1"/>
  <c r="T234" i="11"/>
  <c r="S234" i="11"/>
  <c r="R234" i="11"/>
  <c r="Q234" i="11"/>
  <c r="P234" i="11"/>
  <c r="O234" i="11"/>
  <c r="N234" i="11"/>
  <c r="M234" i="11"/>
  <c r="L234" i="11"/>
  <c r="V234" i="11" s="1"/>
  <c r="T233" i="11"/>
  <c r="S233" i="11"/>
  <c r="R233" i="11"/>
  <c r="Q233" i="11"/>
  <c r="P233" i="11"/>
  <c r="O233" i="11"/>
  <c r="N233" i="11"/>
  <c r="M233" i="11"/>
  <c r="L233" i="11"/>
  <c r="V233" i="11" s="1"/>
  <c r="T232" i="11"/>
  <c r="S232" i="11"/>
  <c r="R232" i="11"/>
  <c r="Q232" i="11"/>
  <c r="P232" i="11"/>
  <c r="O232" i="11"/>
  <c r="N232" i="11"/>
  <c r="M232" i="11"/>
  <c r="L232" i="11"/>
  <c r="V232" i="11" s="1"/>
  <c r="T231" i="11"/>
  <c r="S231" i="11"/>
  <c r="R231" i="11"/>
  <c r="Q231" i="11"/>
  <c r="P231" i="11"/>
  <c r="O231" i="11"/>
  <c r="N231" i="11"/>
  <c r="M231" i="11"/>
  <c r="L231" i="11"/>
  <c r="V231" i="11" s="1"/>
  <c r="T230" i="11"/>
  <c r="S230" i="11"/>
  <c r="R230" i="11"/>
  <c r="Q230" i="11"/>
  <c r="P230" i="11"/>
  <c r="O230" i="11"/>
  <c r="N230" i="11"/>
  <c r="M230" i="11"/>
  <c r="L230" i="11"/>
  <c r="V230" i="11" s="1"/>
  <c r="T229" i="11"/>
  <c r="S229" i="11"/>
  <c r="R229" i="11"/>
  <c r="Q229" i="11"/>
  <c r="P229" i="11"/>
  <c r="O229" i="11"/>
  <c r="N229" i="11"/>
  <c r="M229" i="11"/>
  <c r="L229" i="11"/>
  <c r="V229" i="11" s="1"/>
  <c r="T228" i="11"/>
  <c r="S228" i="11"/>
  <c r="R228" i="11"/>
  <c r="Q228" i="11"/>
  <c r="P228" i="11"/>
  <c r="O228" i="11"/>
  <c r="N228" i="11"/>
  <c r="M228" i="11"/>
  <c r="L228" i="11"/>
  <c r="V228" i="11" s="1"/>
  <c r="T227" i="11"/>
  <c r="S227" i="11"/>
  <c r="R227" i="11"/>
  <c r="Q227" i="11"/>
  <c r="P227" i="11"/>
  <c r="O227" i="11"/>
  <c r="N227" i="11"/>
  <c r="M227" i="11"/>
  <c r="L227" i="11"/>
  <c r="V227" i="11" s="1"/>
  <c r="T226" i="11"/>
  <c r="S226" i="11"/>
  <c r="R226" i="11"/>
  <c r="Q226" i="11"/>
  <c r="P226" i="11"/>
  <c r="O226" i="11"/>
  <c r="N226" i="11"/>
  <c r="M226" i="11"/>
  <c r="L226" i="11"/>
  <c r="V226" i="11" s="1"/>
  <c r="T225" i="11"/>
  <c r="S225" i="11"/>
  <c r="R225" i="11"/>
  <c r="Q225" i="11"/>
  <c r="P225" i="11"/>
  <c r="O225" i="11"/>
  <c r="N225" i="11"/>
  <c r="M225" i="11"/>
  <c r="L225" i="11"/>
  <c r="V225" i="11" s="1"/>
  <c r="T224" i="11"/>
  <c r="S224" i="11"/>
  <c r="R224" i="11"/>
  <c r="Q224" i="11"/>
  <c r="P224" i="11"/>
  <c r="O224" i="11"/>
  <c r="N224" i="11"/>
  <c r="M224" i="11"/>
  <c r="L224" i="11"/>
  <c r="V224" i="11" s="1"/>
  <c r="T223" i="11"/>
  <c r="S223" i="11"/>
  <c r="R223" i="11"/>
  <c r="Q223" i="11"/>
  <c r="P223" i="11"/>
  <c r="O223" i="11"/>
  <c r="N223" i="11"/>
  <c r="M223" i="11"/>
  <c r="L223" i="11"/>
  <c r="V223" i="11" s="1"/>
  <c r="T222" i="11"/>
  <c r="S222" i="11"/>
  <c r="R222" i="11"/>
  <c r="Q222" i="11"/>
  <c r="P222" i="11"/>
  <c r="O222" i="11"/>
  <c r="N222" i="11"/>
  <c r="M222" i="11"/>
  <c r="L222" i="11"/>
  <c r="V222" i="11" s="1"/>
  <c r="T221" i="11"/>
  <c r="S221" i="11"/>
  <c r="R221" i="11"/>
  <c r="Q221" i="11"/>
  <c r="P221" i="11"/>
  <c r="O221" i="11"/>
  <c r="N221" i="11"/>
  <c r="M221" i="11"/>
  <c r="L221" i="11"/>
  <c r="V221" i="11" s="1"/>
  <c r="T220" i="11"/>
  <c r="S220" i="11"/>
  <c r="R220" i="11"/>
  <c r="Q220" i="11"/>
  <c r="P220" i="11"/>
  <c r="O220" i="11"/>
  <c r="N220" i="11"/>
  <c r="M220" i="11"/>
  <c r="L220" i="11"/>
  <c r="V220" i="11" s="1"/>
  <c r="T219" i="11"/>
  <c r="S219" i="11"/>
  <c r="R219" i="11"/>
  <c r="Q219" i="11"/>
  <c r="P219" i="11"/>
  <c r="O219" i="11"/>
  <c r="N219" i="11"/>
  <c r="M219" i="11"/>
  <c r="L219" i="11"/>
  <c r="V219" i="11" s="1"/>
  <c r="T218" i="11"/>
  <c r="S218" i="11"/>
  <c r="R218" i="11"/>
  <c r="Q218" i="11"/>
  <c r="P218" i="11"/>
  <c r="O218" i="11"/>
  <c r="N218" i="11"/>
  <c r="M218" i="11"/>
  <c r="L218" i="11"/>
  <c r="V218" i="11" s="1"/>
  <c r="T217" i="11"/>
  <c r="S217" i="11"/>
  <c r="R217" i="11"/>
  <c r="Q217" i="11"/>
  <c r="P217" i="11"/>
  <c r="O217" i="11"/>
  <c r="N217" i="11"/>
  <c r="M217" i="11"/>
  <c r="L217" i="11"/>
  <c r="V217" i="11" s="1"/>
  <c r="T216" i="11"/>
  <c r="S216" i="11"/>
  <c r="R216" i="11"/>
  <c r="Q216" i="11"/>
  <c r="P216" i="11"/>
  <c r="O216" i="11"/>
  <c r="N216" i="11"/>
  <c r="M216" i="11"/>
  <c r="L216" i="11"/>
  <c r="V216" i="11" s="1"/>
  <c r="T215" i="11"/>
  <c r="S215" i="11"/>
  <c r="R215" i="11"/>
  <c r="Q215" i="11"/>
  <c r="P215" i="11"/>
  <c r="O215" i="11"/>
  <c r="N215" i="11"/>
  <c r="M215" i="11"/>
  <c r="L215" i="11"/>
  <c r="V215" i="11" s="1"/>
  <c r="T214" i="11"/>
  <c r="S214" i="11"/>
  <c r="R214" i="11"/>
  <c r="Q214" i="11"/>
  <c r="P214" i="11"/>
  <c r="O214" i="11"/>
  <c r="N214" i="11"/>
  <c r="M214" i="11"/>
  <c r="L214" i="11"/>
  <c r="V214" i="11" s="1"/>
  <c r="T213" i="11"/>
  <c r="S213" i="11"/>
  <c r="R213" i="11"/>
  <c r="Q213" i="11"/>
  <c r="P213" i="11"/>
  <c r="O213" i="11"/>
  <c r="N213" i="11"/>
  <c r="M213" i="11"/>
  <c r="L213" i="11"/>
  <c r="V213" i="11" s="1"/>
  <c r="T212" i="11"/>
  <c r="S212" i="11"/>
  <c r="R212" i="11"/>
  <c r="Q212" i="11"/>
  <c r="P212" i="11"/>
  <c r="O212" i="11"/>
  <c r="N212" i="11"/>
  <c r="M212" i="11"/>
  <c r="L212" i="11"/>
  <c r="V212" i="11" s="1"/>
  <c r="T211" i="11"/>
  <c r="S211" i="11"/>
  <c r="R211" i="11"/>
  <c r="Q211" i="11"/>
  <c r="P211" i="11"/>
  <c r="O211" i="11"/>
  <c r="N211" i="11"/>
  <c r="M211" i="11"/>
  <c r="L211" i="11"/>
  <c r="V211" i="11" s="1"/>
  <c r="T210" i="11"/>
  <c r="S210" i="11"/>
  <c r="R210" i="11"/>
  <c r="Q210" i="11"/>
  <c r="P210" i="11"/>
  <c r="O210" i="11"/>
  <c r="N210" i="11"/>
  <c r="M210" i="11"/>
  <c r="L210" i="11"/>
  <c r="V210" i="11" s="1"/>
  <c r="T209" i="11"/>
  <c r="S209" i="11"/>
  <c r="R209" i="11"/>
  <c r="Q209" i="11"/>
  <c r="P209" i="11"/>
  <c r="O209" i="11"/>
  <c r="N209" i="11"/>
  <c r="M209" i="11"/>
  <c r="L209" i="11"/>
  <c r="V209" i="11" s="1"/>
  <c r="T208" i="11"/>
  <c r="S208" i="11"/>
  <c r="R208" i="11"/>
  <c r="Q208" i="11"/>
  <c r="P208" i="11"/>
  <c r="O208" i="11"/>
  <c r="N208" i="11"/>
  <c r="M208" i="11"/>
  <c r="L208" i="11"/>
  <c r="V208" i="11" s="1"/>
  <c r="T207" i="11"/>
  <c r="S207" i="11"/>
  <c r="R207" i="11"/>
  <c r="Q207" i="11"/>
  <c r="P207" i="11"/>
  <c r="O207" i="11"/>
  <c r="N207" i="11"/>
  <c r="M207" i="11"/>
  <c r="L207" i="11"/>
  <c r="V207" i="11" s="1"/>
  <c r="T206" i="11"/>
  <c r="S206" i="11"/>
  <c r="R206" i="11"/>
  <c r="Q206" i="11"/>
  <c r="P206" i="11"/>
  <c r="O206" i="11"/>
  <c r="N206" i="11"/>
  <c r="M206" i="11"/>
  <c r="L206" i="11"/>
  <c r="V206" i="11" s="1"/>
  <c r="T205" i="11"/>
  <c r="S205" i="11"/>
  <c r="R205" i="11"/>
  <c r="Q205" i="11"/>
  <c r="P205" i="11"/>
  <c r="O205" i="11"/>
  <c r="N205" i="11"/>
  <c r="M205" i="11"/>
  <c r="L205" i="11"/>
  <c r="V205" i="11" s="1"/>
  <c r="T204" i="11"/>
  <c r="S204" i="11"/>
  <c r="R204" i="11"/>
  <c r="Q204" i="11"/>
  <c r="P204" i="11"/>
  <c r="O204" i="11"/>
  <c r="N204" i="11"/>
  <c r="M204" i="11"/>
  <c r="L204" i="11"/>
  <c r="V204" i="11" s="1"/>
  <c r="T203" i="11"/>
  <c r="S203" i="11"/>
  <c r="R203" i="11"/>
  <c r="Q203" i="11"/>
  <c r="P203" i="11"/>
  <c r="O203" i="11"/>
  <c r="N203" i="11"/>
  <c r="M203" i="11"/>
  <c r="L203" i="11"/>
  <c r="V203" i="11" s="1"/>
  <c r="T202" i="11"/>
  <c r="S202" i="11"/>
  <c r="R202" i="11"/>
  <c r="Q202" i="11"/>
  <c r="P202" i="11"/>
  <c r="O202" i="11"/>
  <c r="N202" i="11"/>
  <c r="M202" i="11"/>
  <c r="L202" i="11"/>
  <c r="V202" i="11" s="1"/>
  <c r="T201" i="11"/>
  <c r="S201" i="11"/>
  <c r="R201" i="11"/>
  <c r="Q201" i="11"/>
  <c r="P201" i="11"/>
  <c r="O201" i="11"/>
  <c r="N201" i="11"/>
  <c r="M201" i="11"/>
  <c r="L201" i="11"/>
  <c r="V201" i="11" s="1"/>
  <c r="T200" i="11"/>
  <c r="S200" i="11"/>
  <c r="R200" i="11"/>
  <c r="Q200" i="11"/>
  <c r="P200" i="11"/>
  <c r="O200" i="11"/>
  <c r="N200" i="11"/>
  <c r="M200" i="11"/>
  <c r="L200" i="11"/>
  <c r="V200" i="11" s="1"/>
  <c r="T199" i="11"/>
  <c r="S199" i="11"/>
  <c r="R199" i="11"/>
  <c r="Q199" i="11"/>
  <c r="P199" i="11"/>
  <c r="O199" i="11"/>
  <c r="N199" i="11"/>
  <c r="M199" i="11"/>
  <c r="L199" i="11"/>
  <c r="V199" i="11" s="1"/>
  <c r="T198" i="11"/>
  <c r="S198" i="11"/>
  <c r="R198" i="11"/>
  <c r="Q198" i="11"/>
  <c r="P198" i="11"/>
  <c r="O198" i="11"/>
  <c r="N198" i="11"/>
  <c r="M198" i="11"/>
  <c r="L198" i="11"/>
  <c r="V198" i="11" s="1"/>
  <c r="T197" i="11"/>
  <c r="S197" i="11"/>
  <c r="R197" i="11"/>
  <c r="Q197" i="11"/>
  <c r="P197" i="11"/>
  <c r="O197" i="11"/>
  <c r="N197" i="11"/>
  <c r="M197" i="11"/>
  <c r="L197" i="11"/>
  <c r="V197" i="11" s="1"/>
  <c r="T196" i="11"/>
  <c r="S196" i="11"/>
  <c r="R196" i="11"/>
  <c r="Q196" i="11"/>
  <c r="P196" i="11"/>
  <c r="O196" i="11"/>
  <c r="N196" i="11"/>
  <c r="M196" i="11"/>
  <c r="L196" i="11"/>
  <c r="V196" i="11" s="1"/>
  <c r="T195" i="11"/>
  <c r="S195" i="11"/>
  <c r="R195" i="11"/>
  <c r="Q195" i="11"/>
  <c r="P195" i="11"/>
  <c r="O195" i="11"/>
  <c r="N195" i="11"/>
  <c r="M195" i="11"/>
  <c r="L195" i="11"/>
  <c r="V195" i="11" s="1"/>
  <c r="T194" i="11"/>
  <c r="S194" i="11"/>
  <c r="R194" i="11"/>
  <c r="Q194" i="11"/>
  <c r="P194" i="11"/>
  <c r="O194" i="11"/>
  <c r="N194" i="11"/>
  <c r="M194" i="11"/>
  <c r="L194" i="11"/>
  <c r="V194" i="11" s="1"/>
  <c r="T193" i="11"/>
  <c r="S193" i="11"/>
  <c r="R193" i="11"/>
  <c r="Q193" i="11"/>
  <c r="P193" i="11"/>
  <c r="O193" i="11"/>
  <c r="N193" i="11"/>
  <c r="M193" i="11"/>
  <c r="L193" i="11"/>
  <c r="V193" i="11" s="1"/>
  <c r="T192" i="11"/>
  <c r="S192" i="11"/>
  <c r="R192" i="11"/>
  <c r="Q192" i="11"/>
  <c r="P192" i="11"/>
  <c r="O192" i="11"/>
  <c r="N192" i="11"/>
  <c r="M192" i="11"/>
  <c r="L192" i="11"/>
  <c r="V192" i="11" s="1"/>
  <c r="T191" i="11"/>
  <c r="S191" i="11"/>
  <c r="R191" i="11"/>
  <c r="Q191" i="11"/>
  <c r="P191" i="11"/>
  <c r="O191" i="11"/>
  <c r="N191" i="11"/>
  <c r="M191" i="11"/>
  <c r="L191" i="11"/>
  <c r="V191" i="11" s="1"/>
  <c r="T190" i="11"/>
  <c r="S190" i="11"/>
  <c r="R190" i="11"/>
  <c r="Q190" i="11"/>
  <c r="P190" i="11"/>
  <c r="O190" i="11"/>
  <c r="N190" i="11"/>
  <c r="M190" i="11"/>
  <c r="L190" i="11"/>
  <c r="V190" i="11" s="1"/>
  <c r="T189" i="11"/>
  <c r="S189" i="11"/>
  <c r="R189" i="11"/>
  <c r="Q189" i="11"/>
  <c r="P189" i="11"/>
  <c r="O189" i="11"/>
  <c r="N189" i="11"/>
  <c r="M189" i="11"/>
  <c r="L189" i="11"/>
  <c r="V189" i="11" s="1"/>
  <c r="T188" i="11"/>
  <c r="S188" i="11"/>
  <c r="R188" i="11"/>
  <c r="Q188" i="11"/>
  <c r="P188" i="11"/>
  <c r="O188" i="11"/>
  <c r="N188" i="11"/>
  <c r="M188" i="11"/>
  <c r="L188" i="11"/>
  <c r="V188" i="11" s="1"/>
  <c r="T187" i="11"/>
  <c r="S187" i="11"/>
  <c r="R187" i="11"/>
  <c r="Q187" i="11"/>
  <c r="P187" i="11"/>
  <c r="O187" i="11"/>
  <c r="N187" i="11"/>
  <c r="M187" i="11"/>
  <c r="L187" i="11"/>
  <c r="V187" i="11" s="1"/>
  <c r="T186" i="11"/>
  <c r="S186" i="11"/>
  <c r="R186" i="11"/>
  <c r="Q186" i="11"/>
  <c r="P186" i="11"/>
  <c r="O186" i="11"/>
  <c r="N186" i="11"/>
  <c r="M186" i="11"/>
  <c r="L186" i="11"/>
  <c r="V186" i="11" s="1"/>
  <c r="T185" i="11"/>
  <c r="S185" i="11"/>
  <c r="R185" i="11"/>
  <c r="Q185" i="11"/>
  <c r="P185" i="11"/>
  <c r="O185" i="11"/>
  <c r="N185" i="11"/>
  <c r="M185" i="11"/>
  <c r="L185" i="11"/>
  <c r="V185" i="11" s="1"/>
  <c r="T184" i="11"/>
  <c r="S184" i="11"/>
  <c r="R184" i="11"/>
  <c r="Q184" i="11"/>
  <c r="P184" i="11"/>
  <c r="O184" i="11"/>
  <c r="N184" i="11"/>
  <c r="M184" i="11"/>
  <c r="L184" i="11"/>
  <c r="V184" i="11" s="1"/>
  <c r="T183" i="11"/>
  <c r="S183" i="11"/>
  <c r="R183" i="11"/>
  <c r="Q183" i="11"/>
  <c r="P183" i="11"/>
  <c r="O183" i="11"/>
  <c r="N183" i="11"/>
  <c r="M183" i="11"/>
  <c r="L183" i="11"/>
  <c r="V183" i="11" s="1"/>
  <c r="T182" i="11"/>
  <c r="S182" i="11"/>
  <c r="R182" i="11"/>
  <c r="Q182" i="11"/>
  <c r="P182" i="11"/>
  <c r="O182" i="11"/>
  <c r="N182" i="11"/>
  <c r="M182" i="11"/>
  <c r="L182" i="11"/>
  <c r="V182" i="11" s="1"/>
  <c r="T181" i="11"/>
  <c r="S181" i="11"/>
  <c r="R181" i="11"/>
  <c r="Q181" i="11"/>
  <c r="P181" i="11"/>
  <c r="O181" i="11"/>
  <c r="N181" i="11"/>
  <c r="M181" i="11"/>
  <c r="L181" i="11"/>
  <c r="V181" i="11" s="1"/>
  <c r="T180" i="11"/>
  <c r="S180" i="11"/>
  <c r="R180" i="11"/>
  <c r="Q180" i="11"/>
  <c r="P180" i="11"/>
  <c r="O180" i="11"/>
  <c r="N180" i="11"/>
  <c r="M180" i="11"/>
  <c r="L180" i="11"/>
  <c r="V180" i="11" s="1"/>
  <c r="T179" i="11"/>
  <c r="S179" i="11"/>
  <c r="R179" i="11"/>
  <c r="Q179" i="11"/>
  <c r="P179" i="11"/>
  <c r="O179" i="11"/>
  <c r="N179" i="11"/>
  <c r="M179" i="11"/>
  <c r="L179" i="11"/>
  <c r="V179" i="11" s="1"/>
  <c r="T178" i="11"/>
  <c r="S178" i="11"/>
  <c r="R178" i="11"/>
  <c r="Q178" i="11"/>
  <c r="P178" i="11"/>
  <c r="O178" i="11"/>
  <c r="N178" i="11"/>
  <c r="M178" i="11"/>
  <c r="L178" i="11"/>
  <c r="V178" i="11" s="1"/>
  <c r="T177" i="11"/>
  <c r="S177" i="11"/>
  <c r="R177" i="11"/>
  <c r="Q177" i="11"/>
  <c r="P177" i="11"/>
  <c r="O177" i="11"/>
  <c r="N177" i="11"/>
  <c r="M177" i="11"/>
  <c r="L177" i="11"/>
  <c r="V177" i="11" s="1"/>
  <c r="T176" i="11"/>
  <c r="S176" i="11"/>
  <c r="R176" i="11"/>
  <c r="Q176" i="11"/>
  <c r="P176" i="11"/>
  <c r="O176" i="11"/>
  <c r="N176" i="11"/>
  <c r="M176" i="11"/>
  <c r="L176" i="11"/>
  <c r="V176" i="11" s="1"/>
  <c r="T175" i="11"/>
  <c r="S175" i="11"/>
  <c r="R175" i="11"/>
  <c r="Q175" i="11"/>
  <c r="P175" i="11"/>
  <c r="O175" i="11"/>
  <c r="N175" i="11"/>
  <c r="M175" i="11"/>
  <c r="L175" i="11"/>
  <c r="V175" i="11" s="1"/>
  <c r="T174" i="11"/>
  <c r="S174" i="11"/>
  <c r="R174" i="11"/>
  <c r="Q174" i="11"/>
  <c r="P174" i="11"/>
  <c r="O174" i="11"/>
  <c r="N174" i="11"/>
  <c r="M174" i="11"/>
  <c r="L174" i="11"/>
  <c r="V174" i="11" s="1"/>
  <c r="T173" i="11"/>
  <c r="S173" i="11"/>
  <c r="R173" i="11"/>
  <c r="Q173" i="11"/>
  <c r="P173" i="11"/>
  <c r="O173" i="11"/>
  <c r="N173" i="11"/>
  <c r="M173" i="11"/>
  <c r="L173" i="11"/>
  <c r="V173" i="11" s="1"/>
  <c r="T172" i="11"/>
  <c r="S172" i="11"/>
  <c r="R172" i="11"/>
  <c r="Q172" i="11"/>
  <c r="P172" i="11"/>
  <c r="O172" i="11"/>
  <c r="N172" i="11"/>
  <c r="M172" i="11"/>
  <c r="L172" i="11"/>
  <c r="V172" i="11" s="1"/>
  <c r="T171" i="11"/>
  <c r="S171" i="11"/>
  <c r="R171" i="11"/>
  <c r="Q171" i="11"/>
  <c r="P171" i="11"/>
  <c r="O171" i="11"/>
  <c r="N171" i="11"/>
  <c r="M171" i="11"/>
  <c r="L171" i="11"/>
  <c r="V171" i="11" s="1"/>
  <c r="T170" i="11"/>
  <c r="S170" i="11"/>
  <c r="R170" i="11"/>
  <c r="Q170" i="11"/>
  <c r="P170" i="11"/>
  <c r="O170" i="11"/>
  <c r="N170" i="11"/>
  <c r="M170" i="11"/>
  <c r="L170" i="11"/>
  <c r="V170" i="11" s="1"/>
  <c r="T169" i="11"/>
  <c r="S169" i="11"/>
  <c r="R169" i="11"/>
  <c r="Q169" i="11"/>
  <c r="P169" i="11"/>
  <c r="O169" i="11"/>
  <c r="N169" i="11"/>
  <c r="M169" i="11"/>
  <c r="L169" i="11"/>
  <c r="V169" i="11" s="1"/>
  <c r="T168" i="11"/>
  <c r="S168" i="11"/>
  <c r="R168" i="11"/>
  <c r="Q168" i="11"/>
  <c r="P168" i="11"/>
  <c r="O168" i="11"/>
  <c r="N168" i="11"/>
  <c r="M168" i="11"/>
  <c r="L168" i="11"/>
  <c r="V168" i="11" s="1"/>
  <c r="T167" i="11"/>
  <c r="S167" i="11"/>
  <c r="R167" i="11"/>
  <c r="Q167" i="11"/>
  <c r="P167" i="11"/>
  <c r="O167" i="11"/>
  <c r="N167" i="11"/>
  <c r="M167" i="11"/>
  <c r="L167" i="11"/>
  <c r="V167" i="11" s="1"/>
  <c r="T166" i="11"/>
  <c r="S166" i="11"/>
  <c r="R166" i="11"/>
  <c r="Q166" i="11"/>
  <c r="P166" i="11"/>
  <c r="O166" i="11"/>
  <c r="N166" i="11"/>
  <c r="M166" i="11"/>
  <c r="L166" i="11"/>
  <c r="V166" i="11" s="1"/>
  <c r="T165" i="11"/>
  <c r="S165" i="11"/>
  <c r="R165" i="11"/>
  <c r="Q165" i="11"/>
  <c r="P165" i="11"/>
  <c r="O165" i="11"/>
  <c r="N165" i="11"/>
  <c r="M165" i="11"/>
  <c r="L165" i="11"/>
  <c r="V165" i="11" s="1"/>
  <c r="T164" i="11"/>
  <c r="S164" i="11"/>
  <c r="R164" i="11"/>
  <c r="Q164" i="11"/>
  <c r="P164" i="11"/>
  <c r="O164" i="11"/>
  <c r="N164" i="11"/>
  <c r="M164" i="11"/>
  <c r="L164" i="11"/>
  <c r="V164" i="11" s="1"/>
  <c r="T163" i="11"/>
  <c r="S163" i="11"/>
  <c r="R163" i="11"/>
  <c r="Q163" i="11"/>
  <c r="P163" i="11"/>
  <c r="O163" i="11"/>
  <c r="N163" i="11"/>
  <c r="M163" i="11"/>
  <c r="L163" i="11"/>
  <c r="V163" i="11" s="1"/>
  <c r="T162" i="11"/>
  <c r="S162" i="11"/>
  <c r="R162" i="11"/>
  <c r="Q162" i="11"/>
  <c r="P162" i="11"/>
  <c r="O162" i="11"/>
  <c r="N162" i="11"/>
  <c r="M162" i="11"/>
  <c r="L162" i="11"/>
  <c r="V162" i="11" s="1"/>
  <c r="T161" i="11"/>
  <c r="S161" i="11"/>
  <c r="R161" i="11"/>
  <c r="Q161" i="11"/>
  <c r="P161" i="11"/>
  <c r="O161" i="11"/>
  <c r="N161" i="11"/>
  <c r="M161" i="11"/>
  <c r="L161" i="11"/>
  <c r="V161" i="11" s="1"/>
  <c r="T160" i="11"/>
  <c r="S160" i="11"/>
  <c r="R160" i="11"/>
  <c r="Q160" i="11"/>
  <c r="P160" i="11"/>
  <c r="O160" i="11"/>
  <c r="N160" i="11"/>
  <c r="M160" i="11"/>
  <c r="L160" i="11"/>
  <c r="V160" i="11" s="1"/>
  <c r="T159" i="11"/>
  <c r="S159" i="11"/>
  <c r="R159" i="11"/>
  <c r="Q159" i="11"/>
  <c r="P159" i="11"/>
  <c r="O159" i="11"/>
  <c r="N159" i="11"/>
  <c r="M159" i="11"/>
  <c r="L159" i="11"/>
  <c r="V159" i="11" s="1"/>
  <c r="T158" i="11"/>
  <c r="S158" i="11"/>
  <c r="R158" i="11"/>
  <c r="Q158" i="11"/>
  <c r="P158" i="11"/>
  <c r="O158" i="11"/>
  <c r="N158" i="11"/>
  <c r="M158" i="11"/>
  <c r="L158" i="11"/>
  <c r="V158" i="11" s="1"/>
  <c r="T157" i="11"/>
  <c r="S157" i="11"/>
  <c r="R157" i="11"/>
  <c r="Q157" i="11"/>
  <c r="P157" i="11"/>
  <c r="O157" i="11"/>
  <c r="N157" i="11"/>
  <c r="M157" i="11"/>
  <c r="L157" i="11"/>
  <c r="V157" i="11" s="1"/>
  <c r="T156" i="11"/>
  <c r="S156" i="11"/>
  <c r="R156" i="11"/>
  <c r="Q156" i="11"/>
  <c r="P156" i="11"/>
  <c r="O156" i="11"/>
  <c r="N156" i="11"/>
  <c r="M156" i="11"/>
  <c r="L156" i="11"/>
  <c r="V156" i="11" s="1"/>
  <c r="T155" i="11"/>
  <c r="S155" i="11"/>
  <c r="R155" i="11"/>
  <c r="Q155" i="11"/>
  <c r="P155" i="11"/>
  <c r="O155" i="11"/>
  <c r="N155" i="11"/>
  <c r="M155" i="11"/>
  <c r="L155" i="11"/>
  <c r="V155" i="11" s="1"/>
  <c r="T154" i="11"/>
  <c r="S154" i="11"/>
  <c r="R154" i="11"/>
  <c r="Q154" i="11"/>
  <c r="P154" i="11"/>
  <c r="O154" i="11"/>
  <c r="N154" i="11"/>
  <c r="M154" i="11"/>
  <c r="L154" i="11"/>
  <c r="V154" i="11" s="1"/>
  <c r="T153" i="11"/>
  <c r="S153" i="11"/>
  <c r="R153" i="11"/>
  <c r="Q153" i="11"/>
  <c r="P153" i="11"/>
  <c r="O153" i="11"/>
  <c r="N153" i="11"/>
  <c r="M153" i="11"/>
  <c r="L153" i="11"/>
  <c r="V153" i="11" s="1"/>
  <c r="T152" i="11"/>
  <c r="S152" i="11"/>
  <c r="R152" i="11"/>
  <c r="Q152" i="11"/>
  <c r="P152" i="11"/>
  <c r="O152" i="11"/>
  <c r="N152" i="11"/>
  <c r="M152" i="11"/>
  <c r="L152" i="11"/>
  <c r="V152" i="11" s="1"/>
  <c r="T151" i="11"/>
  <c r="S151" i="11"/>
  <c r="R151" i="11"/>
  <c r="Q151" i="11"/>
  <c r="P151" i="11"/>
  <c r="O151" i="11"/>
  <c r="N151" i="11"/>
  <c r="M151" i="11"/>
  <c r="L151" i="11"/>
  <c r="V151" i="11" s="1"/>
  <c r="T150" i="11"/>
  <c r="S150" i="11"/>
  <c r="R150" i="11"/>
  <c r="Q150" i="11"/>
  <c r="P150" i="11"/>
  <c r="O150" i="11"/>
  <c r="N150" i="11"/>
  <c r="M150" i="11"/>
  <c r="L150" i="11"/>
  <c r="V150" i="11" s="1"/>
  <c r="T149" i="11"/>
  <c r="S149" i="11"/>
  <c r="R149" i="11"/>
  <c r="Q149" i="11"/>
  <c r="P149" i="11"/>
  <c r="O149" i="11"/>
  <c r="N149" i="11"/>
  <c r="M149" i="11"/>
  <c r="L149" i="11"/>
  <c r="V149" i="11" s="1"/>
  <c r="T148" i="11"/>
  <c r="S148" i="11"/>
  <c r="R148" i="11"/>
  <c r="Q148" i="11"/>
  <c r="P148" i="11"/>
  <c r="O148" i="11"/>
  <c r="N148" i="11"/>
  <c r="M148" i="11"/>
  <c r="L148" i="11"/>
  <c r="V148" i="11" s="1"/>
  <c r="T147" i="11"/>
  <c r="S147" i="11"/>
  <c r="R147" i="11"/>
  <c r="Q147" i="11"/>
  <c r="P147" i="11"/>
  <c r="O147" i="11"/>
  <c r="N147" i="11"/>
  <c r="M147" i="11"/>
  <c r="L147" i="11"/>
  <c r="V147" i="11" s="1"/>
  <c r="T146" i="11"/>
  <c r="S146" i="11"/>
  <c r="R146" i="11"/>
  <c r="Q146" i="11"/>
  <c r="P146" i="11"/>
  <c r="O146" i="11"/>
  <c r="N146" i="11"/>
  <c r="M146" i="11"/>
  <c r="L146" i="11"/>
  <c r="V146" i="11" s="1"/>
  <c r="T145" i="11"/>
  <c r="S145" i="11"/>
  <c r="R145" i="11"/>
  <c r="Q145" i="11"/>
  <c r="P145" i="11"/>
  <c r="O145" i="11"/>
  <c r="N145" i="11"/>
  <c r="M145" i="11"/>
  <c r="L145" i="11"/>
  <c r="V145" i="11" s="1"/>
  <c r="T144" i="11"/>
  <c r="S144" i="11"/>
  <c r="R144" i="11"/>
  <c r="Q144" i="11"/>
  <c r="P144" i="11"/>
  <c r="O144" i="11"/>
  <c r="N144" i="11"/>
  <c r="M144" i="11"/>
  <c r="L144" i="11"/>
  <c r="V144" i="11" s="1"/>
  <c r="T143" i="11"/>
  <c r="S143" i="11"/>
  <c r="R143" i="11"/>
  <c r="Q143" i="11"/>
  <c r="P143" i="11"/>
  <c r="O143" i="11"/>
  <c r="N143" i="11"/>
  <c r="M143" i="11"/>
  <c r="L143" i="11"/>
  <c r="V143" i="11" s="1"/>
  <c r="T142" i="11"/>
  <c r="S142" i="11"/>
  <c r="R142" i="11"/>
  <c r="Q142" i="11"/>
  <c r="P142" i="11"/>
  <c r="O142" i="11"/>
  <c r="N142" i="11"/>
  <c r="M142" i="11"/>
  <c r="L142" i="11"/>
  <c r="V142" i="11" s="1"/>
  <c r="T141" i="11"/>
  <c r="S141" i="11"/>
  <c r="R141" i="11"/>
  <c r="Q141" i="11"/>
  <c r="P141" i="11"/>
  <c r="O141" i="11"/>
  <c r="N141" i="11"/>
  <c r="M141" i="11"/>
  <c r="L141" i="11"/>
  <c r="V141" i="11" s="1"/>
  <c r="T140" i="11"/>
  <c r="S140" i="11"/>
  <c r="R140" i="11"/>
  <c r="Q140" i="11"/>
  <c r="P140" i="11"/>
  <c r="O140" i="11"/>
  <c r="N140" i="11"/>
  <c r="M140" i="11"/>
  <c r="L140" i="11"/>
  <c r="V140" i="11" s="1"/>
  <c r="T139" i="11"/>
  <c r="S139" i="11"/>
  <c r="R139" i="11"/>
  <c r="Q139" i="11"/>
  <c r="P139" i="11"/>
  <c r="O139" i="11"/>
  <c r="N139" i="11"/>
  <c r="M139" i="11"/>
  <c r="L139" i="11"/>
  <c r="V139" i="11" s="1"/>
  <c r="T138" i="11"/>
  <c r="S138" i="11"/>
  <c r="R138" i="11"/>
  <c r="Q138" i="11"/>
  <c r="P138" i="11"/>
  <c r="O138" i="11"/>
  <c r="N138" i="11"/>
  <c r="M138" i="11"/>
  <c r="L138" i="11"/>
  <c r="V138" i="11" s="1"/>
  <c r="T137" i="11"/>
  <c r="S137" i="11"/>
  <c r="R137" i="11"/>
  <c r="Q137" i="11"/>
  <c r="P137" i="11"/>
  <c r="O137" i="11"/>
  <c r="N137" i="11"/>
  <c r="M137" i="11"/>
  <c r="L137" i="11"/>
  <c r="V137" i="11" s="1"/>
  <c r="T136" i="11"/>
  <c r="S136" i="11"/>
  <c r="R136" i="11"/>
  <c r="Q136" i="11"/>
  <c r="P136" i="11"/>
  <c r="O136" i="11"/>
  <c r="N136" i="11"/>
  <c r="M136" i="11"/>
  <c r="L136" i="11"/>
  <c r="V136" i="11" s="1"/>
  <c r="T135" i="11"/>
  <c r="S135" i="11"/>
  <c r="R135" i="11"/>
  <c r="Q135" i="11"/>
  <c r="P135" i="11"/>
  <c r="O135" i="11"/>
  <c r="N135" i="11"/>
  <c r="M135" i="11"/>
  <c r="L135" i="11"/>
  <c r="V135" i="11" s="1"/>
  <c r="T134" i="11"/>
  <c r="S134" i="11"/>
  <c r="R134" i="11"/>
  <c r="Q134" i="11"/>
  <c r="P134" i="11"/>
  <c r="O134" i="11"/>
  <c r="N134" i="11"/>
  <c r="M134" i="11"/>
  <c r="L134" i="11"/>
  <c r="V134" i="11" s="1"/>
  <c r="T133" i="11"/>
  <c r="S133" i="11"/>
  <c r="R133" i="11"/>
  <c r="Q133" i="11"/>
  <c r="P133" i="11"/>
  <c r="O133" i="11"/>
  <c r="N133" i="11"/>
  <c r="M133" i="11"/>
  <c r="L133" i="11"/>
  <c r="V133" i="11" s="1"/>
  <c r="T132" i="11"/>
  <c r="S132" i="11"/>
  <c r="R132" i="11"/>
  <c r="Q132" i="11"/>
  <c r="P132" i="11"/>
  <c r="O132" i="11"/>
  <c r="N132" i="11"/>
  <c r="M132" i="11"/>
  <c r="L132" i="11"/>
  <c r="V132" i="11" s="1"/>
  <c r="T131" i="11"/>
  <c r="S131" i="11"/>
  <c r="R131" i="11"/>
  <c r="Q131" i="11"/>
  <c r="P131" i="11"/>
  <c r="O131" i="11"/>
  <c r="N131" i="11"/>
  <c r="M131" i="11"/>
  <c r="L131" i="11"/>
  <c r="V131" i="11" s="1"/>
  <c r="T130" i="11"/>
  <c r="S130" i="11"/>
  <c r="R130" i="11"/>
  <c r="Q130" i="11"/>
  <c r="P130" i="11"/>
  <c r="O130" i="11"/>
  <c r="N130" i="11"/>
  <c r="M130" i="11"/>
  <c r="L130" i="11"/>
  <c r="V130" i="11" s="1"/>
  <c r="T129" i="11"/>
  <c r="S129" i="11"/>
  <c r="R129" i="11"/>
  <c r="Q129" i="11"/>
  <c r="P129" i="11"/>
  <c r="O129" i="11"/>
  <c r="N129" i="11"/>
  <c r="M129" i="11"/>
  <c r="L129" i="11"/>
  <c r="V129" i="11" s="1"/>
  <c r="T128" i="11"/>
  <c r="S128" i="11"/>
  <c r="R128" i="11"/>
  <c r="Q128" i="11"/>
  <c r="P128" i="11"/>
  <c r="O128" i="11"/>
  <c r="N128" i="11"/>
  <c r="M128" i="11"/>
  <c r="L128" i="11"/>
  <c r="V128" i="11" s="1"/>
  <c r="T127" i="11"/>
  <c r="S127" i="11"/>
  <c r="R127" i="11"/>
  <c r="Q127" i="11"/>
  <c r="P127" i="11"/>
  <c r="O127" i="11"/>
  <c r="N127" i="11"/>
  <c r="M127" i="11"/>
  <c r="L127" i="11"/>
  <c r="V127" i="11" s="1"/>
  <c r="T126" i="11"/>
  <c r="S126" i="11"/>
  <c r="R126" i="11"/>
  <c r="Q126" i="11"/>
  <c r="P126" i="11"/>
  <c r="O126" i="11"/>
  <c r="N126" i="11"/>
  <c r="M126" i="11"/>
  <c r="L126" i="11"/>
  <c r="V126" i="11" s="1"/>
  <c r="T125" i="11"/>
  <c r="S125" i="11"/>
  <c r="R125" i="11"/>
  <c r="Q125" i="11"/>
  <c r="P125" i="11"/>
  <c r="O125" i="11"/>
  <c r="N125" i="11"/>
  <c r="M125" i="11"/>
  <c r="L125" i="11"/>
  <c r="V125" i="11" s="1"/>
  <c r="T124" i="11"/>
  <c r="S124" i="11"/>
  <c r="R124" i="11"/>
  <c r="Q124" i="11"/>
  <c r="P124" i="11"/>
  <c r="O124" i="11"/>
  <c r="N124" i="11"/>
  <c r="M124" i="11"/>
  <c r="L124" i="11"/>
  <c r="V124" i="11" s="1"/>
  <c r="T123" i="11"/>
  <c r="S123" i="11"/>
  <c r="R123" i="11"/>
  <c r="Q123" i="11"/>
  <c r="P123" i="11"/>
  <c r="O123" i="11"/>
  <c r="N123" i="11"/>
  <c r="M123" i="11"/>
  <c r="L123" i="11"/>
  <c r="V123" i="11" s="1"/>
  <c r="T122" i="11"/>
  <c r="S122" i="11"/>
  <c r="R122" i="11"/>
  <c r="Q122" i="11"/>
  <c r="P122" i="11"/>
  <c r="O122" i="11"/>
  <c r="N122" i="11"/>
  <c r="M122" i="11"/>
  <c r="L122" i="11"/>
  <c r="V122" i="11" s="1"/>
  <c r="T121" i="11"/>
  <c r="S121" i="11"/>
  <c r="R121" i="11"/>
  <c r="Q121" i="11"/>
  <c r="P121" i="11"/>
  <c r="O121" i="11"/>
  <c r="N121" i="11"/>
  <c r="M121" i="11"/>
  <c r="L121" i="11"/>
  <c r="V121" i="11" s="1"/>
  <c r="T120" i="11"/>
  <c r="S120" i="11"/>
  <c r="R120" i="11"/>
  <c r="Q120" i="11"/>
  <c r="P120" i="11"/>
  <c r="O120" i="11"/>
  <c r="N120" i="11"/>
  <c r="M120" i="11"/>
  <c r="L120" i="11"/>
  <c r="V120" i="11" s="1"/>
  <c r="T119" i="11"/>
  <c r="S119" i="11"/>
  <c r="R119" i="11"/>
  <c r="Q119" i="11"/>
  <c r="P119" i="11"/>
  <c r="O119" i="11"/>
  <c r="N119" i="11"/>
  <c r="M119" i="11"/>
  <c r="L119" i="11"/>
  <c r="V119" i="11" s="1"/>
  <c r="T118" i="11"/>
  <c r="S118" i="11"/>
  <c r="R118" i="11"/>
  <c r="Q118" i="11"/>
  <c r="P118" i="11"/>
  <c r="O118" i="11"/>
  <c r="N118" i="11"/>
  <c r="M118" i="11"/>
  <c r="L118" i="11"/>
  <c r="V118" i="11" s="1"/>
  <c r="T117" i="11"/>
  <c r="S117" i="11"/>
  <c r="R117" i="11"/>
  <c r="Q117" i="11"/>
  <c r="P117" i="11"/>
  <c r="O117" i="11"/>
  <c r="N117" i="11"/>
  <c r="M117" i="11"/>
  <c r="L117" i="11"/>
  <c r="V117" i="11" s="1"/>
  <c r="T116" i="11"/>
  <c r="S116" i="11"/>
  <c r="R116" i="11"/>
  <c r="Q116" i="11"/>
  <c r="P116" i="11"/>
  <c r="O116" i="11"/>
  <c r="N116" i="11"/>
  <c r="M116" i="11"/>
  <c r="L116" i="11"/>
  <c r="V116" i="11" s="1"/>
  <c r="T115" i="11"/>
  <c r="S115" i="11"/>
  <c r="R115" i="11"/>
  <c r="Q115" i="11"/>
  <c r="P115" i="11"/>
  <c r="O115" i="11"/>
  <c r="N115" i="11"/>
  <c r="M115" i="11"/>
  <c r="L115" i="11"/>
  <c r="V115" i="11" s="1"/>
  <c r="T114" i="11"/>
  <c r="S114" i="11"/>
  <c r="R114" i="11"/>
  <c r="Q114" i="11"/>
  <c r="P114" i="11"/>
  <c r="O114" i="11"/>
  <c r="N114" i="11"/>
  <c r="M114" i="11"/>
  <c r="L114" i="11"/>
  <c r="V114" i="11" s="1"/>
  <c r="T113" i="11"/>
  <c r="S113" i="11"/>
  <c r="R113" i="11"/>
  <c r="Q113" i="11"/>
  <c r="P113" i="11"/>
  <c r="O113" i="11"/>
  <c r="N113" i="11"/>
  <c r="M113" i="11"/>
  <c r="L113" i="11"/>
  <c r="V113" i="11" s="1"/>
  <c r="T112" i="11"/>
  <c r="S112" i="11"/>
  <c r="R112" i="11"/>
  <c r="Q112" i="11"/>
  <c r="P112" i="11"/>
  <c r="O112" i="11"/>
  <c r="N112" i="11"/>
  <c r="M112" i="11"/>
  <c r="L112" i="11"/>
  <c r="V112" i="11" s="1"/>
  <c r="T111" i="11"/>
  <c r="S111" i="11"/>
  <c r="R111" i="11"/>
  <c r="Q111" i="11"/>
  <c r="P111" i="11"/>
  <c r="O111" i="11"/>
  <c r="N111" i="11"/>
  <c r="M111" i="11"/>
  <c r="L111" i="11"/>
  <c r="V111" i="11" s="1"/>
  <c r="T110" i="11"/>
  <c r="S110" i="11"/>
  <c r="R110" i="11"/>
  <c r="Q110" i="11"/>
  <c r="P110" i="11"/>
  <c r="O110" i="11"/>
  <c r="N110" i="11"/>
  <c r="M110" i="11"/>
  <c r="L110" i="11"/>
  <c r="V110" i="11" s="1"/>
  <c r="T109" i="11"/>
  <c r="S109" i="11"/>
  <c r="R109" i="11"/>
  <c r="Q109" i="11"/>
  <c r="P109" i="11"/>
  <c r="O109" i="11"/>
  <c r="N109" i="11"/>
  <c r="M109" i="11"/>
  <c r="L109" i="11"/>
  <c r="V109" i="11" s="1"/>
  <c r="T108" i="11"/>
  <c r="S108" i="11"/>
  <c r="R108" i="11"/>
  <c r="Q108" i="11"/>
  <c r="P108" i="11"/>
  <c r="O108" i="11"/>
  <c r="N108" i="11"/>
  <c r="M108" i="11"/>
  <c r="L108" i="11"/>
  <c r="V108" i="11" s="1"/>
  <c r="T107" i="11"/>
  <c r="S107" i="11"/>
  <c r="R107" i="11"/>
  <c r="Q107" i="11"/>
  <c r="P107" i="11"/>
  <c r="O107" i="11"/>
  <c r="N107" i="11"/>
  <c r="M107" i="11"/>
  <c r="L107" i="11"/>
  <c r="V107" i="11" s="1"/>
  <c r="T106" i="11"/>
  <c r="S106" i="11"/>
  <c r="R106" i="11"/>
  <c r="Q106" i="11"/>
  <c r="P106" i="11"/>
  <c r="O106" i="11"/>
  <c r="N106" i="11"/>
  <c r="M106" i="11"/>
  <c r="L106" i="11"/>
  <c r="V106" i="11" s="1"/>
  <c r="T105" i="11"/>
  <c r="S105" i="11"/>
  <c r="R105" i="11"/>
  <c r="Q105" i="11"/>
  <c r="P105" i="11"/>
  <c r="O105" i="11"/>
  <c r="N105" i="11"/>
  <c r="M105" i="11"/>
  <c r="L105" i="11"/>
  <c r="V105" i="11" s="1"/>
  <c r="T104" i="11"/>
  <c r="S104" i="11"/>
  <c r="R104" i="11"/>
  <c r="Q104" i="11"/>
  <c r="P104" i="11"/>
  <c r="O104" i="11"/>
  <c r="N104" i="11"/>
  <c r="M104" i="11"/>
  <c r="L104" i="11"/>
  <c r="V104" i="11" s="1"/>
  <c r="T103" i="11"/>
  <c r="S103" i="11"/>
  <c r="R103" i="11"/>
  <c r="Q103" i="11"/>
  <c r="P103" i="11"/>
  <c r="O103" i="11"/>
  <c r="N103" i="11"/>
  <c r="M103" i="11"/>
  <c r="L103" i="11"/>
  <c r="V103" i="11" s="1"/>
  <c r="T102" i="11"/>
  <c r="S102" i="11"/>
  <c r="R102" i="11"/>
  <c r="Q102" i="11"/>
  <c r="P102" i="11"/>
  <c r="O102" i="11"/>
  <c r="N102" i="11"/>
  <c r="M102" i="11"/>
  <c r="L102" i="11"/>
  <c r="V102" i="11" s="1"/>
  <c r="T101" i="11"/>
  <c r="S101" i="11"/>
  <c r="R101" i="11"/>
  <c r="Q101" i="11"/>
  <c r="P101" i="11"/>
  <c r="O101" i="11"/>
  <c r="N101" i="11"/>
  <c r="M101" i="11"/>
  <c r="L101" i="11"/>
  <c r="V101" i="11" s="1"/>
  <c r="T100" i="11"/>
  <c r="S100" i="11"/>
  <c r="R100" i="11"/>
  <c r="Q100" i="11"/>
  <c r="P100" i="11"/>
  <c r="O100" i="11"/>
  <c r="N100" i="11"/>
  <c r="M100" i="11"/>
  <c r="L100" i="11"/>
  <c r="V100" i="11" s="1"/>
  <c r="T99" i="11"/>
  <c r="S99" i="11"/>
  <c r="R99" i="11"/>
  <c r="Q99" i="11"/>
  <c r="P99" i="11"/>
  <c r="O99" i="11"/>
  <c r="N99" i="11"/>
  <c r="M99" i="11"/>
  <c r="L99" i="11"/>
  <c r="V99" i="11" s="1"/>
  <c r="T98" i="11"/>
  <c r="S98" i="11"/>
  <c r="R98" i="11"/>
  <c r="Q98" i="11"/>
  <c r="P98" i="11"/>
  <c r="O98" i="11"/>
  <c r="N98" i="11"/>
  <c r="M98" i="11"/>
  <c r="L98" i="11"/>
  <c r="V98" i="11" s="1"/>
  <c r="T97" i="11"/>
  <c r="S97" i="11"/>
  <c r="R97" i="11"/>
  <c r="Q97" i="11"/>
  <c r="P97" i="11"/>
  <c r="O97" i="11"/>
  <c r="N97" i="11"/>
  <c r="M97" i="11"/>
  <c r="L97" i="11"/>
  <c r="V97" i="11" s="1"/>
  <c r="T96" i="11"/>
  <c r="S96" i="11"/>
  <c r="R96" i="11"/>
  <c r="Q96" i="11"/>
  <c r="P96" i="11"/>
  <c r="O96" i="11"/>
  <c r="N96" i="11"/>
  <c r="M96" i="11"/>
  <c r="L96" i="11"/>
  <c r="V96" i="11" s="1"/>
  <c r="T95" i="11"/>
  <c r="S95" i="11"/>
  <c r="R95" i="11"/>
  <c r="Q95" i="11"/>
  <c r="P95" i="11"/>
  <c r="O95" i="11"/>
  <c r="N95" i="11"/>
  <c r="M95" i="11"/>
  <c r="L95" i="11"/>
  <c r="V95" i="11" s="1"/>
  <c r="T94" i="11"/>
  <c r="S94" i="11"/>
  <c r="R94" i="11"/>
  <c r="Q94" i="11"/>
  <c r="P94" i="11"/>
  <c r="O94" i="11"/>
  <c r="N94" i="11"/>
  <c r="M94" i="11"/>
  <c r="L94" i="11"/>
  <c r="V94" i="11" s="1"/>
  <c r="T93" i="11"/>
  <c r="S93" i="11"/>
  <c r="R93" i="11"/>
  <c r="Q93" i="11"/>
  <c r="P93" i="11"/>
  <c r="O93" i="11"/>
  <c r="N93" i="11"/>
  <c r="M93" i="11"/>
  <c r="L93" i="11"/>
  <c r="V93" i="11" s="1"/>
  <c r="T92" i="11"/>
  <c r="S92" i="11"/>
  <c r="R92" i="11"/>
  <c r="Q92" i="11"/>
  <c r="P92" i="11"/>
  <c r="O92" i="11"/>
  <c r="N92" i="11"/>
  <c r="M92" i="11"/>
  <c r="L92" i="11"/>
  <c r="V92" i="11" s="1"/>
  <c r="T91" i="11"/>
  <c r="S91" i="11"/>
  <c r="R91" i="11"/>
  <c r="Q91" i="11"/>
  <c r="P91" i="11"/>
  <c r="O91" i="11"/>
  <c r="N91" i="11"/>
  <c r="M91" i="11"/>
  <c r="L91" i="11"/>
  <c r="V91" i="11" s="1"/>
  <c r="T90" i="11"/>
  <c r="S90" i="11"/>
  <c r="R90" i="11"/>
  <c r="Q90" i="11"/>
  <c r="P90" i="11"/>
  <c r="O90" i="11"/>
  <c r="N90" i="11"/>
  <c r="M90" i="11"/>
  <c r="L90" i="11"/>
  <c r="V90" i="11" s="1"/>
  <c r="T89" i="11"/>
  <c r="S89" i="11"/>
  <c r="R89" i="11"/>
  <c r="Q89" i="11"/>
  <c r="P89" i="11"/>
  <c r="O89" i="11"/>
  <c r="N89" i="11"/>
  <c r="M89" i="11"/>
  <c r="L89" i="11"/>
  <c r="V89" i="11" s="1"/>
  <c r="T88" i="11"/>
  <c r="S88" i="11"/>
  <c r="R88" i="11"/>
  <c r="Q88" i="11"/>
  <c r="P88" i="11"/>
  <c r="O88" i="11"/>
  <c r="N88" i="11"/>
  <c r="M88" i="11"/>
  <c r="L88" i="11"/>
  <c r="V88" i="11" s="1"/>
  <c r="T87" i="11"/>
  <c r="S87" i="11"/>
  <c r="R87" i="11"/>
  <c r="Q87" i="11"/>
  <c r="P87" i="11"/>
  <c r="O87" i="11"/>
  <c r="N87" i="11"/>
  <c r="M87" i="11"/>
  <c r="L87" i="11"/>
  <c r="V87" i="11" s="1"/>
  <c r="T86" i="11"/>
  <c r="S86" i="11"/>
  <c r="R86" i="11"/>
  <c r="Q86" i="11"/>
  <c r="P86" i="11"/>
  <c r="O86" i="11"/>
  <c r="N86" i="11"/>
  <c r="M86" i="11"/>
  <c r="L86" i="11"/>
  <c r="V86" i="11" s="1"/>
  <c r="T85" i="11"/>
  <c r="S85" i="11"/>
  <c r="R85" i="11"/>
  <c r="Q85" i="11"/>
  <c r="P85" i="11"/>
  <c r="O85" i="11"/>
  <c r="N85" i="11"/>
  <c r="M85" i="11"/>
  <c r="L85" i="11"/>
  <c r="V85" i="11" s="1"/>
  <c r="T84" i="11"/>
  <c r="S84" i="11"/>
  <c r="R84" i="11"/>
  <c r="Q84" i="11"/>
  <c r="P84" i="11"/>
  <c r="O84" i="11"/>
  <c r="N84" i="11"/>
  <c r="M84" i="11"/>
  <c r="L84" i="11"/>
  <c r="V84" i="11" s="1"/>
  <c r="T83" i="11"/>
  <c r="S83" i="11"/>
  <c r="R83" i="11"/>
  <c r="Q83" i="11"/>
  <c r="P83" i="11"/>
  <c r="O83" i="11"/>
  <c r="N83" i="11"/>
  <c r="M83" i="11"/>
  <c r="L83" i="11"/>
  <c r="V83" i="11" s="1"/>
  <c r="T82" i="11"/>
  <c r="S82" i="11"/>
  <c r="R82" i="11"/>
  <c r="Q82" i="11"/>
  <c r="P82" i="11"/>
  <c r="O82" i="11"/>
  <c r="N82" i="11"/>
  <c r="M82" i="11"/>
  <c r="L82" i="11"/>
  <c r="V82" i="11" s="1"/>
  <c r="T81" i="11"/>
  <c r="S81" i="11"/>
  <c r="R81" i="11"/>
  <c r="Q81" i="11"/>
  <c r="P81" i="11"/>
  <c r="O81" i="11"/>
  <c r="N81" i="11"/>
  <c r="M81" i="11"/>
  <c r="L81" i="11"/>
  <c r="V81" i="11" s="1"/>
  <c r="T80" i="11"/>
  <c r="S80" i="11"/>
  <c r="R80" i="11"/>
  <c r="Q80" i="11"/>
  <c r="P80" i="11"/>
  <c r="O80" i="11"/>
  <c r="N80" i="11"/>
  <c r="M80" i="11"/>
  <c r="L80" i="11"/>
  <c r="V80" i="11" s="1"/>
  <c r="T79" i="11"/>
  <c r="S79" i="11"/>
  <c r="R79" i="11"/>
  <c r="Q79" i="11"/>
  <c r="P79" i="11"/>
  <c r="O79" i="11"/>
  <c r="N79" i="11"/>
  <c r="M79" i="11"/>
  <c r="L79" i="11"/>
  <c r="V79" i="11" s="1"/>
  <c r="T78" i="11"/>
  <c r="S78" i="11"/>
  <c r="R78" i="11"/>
  <c r="Q78" i="11"/>
  <c r="P78" i="11"/>
  <c r="O78" i="11"/>
  <c r="N78" i="11"/>
  <c r="M78" i="11"/>
  <c r="L78" i="11"/>
  <c r="V78" i="11" s="1"/>
  <c r="T77" i="11"/>
  <c r="S77" i="11"/>
  <c r="R77" i="11"/>
  <c r="Q77" i="11"/>
  <c r="P77" i="11"/>
  <c r="O77" i="11"/>
  <c r="N77" i="11"/>
  <c r="M77" i="11"/>
  <c r="V77" i="11"/>
  <c r="T76" i="11"/>
  <c r="S76" i="11"/>
  <c r="R76" i="11"/>
  <c r="Q76" i="11"/>
  <c r="P76" i="11"/>
  <c r="O76" i="11"/>
  <c r="N76" i="11"/>
  <c r="M76" i="11"/>
  <c r="L76" i="11"/>
  <c r="V76" i="11" s="1"/>
  <c r="T75" i="11"/>
  <c r="S75" i="11"/>
  <c r="R75" i="11"/>
  <c r="Q75" i="11"/>
  <c r="P75" i="11"/>
  <c r="O75" i="11"/>
  <c r="N75" i="11"/>
  <c r="M75" i="11"/>
  <c r="L75" i="11"/>
  <c r="V75" i="11" s="1"/>
  <c r="T74" i="11"/>
  <c r="S74" i="11"/>
  <c r="R74" i="11"/>
  <c r="Q74" i="11"/>
  <c r="P74" i="11"/>
  <c r="O74" i="11"/>
  <c r="N74" i="11"/>
  <c r="M74" i="11"/>
  <c r="L74" i="11"/>
  <c r="V74" i="11" s="1"/>
  <c r="T73" i="11"/>
  <c r="S73" i="11"/>
  <c r="R73" i="11"/>
  <c r="Q73" i="11"/>
  <c r="P73" i="11"/>
  <c r="O73" i="11"/>
  <c r="N73" i="11"/>
  <c r="M73" i="11"/>
  <c r="L73" i="11"/>
  <c r="V73" i="11" s="1"/>
  <c r="T72" i="11"/>
  <c r="S72" i="11"/>
  <c r="R72" i="11"/>
  <c r="Q72" i="11"/>
  <c r="P72" i="11"/>
  <c r="O72" i="11"/>
  <c r="N72" i="11"/>
  <c r="M72" i="11"/>
  <c r="L72" i="11"/>
  <c r="V72" i="11" s="1"/>
  <c r="T71" i="11"/>
  <c r="S71" i="11"/>
  <c r="R71" i="11"/>
  <c r="Q71" i="11"/>
  <c r="P71" i="11"/>
  <c r="O71" i="11"/>
  <c r="N71" i="11"/>
  <c r="M71" i="11"/>
  <c r="L71" i="11"/>
  <c r="V71" i="11" s="1"/>
  <c r="T70" i="11"/>
  <c r="S70" i="11"/>
  <c r="R70" i="11"/>
  <c r="Q70" i="11"/>
  <c r="P70" i="11"/>
  <c r="O70" i="11"/>
  <c r="N70" i="11"/>
  <c r="M70" i="11"/>
  <c r="L70" i="11"/>
  <c r="V70" i="11" s="1"/>
  <c r="T69" i="11"/>
  <c r="S69" i="11"/>
  <c r="R69" i="11"/>
  <c r="Q69" i="11"/>
  <c r="P69" i="11"/>
  <c r="O69" i="11"/>
  <c r="N69" i="11"/>
  <c r="M69" i="11"/>
  <c r="L69" i="11"/>
  <c r="V69" i="11" s="1"/>
  <c r="T68" i="11"/>
  <c r="S68" i="11"/>
  <c r="R68" i="11"/>
  <c r="Q68" i="11"/>
  <c r="P68" i="11"/>
  <c r="O68" i="11"/>
  <c r="N68" i="11"/>
  <c r="M68" i="11"/>
  <c r="L68" i="11"/>
  <c r="V68" i="11" s="1"/>
  <c r="T67" i="11"/>
  <c r="S67" i="11"/>
  <c r="R67" i="11"/>
  <c r="Q67" i="11"/>
  <c r="P67" i="11"/>
  <c r="O67" i="11"/>
  <c r="N67" i="11"/>
  <c r="M67" i="11"/>
  <c r="L67" i="11"/>
  <c r="V67" i="11" s="1"/>
  <c r="T66" i="11"/>
  <c r="S66" i="11"/>
  <c r="R66" i="11"/>
  <c r="Q66" i="11"/>
  <c r="P66" i="11"/>
  <c r="O66" i="11"/>
  <c r="N66" i="11"/>
  <c r="M66" i="11"/>
  <c r="L66" i="11"/>
  <c r="V66" i="11" s="1"/>
  <c r="T65" i="11"/>
  <c r="S65" i="11"/>
  <c r="R65" i="11"/>
  <c r="Q65" i="11"/>
  <c r="P65" i="11"/>
  <c r="O65" i="11"/>
  <c r="N65" i="11"/>
  <c r="M65" i="11"/>
  <c r="L65" i="11"/>
  <c r="V65" i="11" s="1"/>
  <c r="T64" i="11"/>
  <c r="S64" i="11"/>
  <c r="R64" i="11"/>
  <c r="Q64" i="11"/>
  <c r="P64" i="11"/>
  <c r="O64" i="11"/>
  <c r="N64" i="11"/>
  <c r="M64" i="11"/>
  <c r="L64" i="11"/>
  <c r="V64" i="11" s="1"/>
  <c r="T63" i="11"/>
  <c r="S63" i="11"/>
  <c r="R63" i="11"/>
  <c r="Q63" i="11"/>
  <c r="P63" i="11"/>
  <c r="O63" i="11"/>
  <c r="N63" i="11"/>
  <c r="M63" i="11"/>
  <c r="L63" i="11"/>
  <c r="V63" i="11" s="1"/>
  <c r="T62" i="11"/>
  <c r="S62" i="11"/>
  <c r="R62" i="11"/>
  <c r="Q62" i="11"/>
  <c r="P62" i="11"/>
  <c r="O62" i="11"/>
  <c r="N62" i="11"/>
  <c r="M62" i="11"/>
  <c r="L62" i="11"/>
  <c r="V62" i="11" s="1"/>
  <c r="T61" i="11"/>
  <c r="S61" i="11"/>
  <c r="R61" i="11"/>
  <c r="Q61" i="11"/>
  <c r="P61" i="11"/>
  <c r="O61" i="11"/>
  <c r="N61" i="11"/>
  <c r="M61" i="11"/>
  <c r="L61" i="11"/>
  <c r="V61" i="11" s="1"/>
  <c r="T60" i="11"/>
  <c r="S60" i="11"/>
  <c r="R60" i="11"/>
  <c r="Q60" i="11"/>
  <c r="P60" i="11"/>
  <c r="O60" i="11"/>
  <c r="N60" i="11"/>
  <c r="M60" i="11"/>
  <c r="L60" i="11"/>
  <c r="V60" i="11" s="1"/>
  <c r="T59" i="11"/>
  <c r="S59" i="11"/>
  <c r="R59" i="11"/>
  <c r="Q59" i="11"/>
  <c r="P59" i="11"/>
  <c r="O59" i="11"/>
  <c r="N59" i="11"/>
  <c r="M59" i="11"/>
  <c r="L59" i="11"/>
  <c r="V59" i="11" s="1"/>
  <c r="T58" i="11"/>
  <c r="S58" i="11"/>
  <c r="R58" i="11"/>
  <c r="Q58" i="11"/>
  <c r="P58" i="11"/>
  <c r="O58" i="11"/>
  <c r="N58" i="11"/>
  <c r="M58" i="11"/>
  <c r="L58" i="11"/>
  <c r="V58" i="11" s="1"/>
  <c r="T57" i="11"/>
  <c r="S57" i="11"/>
  <c r="R57" i="11"/>
  <c r="Q57" i="11"/>
  <c r="P57" i="11"/>
  <c r="O57" i="11"/>
  <c r="N57" i="11"/>
  <c r="M57" i="11"/>
  <c r="L57" i="11"/>
  <c r="V57" i="11" s="1"/>
  <c r="T56" i="11"/>
  <c r="S56" i="11"/>
  <c r="R56" i="11"/>
  <c r="Q56" i="11"/>
  <c r="P56" i="11"/>
  <c r="O56" i="11"/>
  <c r="N56" i="11"/>
  <c r="M56" i="11"/>
  <c r="L56" i="11"/>
  <c r="V56" i="11" s="1"/>
  <c r="T55" i="11"/>
  <c r="S55" i="11"/>
  <c r="R55" i="11"/>
  <c r="Q55" i="11"/>
  <c r="P55" i="11"/>
  <c r="O55" i="11"/>
  <c r="N55" i="11"/>
  <c r="M55" i="11"/>
  <c r="L55" i="11"/>
  <c r="V55" i="11" s="1"/>
  <c r="T54" i="11"/>
  <c r="S54" i="11"/>
  <c r="R54" i="11"/>
  <c r="Q54" i="11"/>
  <c r="P54" i="11"/>
  <c r="O54" i="11"/>
  <c r="N54" i="11"/>
  <c r="M54" i="11"/>
  <c r="L54" i="11"/>
  <c r="V54" i="11" s="1"/>
  <c r="T53" i="11"/>
  <c r="S53" i="11"/>
  <c r="R53" i="11"/>
  <c r="Q53" i="11"/>
  <c r="P53" i="11"/>
  <c r="O53" i="11"/>
  <c r="N53" i="11"/>
  <c r="M53" i="11"/>
  <c r="L53" i="11"/>
  <c r="V53" i="11" s="1"/>
  <c r="T52" i="11"/>
  <c r="S52" i="11"/>
  <c r="R52" i="11"/>
  <c r="Q52" i="11"/>
  <c r="P52" i="11"/>
  <c r="O52" i="11"/>
  <c r="N52" i="11"/>
  <c r="M52" i="11"/>
  <c r="L52" i="11"/>
  <c r="V52" i="11" s="1"/>
  <c r="T51" i="11"/>
  <c r="S51" i="11"/>
  <c r="R51" i="11"/>
  <c r="Q51" i="11"/>
  <c r="P51" i="11"/>
  <c r="O51" i="11"/>
  <c r="N51" i="11"/>
  <c r="M51" i="11"/>
  <c r="L51" i="11"/>
  <c r="V51" i="11" s="1"/>
  <c r="T50" i="11"/>
  <c r="S50" i="11"/>
  <c r="R50" i="11"/>
  <c r="Q50" i="11"/>
  <c r="P50" i="11"/>
  <c r="O50" i="11"/>
  <c r="N50" i="11"/>
  <c r="M50" i="11"/>
  <c r="L50" i="11"/>
  <c r="V50" i="11" s="1"/>
  <c r="T49" i="11"/>
  <c r="S49" i="11"/>
  <c r="R49" i="11"/>
  <c r="Q49" i="11"/>
  <c r="P49" i="11"/>
  <c r="O49" i="11"/>
  <c r="N49" i="11"/>
  <c r="M49" i="11"/>
  <c r="L49" i="11"/>
  <c r="V49" i="11" s="1"/>
  <c r="T48" i="11"/>
  <c r="S48" i="11"/>
  <c r="R48" i="11"/>
  <c r="Q48" i="11"/>
  <c r="P48" i="11"/>
  <c r="O48" i="11"/>
  <c r="N48" i="11"/>
  <c r="M48" i="11"/>
  <c r="L48" i="11"/>
  <c r="V48" i="11" s="1"/>
  <c r="T47" i="11"/>
  <c r="S47" i="11"/>
  <c r="R47" i="11"/>
  <c r="Q47" i="11"/>
  <c r="P47" i="11"/>
  <c r="O47" i="11"/>
  <c r="N47" i="11"/>
  <c r="M47" i="11"/>
  <c r="L47" i="11"/>
  <c r="V47" i="11" s="1"/>
  <c r="T46" i="11"/>
  <c r="S46" i="11"/>
  <c r="R46" i="11"/>
  <c r="Q46" i="11"/>
  <c r="P46" i="11"/>
  <c r="O46" i="11"/>
  <c r="N46" i="11"/>
  <c r="M46" i="11"/>
  <c r="L46" i="11"/>
  <c r="V46" i="11" s="1"/>
  <c r="T45" i="11"/>
  <c r="S45" i="11"/>
  <c r="R45" i="11"/>
  <c r="Q45" i="11"/>
  <c r="P45" i="11"/>
  <c r="O45" i="11"/>
  <c r="N45" i="11"/>
  <c r="M45" i="11"/>
  <c r="L45" i="11"/>
  <c r="V45" i="11" s="1"/>
  <c r="T44" i="11"/>
  <c r="S44" i="11"/>
  <c r="R44" i="11"/>
  <c r="Q44" i="11"/>
  <c r="P44" i="11"/>
  <c r="O44" i="11"/>
  <c r="N44" i="11"/>
  <c r="M44" i="11"/>
  <c r="L44" i="11"/>
  <c r="V44" i="11" s="1"/>
  <c r="T43" i="11"/>
  <c r="S43" i="11"/>
  <c r="R43" i="11"/>
  <c r="Q43" i="11"/>
  <c r="P43" i="11"/>
  <c r="O43" i="11"/>
  <c r="N43" i="11"/>
  <c r="M43" i="11"/>
  <c r="L43" i="11"/>
  <c r="V43" i="11" s="1"/>
  <c r="T42" i="11"/>
  <c r="S42" i="11"/>
  <c r="R42" i="11"/>
  <c r="Q42" i="11"/>
  <c r="P42" i="11"/>
  <c r="O42" i="11"/>
  <c r="N42" i="11"/>
  <c r="M42" i="11"/>
  <c r="L42" i="11"/>
  <c r="V42" i="11" s="1"/>
  <c r="T41" i="11"/>
  <c r="S41" i="11"/>
  <c r="R41" i="11"/>
  <c r="Q41" i="11"/>
  <c r="P41" i="11"/>
  <c r="O41" i="11"/>
  <c r="N41" i="11"/>
  <c r="M41" i="11"/>
  <c r="L41" i="11"/>
  <c r="V41" i="11" s="1"/>
  <c r="T40" i="11"/>
  <c r="S40" i="11"/>
  <c r="R40" i="11"/>
  <c r="Q40" i="11"/>
  <c r="P40" i="11"/>
  <c r="O40" i="11"/>
  <c r="N40" i="11"/>
  <c r="M40" i="11"/>
  <c r="L40" i="11"/>
  <c r="V40" i="11" s="1"/>
  <c r="T39" i="11"/>
  <c r="S39" i="11"/>
  <c r="R39" i="11"/>
  <c r="Q39" i="11"/>
  <c r="P39" i="11"/>
  <c r="O39" i="11"/>
  <c r="N39" i="11"/>
  <c r="M39" i="11"/>
  <c r="L39" i="11"/>
  <c r="V39" i="11" s="1"/>
  <c r="T38" i="11"/>
  <c r="S38" i="11"/>
  <c r="R38" i="11"/>
  <c r="Q38" i="11"/>
  <c r="P38" i="11"/>
  <c r="O38" i="11"/>
  <c r="N38" i="11"/>
  <c r="M38" i="11"/>
  <c r="L38" i="11"/>
  <c r="V38" i="11" s="1"/>
  <c r="T37" i="11"/>
  <c r="S37" i="11"/>
  <c r="R37" i="11"/>
  <c r="Q37" i="11"/>
  <c r="P37" i="11"/>
  <c r="O37" i="11"/>
  <c r="N37" i="11"/>
  <c r="M37" i="11"/>
  <c r="L37" i="11"/>
  <c r="V37" i="11" s="1"/>
  <c r="T36" i="11"/>
  <c r="S36" i="11"/>
  <c r="R36" i="11"/>
  <c r="Q36" i="11"/>
  <c r="P36" i="11"/>
  <c r="O36" i="11"/>
  <c r="N36" i="11"/>
  <c r="M36" i="11"/>
  <c r="L36" i="11"/>
  <c r="V36" i="11" s="1"/>
  <c r="T35" i="11"/>
  <c r="S35" i="11"/>
  <c r="R35" i="11"/>
  <c r="Q35" i="11"/>
  <c r="P35" i="11"/>
  <c r="O35" i="11"/>
  <c r="N35" i="11"/>
  <c r="M35" i="11"/>
  <c r="L35" i="11"/>
  <c r="V35" i="11" s="1"/>
  <c r="T34" i="11"/>
  <c r="S34" i="11"/>
  <c r="R34" i="11"/>
  <c r="Q34" i="11"/>
  <c r="P34" i="11"/>
  <c r="O34" i="11"/>
  <c r="N34" i="11"/>
  <c r="M34" i="11"/>
  <c r="L34" i="11"/>
  <c r="V34" i="11" s="1"/>
  <c r="T33" i="11"/>
  <c r="S33" i="11"/>
  <c r="R33" i="11"/>
  <c r="Q33" i="11"/>
  <c r="P33" i="11"/>
  <c r="O33" i="11"/>
  <c r="N33" i="11"/>
  <c r="M33" i="11"/>
  <c r="L33" i="11"/>
  <c r="V33" i="11" s="1"/>
  <c r="T32" i="11"/>
  <c r="S32" i="11"/>
  <c r="R32" i="11"/>
  <c r="Q32" i="11"/>
  <c r="P32" i="11"/>
  <c r="O32" i="11"/>
  <c r="N32" i="11"/>
  <c r="M32" i="11"/>
  <c r="L32" i="11"/>
  <c r="V32" i="11" s="1"/>
  <c r="T31" i="11"/>
  <c r="S31" i="11"/>
  <c r="R31" i="11"/>
  <c r="Q31" i="11"/>
  <c r="P31" i="11"/>
  <c r="O31" i="11"/>
  <c r="N31" i="11"/>
  <c r="M31" i="11"/>
  <c r="L31" i="11"/>
  <c r="V31" i="11" s="1"/>
  <c r="T30" i="11"/>
  <c r="S30" i="11"/>
  <c r="R30" i="11"/>
  <c r="Q30" i="11"/>
  <c r="P30" i="11"/>
  <c r="O30" i="11"/>
  <c r="N30" i="11"/>
  <c r="M30" i="11"/>
  <c r="L30" i="11"/>
  <c r="V30" i="11" s="1"/>
  <c r="T29" i="11"/>
  <c r="S29" i="11"/>
  <c r="R29" i="11"/>
  <c r="Q29" i="11"/>
  <c r="P29" i="11"/>
  <c r="O29" i="11"/>
  <c r="N29" i="11"/>
  <c r="M29" i="11"/>
  <c r="L29" i="11"/>
  <c r="V29" i="11" s="1"/>
  <c r="T28" i="11"/>
  <c r="S28" i="11"/>
  <c r="R28" i="11"/>
  <c r="Q28" i="11"/>
  <c r="P28" i="11"/>
  <c r="O28" i="11"/>
  <c r="N28" i="11"/>
  <c r="M28" i="11"/>
  <c r="L28" i="11"/>
  <c r="V28" i="11" s="1"/>
  <c r="T27" i="11"/>
  <c r="S27" i="11"/>
  <c r="R27" i="11"/>
  <c r="Q27" i="11"/>
  <c r="P27" i="11"/>
  <c r="O27" i="11"/>
  <c r="N27" i="11"/>
  <c r="M27" i="11"/>
  <c r="L27" i="11"/>
  <c r="V27" i="11" s="1"/>
  <c r="T26" i="11"/>
  <c r="S26" i="11"/>
  <c r="R26" i="11"/>
  <c r="Q26" i="11"/>
  <c r="P26" i="11"/>
  <c r="O26" i="11"/>
  <c r="N26" i="11"/>
  <c r="M26" i="11"/>
  <c r="L26" i="11"/>
  <c r="V26" i="11" s="1"/>
  <c r="T25" i="11"/>
  <c r="S25" i="11"/>
  <c r="R25" i="11"/>
  <c r="Q25" i="11"/>
  <c r="P25" i="11"/>
  <c r="O25" i="11"/>
  <c r="N25" i="11"/>
  <c r="M25" i="11"/>
  <c r="L25" i="11"/>
  <c r="V25" i="11" s="1"/>
  <c r="T24" i="11"/>
  <c r="S24" i="11"/>
  <c r="R24" i="11"/>
  <c r="Q24" i="11"/>
  <c r="P24" i="11"/>
  <c r="O24" i="11"/>
  <c r="N24" i="11"/>
  <c r="M24" i="11"/>
  <c r="L24" i="11"/>
  <c r="V24" i="11" s="1"/>
  <c r="T23" i="11"/>
  <c r="S23" i="11"/>
  <c r="R23" i="11"/>
  <c r="Q23" i="11"/>
  <c r="P23" i="11"/>
  <c r="O23" i="11"/>
  <c r="N23" i="11"/>
  <c r="M23" i="11"/>
  <c r="L23" i="11"/>
  <c r="V23" i="11" s="1"/>
  <c r="T22" i="11"/>
  <c r="S22" i="11"/>
  <c r="R22" i="11"/>
  <c r="Q22" i="11"/>
  <c r="P22" i="11"/>
  <c r="O22" i="11"/>
  <c r="N22" i="11"/>
  <c r="M22" i="11"/>
  <c r="L22" i="11"/>
  <c r="V22" i="11" s="1"/>
  <c r="T21" i="11"/>
  <c r="S21" i="11"/>
  <c r="R21" i="11"/>
  <c r="Q21" i="11"/>
  <c r="P21" i="11"/>
  <c r="O21" i="11"/>
  <c r="N21" i="11"/>
  <c r="M21" i="11"/>
  <c r="L21" i="11"/>
  <c r="V21" i="11" s="1"/>
  <c r="T20" i="11"/>
  <c r="S20" i="11"/>
  <c r="R20" i="11"/>
  <c r="Q20" i="11"/>
  <c r="P20" i="11"/>
  <c r="O20" i="11"/>
  <c r="N20" i="11"/>
  <c r="M20" i="11"/>
  <c r="L20" i="11"/>
  <c r="V20" i="11" s="1"/>
  <c r="T19" i="11"/>
  <c r="S19" i="11"/>
  <c r="R19" i="11"/>
  <c r="Q19" i="11"/>
  <c r="P19" i="11"/>
  <c r="O19" i="11"/>
  <c r="N19" i="11"/>
  <c r="M19" i="11"/>
  <c r="L19" i="11"/>
  <c r="V19" i="11" s="1"/>
  <c r="T18" i="11"/>
  <c r="S18" i="11"/>
  <c r="R18" i="11"/>
  <c r="Q18" i="11"/>
  <c r="P18" i="11"/>
  <c r="O18" i="11"/>
  <c r="N18" i="11"/>
  <c r="M18" i="11"/>
  <c r="L18" i="11"/>
  <c r="V18" i="11" s="1"/>
  <c r="T17" i="11"/>
  <c r="S17" i="11"/>
  <c r="R17" i="11"/>
  <c r="Q17" i="11"/>
  <c r="P17" i="11"/>
  <c r="O17" i="11"/>
  <c r="N17" i="11"/>
  <c r="M17" i="11"/>
  <c r="L17" i="11"/>
  <c r="V17" i="11" s="1"/>
  <c r="T16" i="11"/>
  <c r="S16" i="11"/>
  <c r="R16" i="11"/>
  <c r="Q16" i="11"/>
  <c r="P16" i="11"/>
  <c r="O16" i="11"/>
  <c r="N16" i="11"/>
  <c r="M16" i="11"/>
  <c r="L16" i="11"/>
  <c r="V16" i="11" s="1"/>
  <c r="T15" i="11"/>
  <c r="S15" i="11"/>
  <c r="R15" i="11"/>
  <c r="Q15" i="11"/>
  <c r="P15" i="11"/>
  <c r="O15" i="11"/>
  <c r="N15" i="11"/>
  <c r="M15" i="11"/>
  <c r="L15" i="11"/>
  <c r="V15" i="11" s="1"/>
  <c r="T14" i="11"/>
  <c r="S14" i="11"/>
  <c r="R14" i="11"/>
  <c r="Q14" i="11"/>
  <c r="P14" i="11"/>
  <c r="O14" i="11"/>
  <c r="N14" i="11"/>
  <c r="M14" i="11"/>
  <c r="L14" i="11"/>
  <c r="V14" i="11" s="1"/>
  <c r="T13" i="11"/>
  <c r="S13" i="11"/>
  <c r="R13" i="11"/>
  <c r="Q13" i="11"/>
  <c r="P13" i="11"/>
  <c r="O13" i="11"/>
  <c r="N13" i="11"/>
  <c r="M13" i="11"/>
  <c r="L13" i="11"/>
  <c r="V13" i="11" s="1"/>
  <c r="T12" i="11"/>
  <c r="S12" i="11"/>
  <c r="R12" i="11"/>
  <c r="Q12" i="11"/>
  <c r="P12" i="11"/>
  <c r="O12" i="11"/>
  <c r="N12" i="11"/>
  <c r="M12" i="11"/>
  <c r="L12" i="11"/>
  <c r="V12" i="11" s="1"/>
  <c r="T11" i="11"/>
  <c r="S11" i="11"/>
  <c r="R11" i="11"/>
  <c r="Q11" i="11"/>
  <c r="P11" i="11"/>
  <c r="O11" i="11"/>
  <c r="N11" i="11"/>
  <c r="M11" i="11"/>
  <c r="L11" i="11"/>
  <c r="V11" i="11" s="1"/>
  <c r="T10" i="11"/>
  <c r="S10" i="11"/>
  <c r="R10" i="11"/>
  <c r="Q10" i="11"/>
  <c r="P10" i="11"/>
  <c r="O10" i="11"/>
  <c r="N10" i="11"/>
  <c r="M10" i="11"/>
  <c r="L10" i="11"/>
  <c r="V10" i="11" s="1"/>
  <c r="T9" i="11"/>
  <c r="S9" i="11"/>
  <c r="R9" i="11"/>
  <c r="Q9" i="11"/>
  <c r="P9" i="11"/>
  <c r="O9" i="11"/>
  <c r="N9" i="11"/>
  <c r="M9" i="11"/>
  <c r="L9" i="11"/>
  <c r="V9" i="11" s="1"/>
  <c r="T8" i="11"/>
  <c r="S8" i="11"/>
  <c r="R8" i="11"/>
  <c r="Q8" i="11"/>
  <c r="P8" i="11"/>
  <c r="O8" i="11"/>
  <c r="N8" i="11"/>
  <c r="M8" i="11"/>
  <c r="L8" i="11"/>
  <c r="V8" i="11" s="1"/>
  <c r="T7" i="11"/>
  <c r="S7" i="11"/>
  <c r="R7" i="11"/>
  <c r="Q7" i="11"/>
  <c r="P7" i="11"/>
  <c r="O7" i="11"/>
  <c r="N7" i="11"/>
  <c r="M7" i="11"/>
  <c r="L7" i="11"/>
  <c r="V7" i="11" s="1"/>
  <c r="T6" i="11"/>
  <c r="S6" i="11"/>
  <c r="R6" i="11"/>
  <c r="Q6" i="11"/>
  <c r="P6" i="11"/>
  <c r="O6" i="11"/>
  <c r="N6" i="11"/>
  <c r="M6" i="11"/>
  <c r="L6" i="11"/>
  <c r="V6" i="11" s="1"/>
  <c r="T5" i="11"/>
  <c r="S5" i="11"/>
  <c r="R5" i="11"/>
  <c r="Q5" i="11"/>
  <c r="P5" i="11"/>
  <c r="O5" i="11"/>
  <c r="N5" i="11"/>
  <c r="M5" i="11"/>
  <c r="L5" i="11"/>
  <c r="V5" i="11" s="1"/>
  <c r="T4" i="11"/>
  <c r="S4" i="11"/>
  <c r="R4" i="11"/>
  <c r="Q4" i="11"/>
  <c r="P4" i="11"/>
  <c r="O4" i="11"/>
  <c r="N4" i="11"/>
  <c r="M4" i="11"/>
  <c r="L4" i="11"/>
  <c r="V4" i="11" s="1"/>
  <c r="X4" i="11" s="1"/>
  <c r="AA4" i="11" s="1"/>
  <c r="D24" i="15"/>
  <c r="D23" i="15"/>
  <c r="C3" i="13" l="1"/>
  <c r="W688" i="11" a="1"/>
  <c r="W688" i="11" s="1"/>
  <c r="W704" i="11" a="1"/>
  <c r="W704" i="11" s="1"/>
  <c r="W720" i="11" a="1"/>
  <c r="W720" i="11" s="1"/>
  <c r="W736" i="11" a="1"/>
  <c r="W736" i="11" s="1"/>
  <c r="W752" i="11" a="1"/>
  <c r="W752" i="11" s="1"/>
  <c r="W34" i="11" a="1"/>
  <c r="W34" i="11" s="1"/>
  <c r="W50" i="11" a="1"/>
  <c r="W50" i="11" s="1"/>
  <c r="W66" i="11" a="1"/>
  <c r="W66" i="11" s="1"/>
  <c r="W82" i="11" a="1"/>
  <c r="W82" i="11" s="1"/>
  <c r="W98" i="11" a="1"/>
  <c r="W98" i="11" s="1"/>
  <c r="W114" i="11" a="1"/>
  <c r="W114" i="11" s="1"/>
  <c r="W130" i="11" a="1"/>
  <c r="W130" i="11" s="1"/>
  <c r="W146" i="11" a="1"/>
  <c r="W146" i="11" s="1"/>
  <c r="W178" i="11" a="1"/>
  <c r="W178" i="11" s="1"/>
  <c r="W194" i="11" a="1"/>
  <c r="W194" i="11" s="1"/>
  <c r="W226" i="11" a="1"/>
  <c r="W226" i="11" s="1"/>
  <c r="W242" i="11" a="1"/>
  <c r="W242" i="11" s="1"/>
  <c r="W258" i="11" a="1"/>
  <c r="W258" i="11" s="1"/>
  <c r="W274" i="11" a="1"/>
  <c r="W274" i="11" s="1"/>
  <c r="W290" i="11" a="1"/>
  <c r="W290" i="11" s="1"/>
  <c r="W306" i="11" a="1"/>
  <c r="W306" i="11" s="1"/>
  <c r="W322" i="11" a="1"/>
  <c r="W322" i="11" s="1"/>
  <c r="W338" i="11" a="1"/>
  <c r="W338" i="11" s="1"/>
  <c r="W354" i="11" a="1"/>
  <c r="W354" i="11" s="1"/>
  <c r="W370" i="11" a="1"/>
  <c r="W370" i="11" s="1"/>
  <c r="W386" i="11" a="1"/>
  <c r="W386" i="11" s="1"/>
  <c r="W402" i="11" a="1"/>
  <c r="W402" i="11" s="1"/>
  <c r="W418" i="11" a="1"/>
  <c r="W418" i="11" s="1"/>
  <c r="W434" i="11" a="1"/>
  <c r="W434" i="11" s="1"/>
  <c r="W450" i="11" a="1"/>
  <c r="W450" i="11" s="1"/>
  <c r="W466" i="11" a="1"/>
  <c r="W466" i="11" s="1"/>
  <c r="W482" i="11" a="1"/>
  <c r="W482" i="11" s="1"/>
  <c r="W498" i="11" a="1"/>
  <c r="W498" i="11" s="1"/>
  <c r="W514" i="11" a="1"/>
  <c r="W514" i="11" s="1"/>
  <c r="W530" i="11" a="1"/>
  <c r="W530" i="11" s="1"/>
  <c r="W546" i="11" a="1"/>
  <c r="W546" i="11" s="1"/>
  <c r="W562" i="11" a="1"/>
  <c r="W562" i="11" s="1"/>
  <c r="W578" i="11" a="1"/>
  <c r="W578" i="11" s="1"/>
  <c r="W594" i="11" a="1"/>
  <c r="W594" i="11" s="1"/>
  <c r="W610" i="11" a="1"/>
  <c r="W610" i="11" s="1"/>
  <c r="W626" i="11" a="1"/>
  <c r="W626" i="11" s="1"/>
  <c r="W642" i="11" a="1"/>
  <c r="W642" i="11" s="1"/>
  <c r="W658" i="11" a="1"/>
  <c r="W658" i="11" s="1"/>
  <c r="W674" i="11" a="1"/>
  <c r="W674" i="11" s="1"/>
  <c r="W690" i="11" a="1"/>
  <c r="W690" i="11" s="1"/>
  <c r="W706" i="11" a="1"/>
  <c r="W706" i="11" s="1"/>
  <c r="W722" i="11" a="1"/>
  <c r="W722" i="11" s="1"/>
  <c r="W738" i="11" a="1"/>
  <c r="W738" i="11" s="1"/>
  <c r="W18" i="11" a="1"/>
  <c r="W18" i="11" s="1"/>
  <c r="W12" i="11" a="1"/>
  <c r="W12" i="11" s="1"/>
  <c r="W28" i="11" a="1"/>
  <c r="W28" i="11" s="1"/>
  <c r="W44" i="11" a="1"/>
  <c r="W44" i="11" s="1"/>
  <c r="W60" i="11" a="1"/>
  <c r="W60" i="11" s="1"/>
  <c r="W76" i="11" a="1"/>
  <c r="W76" i="11" s="1"/>
  <c r="W92" i="11" a="1"/>
  <c r="W92" i="11" s="1"/>
  <c r="W108" i="11" a="1"/>
  <c r="W108" i="11" s="1"/>
  <c r="W124" i="11" a="1"/>
  <c r="W124" i="11" s="1"/>
  <c r="W140" i="11" a="1"/>
  <c r="W140" i="11" s="1"/>
  <c r="W172" i="11" a="1"/>
  <c r="W172" i="11" s="1"/>
  <c r="W188" i="11" a="1"/>
  <c r="W188" i="11" s="1"/>
  <c r="W204" i="11" a="1"/>
  <c r="W204" i="11" s="1"/>
  <c r="W220" i="11" a="1"/>
  <c r="W220" i="11" s="1"/>
  <c r="W236" i="11" a="1"/>
  <c r="W236" i="11" s="1"/>
  <c r="W252" i="11" a="1"/>
  <c r="W252" i="11" s="1"/>
  <c r="W268" i="11" a="1"/>
  <c r="W268" i="11" s="1"/>
  <c r="W284" i="11" a="1"/>
  <c r="W284" i="11" s="1"/>
  <c r="W300" i="11" a="1"/>
  <c r="W300" i="11" s="1"/>
  <c r="W316" i="11" a="1"/>
  <c r="W316" i="11" s="1"/>
  <c r="W332" i="11" a="1"/>
  <c r="W332" i="11" s="1"/>
  <c r="W348" i="11" a="1"/>
  <c r="W348" i="11" s="1"/>
  <c r="W364" i="11" a="1"/>
  <c r="W364" i="11" s="1"/>
  <c r="W380" i="11" a="1"/>
  <c r="W380" i="11" s="1"/>
  <c r="W396" i="11" a="1"/>
  <c r="W396" i="11" s="1"/>
  <c r="W412" i="11" a="1"/>
  <c r="W412" i="11" s="1"/>
  <c r="W428" i="11" a="1"/>
  <c r="W428" i="11" s="1"/>
  <c r="W444" i="11" a="1"/>
  <c r="W444" i="11" s="1"/>
  <c r="W460" i="11" a="1"/>
  <c r="W460" i="11" s="1"/>
  <c r="W476" i="11" a="1"/>
  <c r="W476" i="11" s="1"/>
  <c r="W492" i="11" a="1"/>
  <c r="W492" i="11" s="1"/>
  <c r="W508" i="11" a="1"/>
  <c r="W508" i="11" s="1"/>
  <c r="W524" i="11" a="1"/>
  <c r="W524" i="11" s="1"/>
  <c r="W540" i="11" a="1"/>
  <c r="W540" i="11" s="1"/>
  <c r="W556" i="11" a="1"/>
  <c r="W556" i="11" s="1"/>
  <c r="W572" i="11" a="1"/>
  <c r="W572" i="11" s="1"/>
  <c r="W588" i="11" a="1"/>
  <c r="W588" i="11" s="1"/>
  <c r="W604" i="11" a="1"/>
  <c r="W604" i="11" s="1"/>
  <c r="W620" i="11" a="1"/>
  <c r="W620" i="11" s="1"/>
  <c r="W636" i="11" a="1"/>
  <c r="W636" i="11" s="1"/>
  <c r="W652" i="11" a="1"/>
  <c r="W652" i="11" s="1"/>
  <c r="W668" i="11" a="1"/>
  <c r="W668" i="11" s="1"/>
  <c r="W684" i="11" a="1"/>
  <c r="W684" i="11" s="1"/>
  <c r="W700" i="11" a="1"/>
  <c r="W700" i="11" s="1"/>
  <c r="W716" i="11" a="1"/>
  <c r="W716" i="11" s="1"/>
  <c r="W732" i="11" a="1"/>
  <c r="W732" i="11" s="1"/>
  <c r="W748" i="11" a="1"/>
  <c r="W748" i="11" s="1"/>
  <c r="W11" i="11" a="1"/>
  <c r="W11" i="11" s="1"/>
  <c r="W27" i="11" a="1"/>
  <c r="W27" i="11" s="1"/>
  <c r="W43" i="11" a="1"/>
  <c r="W43" i="11" s="1"/>
  <c r="W59" i="11" a="1"/>
  <c r="W59" i="11" s="1"/>
  <c r="W75" i="11" a="1"/>
  <c r="W75" i="11" s="1"/>
  <c r="W91" i="11" a="1"/>
  <c r="W91" i="11" s="1"/>
  <c r="W107" i="11" a="1"/>
  <c r="W107" i="11" s="1"/>
  <c r="W123" i="11" a="1"/>
  <c r="W123" i="11" s="1"/>
  <c r="W139" i="11" a="1"/>
  <c r="W139" i="11" s="1"/>
  <c r="W155" i="11" a="1"/>
  <c r="W155" i="11" s="1"/>
  <c r="W171" i="11" a="1"/>
  <c r="W171" i="11" s="1"/>
  <c r="W187" i="11" a="1"/>
  <c r="W187" i="11" s="1"/>
  <c r="W203" i="11" a="1"/>
  <c r="W203" i="11" s="1"/>
  <c r="W219" i="11" a="1"/>
  <c r="W219" i="11" s="1"/>
  <c r="W235" i="11" a="1"/>
  <c r="W235" i="11" s="1"/>
  <c r="W251" i="11" a="1"/>
  <c r="W251" i="11" s="1"/>
  <c r="W267" i="11" a="1"/>
  <c r="W267" i="11" s="1"/>
  <c r="W283" i="11" a="1"/>
  <c r="W283" i="11" s="1"/>
  <c r="W299" i="11" a="1"/>
  <c r="W299" i="11" s="1"/>
  <c r="W315" i="11" a="1"/>
  <c r="W315" i="11" s="1"/>
  <c r="W331" i="11" a="1"/>
  <c r="W331" i="11" s="1"/>
  <c r="W347" i="11" a="1"/>
  <c r="W347" i="11" s="1"/>
  <c r="W363" i="11" a="1"/>
  <c r="W363" i="11" s="1"/>
  <c r="W379" i="11" a="1"/>
  <c r="W379" i="11" s="1"/>
  <c r="W395" i="11" a="1"/>
  <c r="W395" i="11" s="1"/>
  <c r="W411" i="11" a="1"/>
  <c r="W411" i="11" s="1"/>
  <c r="W427" i="11" a="1"/>
  <c r="W427" i="11" s="1"/>
  <c r="W443" i="11" a="1"/>
  <c r="W443" i="11" s="1"/>
  <c r="W459" i="11" a="1"/>
  <c r="W459" i="11" s="1"/>
  <c r="W475" i="11" a="1"/>
  <c r="W475" i="11" s="1"/>
  <c r="W491" i="11" a="1"/>
  <c r="W491" i="11" s="1"/>
  <c r="W507" i="11" a="1"/>
  <c r="W507" i="11" s="1"/>
  <c r="W523" i="11" a="1"/>
  <c r="W523" i="11" s="1"/>
  <c r="W539" i="11" a="1"/>
  <c r="W539" i="11" s="1"/>
  <c r="W555" i="11" a="1"/>
  <c r="W555" i="11" s="1"/>
  <c r="W571" i="11" a="1"/>
  <c r="W571" i="11" s="1"/>
  <c r="W587" i="11" a="1"/>
  <c r="W587" i="11" s="1"/>
  <c r="W603" i="11" a="1"/>
  <c r="W603" i="11" s="1"/>
  <c r="W619" i="11" a="1"/>
  <c r="W619" i="11" s="1"/>
  <c r="W635" i="11" a="1"/>
  <c r="W635" i="11" s="1"/>
  <c r="W651" i="11" a="1"/>
  <c r="W651" i="11" s="1"/>
  <c r="W667" i="11" a="1"/>
  <c r="W667" i="11" s="1"/>
  <c r="W683" i="11" a="1"/>
  <c r="W683" i="11" s="1"/>
  <c r="W699" i="11" a="1"/>
  <c r="W699" i="11" s="1"/>
  <c r="W715" i="11" a="1"/>
  <c r="W715" i="11" s="1"/>
  <c r="W731" i="11" a="1"/>
  <c r="W731" i="11" s="1"/>
  <c r="W16" i="11" a="1"/>
  <c r="W16" i="11" s="1"/>
  <c r="W96" i="11" a="1"/>
  <c r="W96" i="11" s="1"/>
  <c r="W128" i="11" a="1"/>
  <c r="W128" i="11" s="1"/>
  <c r="W160" i="11" a="1"/>
  <c r="W160" i="11" s="1"/>
  <c r="W176" i="11" a="1"/>
  <c r="W176" i="11" s="1"/>
  <c r="W192" i="11" a="1"/>
  <c r="W192" i="11" s="1"/>
  <c r="W208" i="11" a="1"/>
  <c r="W208" i="11" s="1"/>
  <c r="W224" i="11" a="1"/>
  <c r="W224" i="11" s="1"/>
  <c r="W240" i="11" a="1"/>
  <c r="W240" i="11" s="1"/>
  <c r="W256" i="11" a="1"/>
  <c r="W256" i="11" s="1"/>
  <c r="W272" i="11" a="1"/>
  <c r="W272" i="11" s="1"/>
  <c r="W288" i="11" a="1"/>
  <c r="W288" i="11" s="1"/>
  <c r="W304" i="11" a="1"/>
  <c r="W304" i="11" s="1"/>
  <c r="W320" i="11" a="1"/>
  <c r="W320" i="11" s="1"/>
  <c r="W336" i="11" a="1"/>
  <c r="W336" i="11" s="1"/>
  <c r="W352" i="11" a="1"/>
  <c r="W352" i="11" s="1"/>
  <c r="W368" i="11" a="1"/>
  <c r="W368" i="11" s="1"/>
  <c r="W384" i="11" a="1"/>
  <c r="W384" i="11" s="1"/>
  <c r="W400" i="11" a="1"/>
  <c r="W400" i="11" s="1"/>
  <c r="W416" i="11" a="1"/>
  <c r="W416" i="11" s="1"/>
  <c r="W432" i="11" a="1"/>
  <c r="W432" i="11" s="1"/>
  <c r="W448" i="11" a="1"/>
  <c r="W448" i="11" s="1"/>
  <c r="W464" i="11" a="1"/>
  <c r="W464" i="11" s="1"/>
  <c r="W480" i="11" a="1"/>
  <c r="W480" i="11" s="1"/>
  <c r="W496" i="11" a="1"/>
  <c r="W496" i="11" s="1"/>
  <c r="W512" i="11" a="1"/>
  <c r="W512" i="11" s="1"/>
  <c r="W528" i="11" a="1"/>
  <c r="W528" i="11" s="1"/>
  <c r="W544" i="11" a="1"/>
  <c r="W544" i="11" s="1"/>
  <c r="W560" i="11" a="1"/>
  <c r="W560" i="11" s="1"/>
  <c r="W576" i="11" a="1"/>
  <c r="W576" i="11" s="1"/>
  <c r="W592" i="11" a="1"/>
  <c r="W592" i="11" s="1"/>
  <c r="W608" i="11" a="1"/>
  <c r="W608" i="11" s="1"/>
  <c r="W624" i="11" a="1"/>
  <c r="W624" i="11" s="1"/>
  <c r="W640" i="11" a="1"/>
  <c r="W640" i="11" s="1"/>
  <c r="W656" i="11" a="1"/>
  <c r="W656" i="11" s="1"/>
  <c r="W672" i="11" a="1"/>
  <c r="W672" i="11" s="1"/>
  <c r="W32" i="11" a="1"/>
  <c r="W32" i="11" s="1"/>
  <c r="W48" i="11" a="1"/>
  <c r="W48" i="11" s="1"/>
  <c r="W64" i="11" a="1"/>
  <c r="W64" i="11" s="1"/>
  <c r="W80" i="11" a="1"/>
  <c r="W80" i="11" s="1"/>
  <c r="W112" i="11" a="1"/>
  <c r="W112" i="11" s="1"/>
  <c r="W144" i="11" a="1"/>
  <c r="W144" i="11" s="1"/>
  <c r="W9" i="11" a="1"/>
  <c r="W9" i="11" s="1"/>
  <c r="W25" i="11" a="1"/>
  <c r="W25" i="11" s="1"/>
  <c r="W41" i="11" a="1"/>
  <c r="W41" i="11" s="1"/>
  <c r="W57" i="11" a="1"/>
  <c r="W57" i="11" s="1"/>
  <c r="W73" i="11" a="1"/>
  <c r="W73" i="11" s="1"/>
  <c r="W89" i="11" a="1"/>
  <c r="W89" i="11" s="1"/>
  <c r="W105" i="11" a="1"/>
  <c r="W105" i="11" s="1"/>
  <c r="W121" i="11" a="1"/>
  <c r="W121" i="11" s="1"/>
  <c r="W137" i="11" a="1"/>
  <c r="W137" i="11" s="1"/>
  <c r="W153" i="11" a="1"/>
  <c r="W153" i="11" s="1"/>
  <c r="W169" i="11" a="1"/>
  <c r="W169" i="11" s="1"/>
  <c r="W185" i="11" a="1"/>
  <c r="W185" i="11" s="1"/>
  <c r="W201" i="11" a="1"/>
  <c r="W201" i="11" s="1"/>
  <c r="W217" i="11" a="1"/>
  <c r="W217" i="11" s="1"/>
  <c r="W233" i="11" a="1"/>
  <c r="W233" i="11" s="1"/>
  <c r="W249" i="11" a="1"/>
  <c r="W249" i="11" s="1"/>
  <c r="W265" i="11" a="1"/>
  <c r="W265" i="11" s="1"/>
  <c r="W281" i="11" a="1"/>
  <c r="W281" i="11" s="1"/>
  <c r="W297" i="11" a="1"/>
  <c r="W297" i="11" s="1"/>
  <c r="W313" i="11" a="1"/>
  <c r="W313" i="11" s="1"/>
  <c r="W329" i="11" a="1"/>
  <c r="W329" i="11" s="1"/>
  <c r="W345" i="11" a="1"/>
  <c r="W345" i="11" s="1"/>
  <c r="W361" i="11" a="1"/>
  <c r="W361" i="11" s="1"/>
  <c r="W377" i="11" a="1"/>
  <c r="W377" i="11" s="1"/>
  <c r="W393" i="11" a="1"/>
  <c r="W393" i="11" s="1"/>
  <c r="W409" i="11" a="1"/>
  <c r="W409" i="11" s="1"/>
  <c r="W425" i="11" a="1"/>
  <c r="W425" i="11" s="1"/>
  <c r="W441" i="11" a="1"/>
  <c r="W441" i="11" s="1"/>
  <c r="W457" i="11" a="1"/>
  <c r="W457" i="11" s="1"/>
  <c r="W473" i="11" a="1"/>
  <c r="W473" i="11" s="1"/>
  <c r="W489" i="11" a="1"/>
  <c r="W489" i="11" s="1"/>
  <c r="W505" i="11" a="1"/>
  <c r="W505" i="11" s="1"/>
  <c r="W521" i="11" a="1"/>
  <c r="W521" i="11" s="1"/>
  <c r="W537" i="11" a="1"/>
  <c r="W537" i="11" s="1"/>
  <c r="W553" i="11" a="1"/>
  <c r="W553" i="11" s="1"/>
  <c r="W569" i="11" a="1"/>
  <c r="W569" i="11" s="1"/>
  <c r="W585" i="11" a="1"/>
  <c r="W585" i="11" s="1"/>
  <c r="W601" i="11" a="1"/>
  <c r="W601" i="11" s="1"/>
  <c r="W617" i="11" a="1"/>
  <c r="W617" i="11" s="1"/>
  <c r="W633" i="11" a="1"/>
  <c r="W633" i="11" s="1"/>
  <c r="W649" i="11" a="1"/>
  <c r="W649" i="11" s="1"/>
  <c r="W665" i="11" a="1"/>
  <c r="W665" i="11" s="1"/>
  <c r="W681" i="11" a="1"/>
  <c r="W681" i="11" s="1"/>
  <c r="W697" i="11" a="1"/>
  <c r="W697" i="11" s="1"/>
  <c r="W713" i="11" a="1"/>
  <c r="W713" i="11" s="1"/>
  <c r="W729" i="11" a="1"/>
  <c r="W729" i="11" s="1"/>
  <c r="W745" i="11" a="1"/>
  <c r="W745" i="11" s="1"/>
  <c r="W210" i="11" a="1"/>
  <c r="W210" i="11" s="1"/>
  <c r="W747" i="11" a="1"/>
  <c r="W747" i="11" s="1"/>
  <c r="W5" i="11" a="1"/>
  <c r="W5" i="11" s="1"/>
  <c r="W21" i="11" a="1"/>
  <c r="W21" i="11" s="1"/>
  <c r="W37" i="11" a="1"/>
  <c r="W37" i="11" s="1"/>
  <c r="W53" i="11" a="1"/>
  <c r="W53" i="11" s="1"/>
  <c r="W69" i="11" a="1"/>
  <c r="W69" i="11" s="1"/>
  <c r="W85" i="11" a="1"/>
  <c r="W85" i="11" s="1"/>
  <c r="W101" i="11" a="1"/>
  <c r="W101" i="11" s="1"/>
  <c r="W117" i="11" a="1"/>
  <c r="W117" i="11" s="1"/>
  <c r="W133" i="11" a="1"/>
  <c r="W133" i="11" s="1"/>
  <c r="W149" i="11" a="1"/>
  <c r="W149" i="11" s="1"/>
  <c r="W165" i="11" a="1"/>
  <c r="W165" i="11" s="1"/>
  <c r="W181" i="11" a="1"/>
  <c r="W181" i="11" s="1"/>
  <c r="W197" i="11" a="1"/>
  <c r="W197" i="11" s="1"/>
  <c r="W213" i="11" a="1"/>
  <c r="W213" i="11" s="1"/>
  <c r="W229" i="11" a="1"/>
  <c r="W229" i="11" s="1"/>
  <c r="W245" i="11" a="1"/>
  <c r="W245" i="11" s="1"/>
  <c r="W261" i="11" a="1"/>
  <c r="W261" i="11" s="1"/>
  <c r="W277" i="11" a="1"/>
  <c r="W277" i="11" s="1"/>
  <c r="W293" i="11" a="1"/>
  <c r="W293" i="11" s="1"/>
  <c r="W309" i="11" a="1"/>
  <c r="W309" i="11" s="1"/>
  <c r="W325" i="11" a="1"/>
  <c r="W325" i="11" s="1"/>
  <c r="W341" i="11" a="1"/>
  <c r="W341" i="11" s="1"/>
  <c r="W357" i="11" a="1"/>
  <c r="W357" i="11" s="1"/>
  <c r="W373" i="11" a="1"/>
  <c r="W373" i="11" s="1"/>
  <c r="W389" i="11" a="1"/>
  <c r="W389" i="11" s="1"/>
  <c r="W405" i="11" a="1"/>
  <c r="W405" i="11" s="1"/>
  <c r="W421" i="11" a="1"/>
  <c r="W421" i="11" s="1"/>
  <c r="W437" i="11" a="1"/>
  <c r="W437" i="11" s="1"/>
  <c r="W453" i="11" a="1"/>
  <c r="W453" i="11" s="1"/>
  <c r="W469" i="11" a="1"/>
  <c r="W469" i="11" s="1"/>
  <c r="W485" i="11" a="1"/>
  <c r="W485" i="11" s="1"/>
  <c r="W501" i="11" a="1"/>
  <c r="W501" i="11" s="1"/>
  <c r="W517" i="11" a="1"/>
  <c r="W517" i="11" s="1"/>
  <c r="W533" i="11" a="1"/>
  <c r="W533" i="11" s="1"/>
  <c r="W549" i="11" a="1"/>
  <c r="W549" i="11" s="1"/>
  <c r="W565" i="11" a="1"/>
  <c r="W565" i="11" s="1"/>
  <c r="W581" i="11" a="1"/>
  <c r="W581" i="11" s="1"/>
  <c r="W597" i="11" a="1"/>
  <c r="W597" i="11" s="1"/>
  <c r="W613" i="11" a="1"/>
  <c r="W613" i="11" s="1"/>
  <c r="W629" i="11" a="1"/>
  <c r="W629" i="11" s="1"/>
  <c r="W645" i="11" a="1"/>
  <c r="W645" i="11" s="1"/>
  <c r="W661" i="11" a="1"/>
  <c r="W661" i="11" s="1"/>
  <c r="W677" i="11" a="1"/>
  <c r="W677" i="11" s="1"/>
  <c r="W693" i="11" a="1"/>
  <c r="W693" i="11" s="1"/>
  <c r="W709" i="11" a="1"/>
  <c r="W709" i="11" s="1"/>
  <c r="W725" i="11" a="1"/>
  <c r="W725" i="11" s="1"/>
  <c r="W741" i="11" a="1"/>
  <c r="W741" i="11" s="1"/>
  <c r="W14" i="11" a="1"/>
  <c r="W14" i="11" s="1"/>
  <c r="W30" i="11" a="1"/>
  <c r="W30" i="11" s="1"/>
  <c r="W46" i="11" a="1"/>
  <c r="W46" i="11" s="1"/>
  <c r="W62" i="11" a="1"/>
  <c r="W62" i="11" s="1"/>
  <c r="W78" i="11" a="1"/>
  <c r="W78" i="11" s="1"/>
  <c r="W94" i="11" a="1"/>
  <c r="W94" i="11" s="1"/>
  <c r="W110" i="11" a="1"/>
  <c r="W110" i="11" s="1"/>
  <c r="W126" i="11" a="1"/>
  <c r="W126" i="11" s="1"/>
  <c r="W142" i="11" a="1"/>
  <c r="W142" i="11" s="1"/>
  <c r="W4" i="11" a="1"/>
  <c r="W4" i="11" s="1"/>
  <c r="Y4" i="11" s="1"/>
  <c r="AB4" i="11" s="1"/>
  <c r="W20" i="11" a="1"/>
  <c r="W20" i="11" s="1"/>
  <c r="W36" i="11" a="1"/>
  <c r="W36" i="11" s="1"/>
  <c r="W52" i="11" a="1"/>
  <c r="W52" i="11" s="1"/>
  <c r="W68" i="11" a="1"/>
  <c r="W68" i="11" s="1"/>
  <c r="W84" i="11" a="1"/>
  <c r="W84" i="11" s="1"/>
  <c r="W100" i="11" a="1"/>
  <c r="W100" i="11" s="1"/>
  <c r="W116" i="11" a="1"/>
  <c r="W116" i="11" s="1"/>
  <c r="W132" i="11" a="1"/>
  <c r="W132" i="11" s="1"/>
  <c r="W148" i="11" a="1"/>
  <c r="W148" i="11" s="1"/>
  <c r="W180" i="11" a="1"/>
  <c r="W180" i="11" s="1"/>
  <c r="W196" i="11" a="1"/>
  <c r="W196" i="11" s="1"/>
  <c r="W212" i="11" a="1"/>
  <c r="W212" i="11" s="1"/>
  <c r="W228" i="11" a="1"/>
  <c r="W228" i="11" s="1"/>
  <c r="W244" i="11" a="1"/>
  <c r="W244" i="11" s="1"/>
  <c r="W260" i="11" a="1"/>
  <c r="W260" i="11" s="1"/>
  <c r="W276" i="11" a="1"/>
  <c r="W276" i="11" s="1"/>
  <c r="W292" i="11" a="1"/>
  <c r="W292" i="11" s="1"/>
  <c r="W308" i="11" a="1"/>
  <c r="W308" i="11" s="1"/>
  <c r="W324" i="11" a="1"/>
  <c r="W324" i="11" s="1"/>
  <c r="W340" i="11" a="1"/>
  <c r="W340" i="11" s="1"/>
  <c r="W356" i="11" a="1"/>
  <c r="W356" i="11" s="1"/>
  <c r="W372" i="11" a="1"/>
  <c r="W372" i="11" s="1"/>
  <c r="W388" i="11" a="1"/>
  <c r="W388" i="11" s="1"/>
  <c r="W404" i="11" a="1"/>
  <c r="W404" i="11" s="1"/>
  <c r="W420" i="11" a="1"/>
  <c r="W420" i="11" s="1"/>
  <c r="W436" i="11" a="1"/>
  <c r="W436" i="11" s="1"/>
  <c r="W452" i="11" a="1"/>
  <c r="W452" i="11" s="1"/>
  <c r="W468" i="11" a="1"/>
  <c r="W468" i="11" s="1"/>
  <c r="W484" i="11" a="1"/>
  <c r="W484" i="11" s="1"/>
  <c r="W500" i="11" a="1"/>
  <c r="W500" i="11" s="1"/>
  <c r="W516" i="11" a="1"/>
  <c r="W516" i="11" s="1"/>
  <c r="W532" i="11" a="1"/>
  <c r="W532" i="11" s="1"/>
  <c r="W548" i="11" a="1"/>
  <c r="W548" i="11" s="1"/>
  <c r="W564" i="11" a="1"/>
  <c r="W564" i="11" s="1"/>
  <c r="W580" i="11" a="1"/>
  <c r="W580" i="11" s="1"/>
  <c r="W596" i="11" a="1"/>
  <c r="W596" i="11" s="1"/>
  <c r="W612" i="11" a="1"/>
  <c r="W612" i="11" s="1"/>
  <c r="W628" i="11" a="1"/>
  <c r="W628" i="11" s="1"/>
  <c r="W644" i="11" a="1"/>
  <c r="W644" i="11" s="1"/>
  <c r="W660" i="11" a="1"/>
  <c r="W660" i="11" s="1"/>
  <c r="W676" i="11" a="1"/>
  <c r="W676" i="11" s="1"/>
  <c r="W692" i="11" a="1"/>
  <c r="W692" i="11" s="1"/>
  <c r="W708" i="11" a="1"/>
  <c r="W708" i="11" s="1"/>
  <c r="W724" i="11" a="1"/>
  <c r="W724" i="11" s="1"/>
  <c r="W740" i="11" a="1"/>
  <c r="W740" i="11" s="1"/>
  <c r="W156" i="11" a="1"/>
  <c r="W156" i="11" s="1"/>
  <c r="W164" i="11" a="1"/>
  <c r="W164" i="11" s="1"/>
  <c r="W162" i="11" a="1"/>
  <c r="W162" i="11" s="1"/>
  <c r="W158" i="11" a="1"/>
  <c r="W158" i="11" s="1"/>
  <c r="W174" i="11" a="1"/>
  <c r="W174" i="11" s="1"/>
  <c r="W190" i="11" a="1"/>
  <c r="W190" i="11" s="1"/>
  <c r="W206" i="11" a="1"/>
  <c r="W206" i="11" s="1"/>
  <c r="W222" i="11" a="1"/>
  <c r="W222" i="11" s="1"/>
  <c r="W238" i="11" a="1"/>
  <c r="W238" i="11" s="1"/>
  <c r="W254" i="11" a="1"/>
  <c r="W254" i="11" s="1"/>
  <c r="W270" i="11" a="1"/>
  <c r="W270" i="11" s="1"/>
  <c r="W286" i="11" a="1"/>
  <c r="W286" i="11" s="1"/>
  <c r="W302" i="11" a="1"/>
  <c r="W302" i="11" s="1"/>
  <c r="W318" i="11" a="1"/>
  <c r="W318" i="11" s="1"/>
  <c r="W334" i="11" a="1"/>
  <c r="W334" i="11" s="1"/>
  <c r="W350" i="11" a="1"/>
  <c r="W350" i="11" s="1"/>
  <c r="W366" i="11" a="1"/>
  <c r="W366" i="11" s="1"/>
  <c r="W382" i="11" a="1"/>
  <c r="W382" i="11" s="1"/>
  <c r="W398" i="11" a="1"/>
  <c r="W398" i="11" s="1"/>
  <c r="W414" i="11" a="1"/>
  <c r="W414" i="11" s="1"/>
  <c r="W430" i="11" a="1"/>
  <c r="W430" i="11" s="1"/>
  <c r="W446" i="11" a="1"/>
  <c r="W446" i="11" s="1"/>
  <c r="W462" i="11" a="1"/>
  <c r="W462" i="11" s="1"/>
  <c r="W478" i="11" a="1"/>
  <c r="W478" i="11" s="1"/>
  <c r="W494" i="11" a="1"/>
  <c r="W494" i="11" s="1"/>
  <c r="W510" i="11" a="1"/>
  <c r="W510" i="11" s="1"/>
  <c r="W526" i="11" a="1"/>
  <c r="W526" i="11" s="1"/>
  <c r="W542" i="11" a="1"/>
  <c r="W542" i="11" s="1"/>
  <c r="W558" i="11" a="1"/>
  <c r="W558" i="11" s="1"/>
  <c r="W574" i="11" a="1"/>
  <c r="W574" i="11" s="1"/>
  <c r="W590" i="11" a="1"/>
  <c r="W590" i="11" s="1"/>
  <c r="W606" i="11" a="1"/>
  <c r="W606" i="11" s="1"/>
  <c r="W622" i="11" a="1"/>
  <c r="W622" i="11" s="1"/>
  <c r="W638" i="11" a="1"/>
  <c r="W638" i="11" s="1"/>
  <c r="W654" i="11" a="1"/>
  <c r="W654" i="11" s="1"/>
  <c r="W670" i="11" a="1"/>
  <c r="W670" i="11" s="1"/>
  <c r="W686" i="11" a="1"/>
  <c r="W686" i="11" s="1"/>
  <c r="W702" i="11" a="1"/>
  <c r="W702" i="11" s="1"/>
  <c r="W718" i="11" a="1"/>
  <c r="W718" i="11" s="1"/>
  <c r="W734" i="11" a="1"/>
  <c r="W734" i="11" s="1"/>
  <c r="W750" i="11" a="1"/>
  <c r="W750" i="11" s="1"/>
  <c r="W7" i="11" a="1"/>
  <c r="W7" i="11" s="1"/>
  <c r="W23" i="11" a="1"/>
  <c r="W23" i="11" s="1"/>
  <c r="W39" i="11" a="1"/>
  <c r="W39" i="11" s="1"/>
  <c r="W55" i="11" a="1"/>
  <c r="W55" i="11" s="1"/>
  <c r="W71" i="11" a="1"/>
  <c r="W71" i="11" s="1"/>
  <c r="W87" i="11" a="1"/>
  <c r="W87" i="11" s="1"/>
  <c r="W103" i="11" a="1"/>
  <c r="W103" i="11" s="1"/>
  <c r="W119" i="11" a="1"/>
  <c r="W119" i="11" s="1"/>
  <c r="W135" i="11" a="1"/>
  <c r="W135" i="11" s="1"/>
  <c r="W151" i="11" a="1"/>
  <c r="W151" i="11" s="1"/>
  <c r="W167" i="11" a="1"/>
  <c r="W167" i="11" s="1"/>
  <c r="W183" i="11" a="1"/>
  <c r="W183" i="11" s="1"/>
  <c r="W199" i="11" a="1"/>
  <c r="W199" i="11" s="1"/>
  <c r="W215" i="11" a="1"/>
  <c r="W215" i="11" s="1"/>
  <c r="W231" i="11" a="1"/>
  <c r="W231" i="11" s="1"/>
  <c r="W247" i="11" a="1"/>
  <c r="W247" i="11" s="1"/>
  <c r="W263" i="11" a="1"/>
  <c r="W263" i="11" s="1"/>
  <c r="W279" i="11" a="1"/>
  <c r="W279" i="11" s="1"/>
  <c r="W295" i="11" a="1"/>
  <c r="W295" i="11" s="1"/>
  <c r="W311" i="11" a="1"/>
  <c r="W311" i="11" s="1"/>
  <c r="W327" i="11" a="1"/>
  <c r="W327" i="11" s="1"/>
  <c r="W343" i="11" a="1"/>
  <c r="W343" i="11" s="1"/>
  <c r="W359" i="11" a="1"/>
  <c r="W359" i="11" s="1"/>
  <c r="W375" i="11" a="1"/>
  <c r="W375" i="11" s="1"/>
  <c r="W391" i="11" a="1"/>
  <c r="W391" i="11" s="1"/>
  <c r="W407" i="11" a="1"/>
  <c r="W407" i="11" s="1"/>
  <c r="W423" i="11" a="1"/>
  <c r="W423" i="11" s="1"/>
  <c r="W439" i="11" a="1"/>
  <c r="W439" i="11" s="1"/>
  <c r="W455" i="11" a="1"/>
  <c r="W455" i="11" s="1"/>
  <c r="W471" i="11" a="1"/>
  <c r="W471" i="11" s="1"/>
  <c r="W487" i="11" a="1"/>
  <c r="W487" i="11" s="1"/>
  <c r="W503" i="11" a="1"/>
  <c r="W503" i="11" s="1"/>
  <c r="W519" i="11" a="1"/>
  <c r="W519" i="11" s="1"/>
  <c r="W535" i="11" a="1"/>
  <c r="W535" i="11" s="1"/>
  <c r="W551" i="11" a="1"/>
  <c r="W551" i="11" s="1"/>
  <c r="W567" i="11" a="1"/>
  <c r="W567" i="11" s="1"/>
  <c r="W583" i="11" a="1"/>
  <c r="W583" i="11" s="1"/>
  <c r="W599" i="11" a="1"/>
  <c r="W599" i="11" s="1"/>
  <c r="W615" i="11" a="1"/>
  <c r="W615" i="11" s="1"/>
  <c r="W631" i="11" a="1"/>
  <c r="W631" i="11" s="1"/>
  <c r="W647" i="11" a="1"/>
  <c r="W647" i="11" s="1"/>
  <c r="W663" i="11" a="1"/>
  <c r="W663" i="11" s="1"/>
  <c r="W679" i="11" a="1"/>
  <c r="W679" i="11" s="1"/>
  <c r="W695" i="11" a="1"/>
  <c r="W695" i="11" s="1"/>
  <c r="W711" i="11" a="1"/>
  <c r="W711" i="11" s="1"/>
  <c r="W727" i="11" a="1"/>
  <c r="W727" i="11" s="1"/>
  <c r="W743" i="11" a="1"/>
  <c r="W743" i="11" s="1"/>
  <c r="W29" i="11" a="1"/>
  <c r="W29" i="11" s="1"/>
  <c r="W45" i="11" a="1"/>
  <c r="W45" i="11" s="1"/>
  <c r="W109" i="11" a="1"/>
  <c r="W109" i="11" s="1"/>
  <c r="W173" i="11" a="1"/>
  <c r="W173" i="11" s="1"/>
  <c r="W205" i="11" a="1"/>
  <c r="W205" i="11" s="1"/>
  <c r="W253" i="11" a="1"/>
  <c r="W253" i="11" s="1"/>
  <c r="W301" i="11" a="1"/>
  <c r="W301" i="11" s="1"/>
  <c r="W349" i="11" a="1"/>
  <c r="W349" i="11" s="1"/>
  <c r="W397" i="11" a="1"/>
  <c r="W397" i="11" s="1"/>
  <c r="W461" i="11" a="1"/>
  <c r="W461" i="11" s="1"/>
  <c r="W525" i="11" a="1"/>
  <c r="W525" i="11" s="1"/>
  <c r="W541" i="11" a="1"/>
  <c r="W541" i="11" s="1"/>
  <c r="W557" i="11" a="1"/>
  <c r="W557" i="11" s="1"/>
  <c r="W733" i="11" a="1"/>
  <c r="W733" i="11" s="1"/>
  <c r="W749" i="11" a="1"/>
  <c r="W749" i="11" s="1"/>
  <c r="W22" i="11" a="1"/>
  <c r="W22" i="11" s="1"/>
  <c r="W86" i="11" a="1"/>
  <c r="W86" i="11" s="1"/>
  <c r="W198" i="11" a="1"/>
  <c r="W198" i="11" s="1"/>
  <c r="W246" i="11" a="1"/>
  <c r="W246" i="11" s="1"/>
  <c r="W358" i="11" a="1"/>
  <c r="W358" i="11" s="1"/>
  <c r="W390" i="11" a="1"/>
  <c r="W390" i="11" s="1"/>
  <c r="W406" i="11" a="1"/>
  <c r="W406" i="11" s="1"/>
  <c r="W454" i="11" a="1"/>
  <c r="W454" i="11" s="1"/>
  <c r="W470" i="11" a="1"/>
  <c r="W470" i="11" s="1"/>
  <c r="W486" i="11" a="1"/>
  <c r="W486" i="11" s="1"/>
  <c r="W518" i="11" a="1"/>
  <c r="W518" i="11" s="1"/>
  <c r="W534" i="11" a="1"/>
  <c r="W534" i="11" s="1"/>
  <c r="W550" i="11" a="1"/>
  <c r="W550" i="11" s="1"/>
  <c r="W598" i="11" a="1"/>
  <c r="W598" i="11" s="1"/>
  <c r="W630" i="11" a="1"/>
  <c r="W630" i="11" s="1"/>
  <c r="W646" i="11" a="1"/>
  <c r="W646" i="11" s="1"/>
  <c r="W662" i="11" a="1"/>
  <c r="W662" i="11" s="1"/>
  <c r="W678" i="11" a="1"/>
  <c r="W678" i="11" s="1"/>
  <c r="W694" i="11" a="1"/>
  <c r="W694" i="11" s="1"/>
  <c r="W710" i="11" a="1"/>
  <c r="W710" i="11" s="1"/>
  <c r="W726" i="11" a="1"/>
  <c r="W726" i="11" s="1"/>
  <c r="W742" i="11" a="1"/>
  <c r="W742" i="11" s="1"/>
  <c r="W15" i="11" a="1"/>
  <c r="W15" i="11" s="1"/>
  <c r="W31" i="11" a="1"/>
  <c r="W31" i="11" s="1"/>
  <c r="W47" i="11" a="1"/>
  <c r="W47" i="11" s="1"/>
  <c r="W63" i="11" a="1"/>
  <c r="W63" i="11" s="1"/>
  <c r="W79" i="11" a="1"/>
  <c r="W79" i="11" s="1"/>
  <c r="W95" i="11" a="1"/>
  <c r="W95" i="11" s="1"/>
  <c r="W111" i="11" a="1"/>
  <c r="W111" i="11" s="1"/>
  <c r="W127" i="11" a="1"/>
  <c r="W127" i="11" s="1"/>
  <c r="W143" i="11" a="1"/>
  <c r="W143" i="11" s="1"/>
  <c r="W159" i="11" a="1"/>
  <c r="W159" i="11" s="1"/>
  <c r="W175" i="11" a="1"/>
  <c r="W175" i="11" s="1"/>
  <c r="W191" i="11" a="1"/>
  <c r="W191" i="11" s="1"/>
  <c r="W207" i="11" a="1"/>
  <c r="W207" i="11" s="1"/>
  <c r="W223" i="11" a="1"/>
  <c r="W223" i="11" s="1"/>
  <c r="W239" i="11" a="1"/>
  <c r="W239" i="11" s="1"/>
  <c r="W255" i="11" a="1"/>
  <c r="W255" i="11" s="1"/>
  <c r="W271" i="11" a="1"/>
  <c r="W271" i="11" s="1"/>
  <c r="W287" i="11" a="1"/>
  <c r="W287" i="11" s="1"/>
  <c r="W303" i="11" a="1"/>
  <c r="W303" i="11" s="1"/>
  <c r="W319" i="11" a="1"/>
  <c r="W319" i="11" s="1"/>
  <c r="W335" i="11" a="1"/>
  <c r="W335" i="11" s="1"/>
  <c r="W351" i="11" a="1"/>
  <c r="W351" i="11" s="1"/>
  <c r="W367" i="11" a="1"/>
  <c r="W367" i="11" s="1"/>
  <c r="W383" i="11" a="1"/>
  <c r="W383" i="11" s="1"/>
  <c r="W399" i="11" a="1"/>
  <c r="W399" i="11" s="1"/>
  <c r="W415" i="11" a="1"/>
  <c r="W415" i="11" s="1"/>
  <c r="W431" i="11" a="1"/>
  <c r="W431" i="11" s="1"/>
  <c r="W447" i="11" a="1"/>
  <c r="W447" i="11" s="1"/>
  <c r="W463" i="11" a="1"/>
  <c r="W463" i="11" s="1"/>
  <c r="W479" i="11" a="1"/>
  <c r="W479" i="11" s="1"/>
  <c r="W495" i="11" a="1"/>
  <c r="W495" i="11" s="1"/>
  <c r="W511" i="11" a="1"/>
  <c r="W511" i="11" s="1"/>
  <c r="W527" i="11" a="1"/>
  <c r="W527" i="11" s="1"/>
  <c r="W543" i="11" a="1"/>
  <c r="W543" i="11" s="1"/>
  <c r="W559" i="11" a="1"/>
  <c r="W559" i="11" s="1"/>
  <c r="W575" i="11" a="1"/>
  <c r="W575" i="11" s="1"/>
  <c r="W591" i="11" a="1"/>
  <c r="W591" i="11" s="1"/>
  <c r="W607" i="11" a="1"/>
  <c r="W607" i="11" s="1"/>
  <c r="W623" i="11" a="1"/>
  <c r="W623" i="11" s="1"/>
  <c r="W639" i="11" a="1"/>
  <c r="W639" i="11" s="1"/>
  <c r="W655" i="11" a="1"/>
  <c r="W655" i="11" s="1"/>
  <c r="W671" i="11" a="1"/>
  <c r="W671" i="11" s="1"/>
  <c r="W687" i="11" a="1"/>
  <c r="W687" i="11" s="1"/>
  <c r="W703" i="11" a="1"/>
  <c r="W703" i="11" s="1"/>
  <c r="W719" i="11" a="1"/>
  <c r="W719" i="11" s="1"/>
  <c r="W735" i="11" a="1"/>
  <c r="W735" i="11" s="1"/>
  <c r="W751" i="11" a="1"/>
  <c r="W751" i="11" s="1"/>
  <c r="W93" i="11" a="1"/>
  <c r="W93" i="11" s="1"/>
  <c r="W141" i="11" a="1"/>
  <c r="W141" i="11" s="1"/>
  <c r="W221" i="11" a="1"/>
  <c r="W221" i="11" s="1"/>
  <c r="W509" i="11" a="1"/>
  <c r="W509" i="11" s="1"/>
  <c r="W621" i="11" a="1"/>
  <c r="W621" i="11" s="1"/>
  <c r="W38" i="11" a="1"/>
  <c r="W38" i="11" s="1"/>
  <c r="W70" i="11" a="1"/>
  <c r="W70" i="11" s="1"/>
  <c r="W134" i="11" a="1"/>
  <c r="W134" i="11" s="1"/>
  <c r="W166" i="11" a="1"/>
  <c r="W166" i="11" s="1"/>
  <c r="W214" i="11" a="1"/>
  <c r="W214" i="11" s="1"/>
  <c r="W294" i="11" a="1"/>
  <c r="W294" i="11" s="1"/>
  <c r="W342" i="11" a="1"/>
  <c r="W342" i="11" s="1"/>
  <c r="W502" i="11" a="1"/>
  <c r="W502" i="11" s="1"/>
  <c r="W582" i="11" a="1"/>
  <c r="W582" i="11" s="1"/>
  <c r="W88" i="11" a="1"/>
  <c r="W88" i="11" s="1"/>
  <c r="W120" i="11" a="1"/>
  <c r="W120" i="11" s="1"/>
  <c r="W136" i="11" a="1"/>
  <c r="W136" i="11" s="1"/>
  <c r="W152" i="11" a="1"/>
  <c r="W152" i="11" s="1"/>
  <c r="W168" i="11" a="1"/>
  <c r="W168" i="11" s="1"/>
  <c r="W184" i="11" a="1"/>
  <c r="W184" i="11" s="1"/>
  <c r="W200" i="11" a="1"/>
  <c r="W200" i="11" s="1"/>
  <c r="W216" i="11" a="1"/>
  <c r="W216" i="11" s="1"/>
  <c r="W232" i="11" a="1"/>
  <c r="W232" i="11" s="1"/>
  <c r="W248" i="11" a="1"/>
  <c r="W248" i="11" s="1"/>
  <c r="W264" i="11" a="1"/>
  <c r="W264" i="11" s="1"/>
  <c r="W280" i="11" a="1"/>
  <c r="W280" i="11" s="1"/>
  <c r="W296" i="11" a="1"/>
  <c r="W296" i="11" s="1"/>
  <c r="W312" i="11" a="1"/>
  <c r="W312" i="11" s="1"/>
  <c r="W328" i="11" a="1"/>
  <c r="W328" i="11" s="1"/>
  <c r="W344" i="11" a="1"/>
  <c r="W344" i="11" s="1"/>
  <c r="W360" i="11" a="1"/>
  <c r="W360" i="11" s="1"/>
  <c r="W376" i="11" a="1"/>
  <c r="W376" i="11" s="1"/>
  <c r="W392" i="11" a="1"/>
  <c r="W392" i="11" s="1"/>
  <c r="W408" i="11" a="1"/>
  <c r="W408" i="11" s="1"/>
  <c r="W424" i="11" a="1"/>
  <c r="W424" i="11" s="1"/>
  <c r="W440" i="11" a="1"/>
  <c r="W440" i="11" s="1"/>
  <c r="W456" i="11" a="1"/>
  <c r="W456" i="11" s="1"/>
  <c r="W472" i="11" a="1"/>
  <c r="W472" i="11" s="1"/>
  <c r="W488" i="11" a="1"/>
  <c r="W488" i="11" s="1"/>
  <c r="W504" i="11" a="1"/>
  <c r="W504" i="11" s="1"/>
  <c r="W520" i="11" a="1"/>
  <c r="W520" i="11" s="1"/>
  <c r="W536" i="11" a="1"/>
  <c r="W536" i="11" s="1"/>
  <c r="W552" i="11" a="1"/>
  <c r="W552" i="11" s="1"/>
  <c r="W568" i="11" a="1"/>
  <c r="W568" i="11" s="1"/>
  <c r="W584" i="11" a="1"/>
  <c r="W584" i="11" s="1"/>
  <c r="W600" i="11" a="1"/>
  <c r="W600" i="11" s="1"/>
  <c r="W616" i="11" a="1"/>
  <c r="W616" i="11" s="1"/>
  <c r="W632" i="11" a="1"/>
  <c r="W632" i="11" s="1"/>
  <c r="W648" i="11" a="1"/>
  <c r="W648" i="11" s="1"/>
  <c r="W664" i="11" a="1"/>
  <c r="W664" i="11" s="1"/>
  <c r="W680" i="11" a="1"/>
  <c r="W680" i="11" s="1"/>
  <c r="W696" i="11" a="1"/>
  <c r="W696" i="11" s="1"/>
  <c r="W712" i="11" a="1"/>
  <c r="W712" i="11" s="1"/>
  <c r="W728" i="11" a="1"/>
  <c r="W728" i="11" s="1"/>
  <c r="W744" i="11" a="1"/>
  <c r="W744" i="11" s="1"/>
  <c r="W13" i="11" a="1"/>
  <c r="W13" i="11" s="1"/>
  <c r="W125" i="11" a="1"/>
  <c r="W125" i="11" s="1"/>
  <c r="W237" i="11" a="1"/>
  <c r="W237" i="11" s="1"/>
  <c r="W365" i="11" a="1"/>
  <c r="W365" i="11" s="1"/>
  <c r="W381" i="11" a="1"/>
  <c r="W381" i="11" s="1"/>
  <c r="W413" i="11" a="1"/>
  <c r="W413" i="11" s="1"/>
  <c r="W477" i="11" a="1"/>
  <c r="W477" i="11" s="1"/>
  <c r="W589" i="11" a="1"/>
  <c r="W589" i="11" s="1"/>
  <c r="W669" i="11" a="1"/>
  <c r="W669" i="11" s="1"/>
  <c r="W685" i="11" a="1"/>
  <c r="W685" i="11" s="1"/>
  <c r="W701" i="11" a="1"/>
  <c r="W701" i="11" s="1"/>
  <c r="W6" i="11" a="1"/>
  <c r="W6" i="11" s="1"/>
  <c r="W54" i="11" a="1"/>
  <c r="W54" i="11" s="1"/>
  <c r="W102" i="11" a="1"/>
  <c r="W102" i="11" s="1"/>
  <c r="W118" i="11" a="1"/>
  <c r="W118" i="11" s="1"/>
  <c r="W262" i="11" a="1"/>
  <c r="W262" i="11" s="1"/>
  <c r="W310" i="11" a="1"/>
  <c r="W310" i="11" s="1"/>
  <c r="W438" i="11" a="1"/>
  <c r="W438" i="11" s="1"/>
  <c r="W614" i="11" a="1"/>
  <c r="W614" i="11" s="1"/>
  <c r="W56" i="11" a="1"/>
  <c r="W56" i="11" s="1"/>
  <c r="W17" i="11" a="1"/>
  <c r="W17" i="11" s="1"/>
  <c r="W33" i="11" a="1"/>
  <c r="W33" i="11" s="1"/>
  <c r="W49" i="11" a="1"/>
  <c r="W49" i="11" s="1"/>
  <c r="W65" i="11" a="1"/>
  <c r="W65" i="11" s="1"/>
  <c r="W81" i="11" a="1"/>
  <c r="W81" i="11" s="1"/>
  <c r="W97" i="11" a="1"/>
  <c r="W97" i="11" s="1"/>
  <c r="W113" i="11" a="1"/>
  <c r="W113" i="11" s="1"/>
  <c r="W129" i="11" a="1"/>
  <c r="W129" i="11" s="1"/>
  <c r="W145" i="11" a="1"/>
  <c r="W145" i="11" s="1"/>
  <c r="W161" i="11" a="1"/>
  <c r="W161" i="11" s="1"/>
  <c r="W177" i="11" a="1"/>
  <c r="W177" i="11" s="1"/>
  <c r="W193" i="11" a="1"/>
  <c r="W193" i="11" s="1"/>
  <c r="W209" i="11" a="1"/>
  <c r="W209" i="11" s="1"/>
  <c r="W225" i="11" a="1"/>
  <c r="W225" i="11" s="1"/>
  <c r="W241" i="11" a="1"/>
  <c r="W241" i="11" s="1"/>
  <c r="W257" i="11" a="1"/>
  <c r="W257" i="11" s="1"/>
  <c r="W273" i="11" a="1"/>
  <c r="W273" i="11" s="1"/>
  <c r="W289" i="11" a="1"/>
  <c r="W289" i="11" s="1"/>
  <c r="W305" i="11" a="1"/>
  <c r="W305" i="11" s="1"/>
  <c r="W321" i="11" a="1"/>
  <c r="W321" i="11" s="1"/>
  <c r="W337" i="11" a="1"/>
  <c r="W337" i="11" s="1"/>
  <c r="W353" i="11" a="1"/>
  <c r="W353" i="11" s="1"/>
  <c r="W369" i="11" a="1"/>
  <c r="W369" i="11" s="1"/>
  <c r="W385" i="11" a="1"/>
  <c r="W385" i="11" s="1"/>
  <c r="W401" i="11" a="1"/>
  <c r="W401" i="11" s="1"/>
  <c r="W417" i="11" a="1"/>
  <c r="W417" i="11" s="1"/>
  <c r="W433" i="11" a="1"/>
  <c r="W433" i="11" s="1"/>
  <c r="W449" i="11" a="1"/>
  <c r="W449" i="11" s="1"/>
  <c r="W465" i="11" a="1"/>
  <c r="W465" i="11" s="1"/>
  <c r="W481" i="11" a="1"/>
  <c r="W481" i="11" s="1"/>
  <c r="W497" i="11" a="1"/>
  <c r="W497" i="11" s="1"/>
  <c r="W513" i="11" a="1"/>
  <c r="W513" i="11" s="1"/>
  <c r="W529" i="11" a="1"/>
  <c r="W529" i="11" s="1"/>
  <c r="W545" i="11" a="1"/>
  <c r="W545" i="11" s="1"/>
  <c r="W561" i="11" a="1"/>
  <c r="W561" i="11" s="1"/>
  <c r="W577" i="11" a="1"/>
  <c r="W577" i="11" s="1"/>
  <c r="W593" i="11" a="1"/>
  <c r="W593" i="11" s="1"/>
  <c r="W609" i="11" a="1"/>
  <c r="W609" i="11" s="1"/>
  <c r="W625" i="11" a="1"/>
  <c r="W625" i="11" s="1"/>
  <c r="W641" i="11" a="1"/>
  <c r="W641" i="11" s="1"/>
  <c r="W657" i="11" a="1"/>
  <c r="W657" i="11" s="1"/>
  <c r="W673" i="11" a="1"/>
  <c r="W673" i="11" s="1"/>
  <c r="W689" i="11" a="1"/>
  <c r="W689" i="11" s="1"/>
  <c r="W705" i="11" a="1"/>
  <c r="W705" i="11" s="1"/>
  <c r="W721" i="11" a="1"/>
  <c r="W721" i="11" s="1"/>
  <c r="W737" i="11" a="1"/>
  <c r="W737" i="11" s="1"/>
  <c r="W753" i="11" a="1"/>
  <c r="W753" i="11" s="1"/>
  <c r="W61" i="11" a="1"/>
  <c r="W61" i="11" s="1"/>
  <c r="W157" i="11" a="1"/>
  <c r="W157" i="11" s="1"/>
  <c r="W285" i="11" a="1"/>
  <c r="W285" i="11" s="1"/>
  <c r="W317" i="11" a="1"/>
  <c r="W317" i="11" s="1"/>
  <c r="W429" i="11" a="1"/>
  <c r="W429" i="11" s="1"/>
  <c r="W445" i="11" a="1"/>
  <c r="W445" i="11" s="1"/>
  <c r="W493" i="11" a="1"/>
  <c r="W493" i="11" s="1"/>
  <c r="W637" i="11" a="1"/>
  <c r="W637" i="11" s="1"/>
  <c r="W653" i="11" a="1"/>
  <c r="W653" i="11" s="1"/>
  <c r="W717" i="11" a="1"/>
  <c r="W717" i="11" s="1"/>
  <c r="W150" i="11" a="1"/>
  <c r="W150" i="11" s="1"/>
  <c r="W182" i="11" a="1"/>
  <c r="W182" i="11" s="1"/>
  <c r="W278" i="11" a="1"/>
  <c r="W278" i="11" s="1"/>
  <c r="W326" i="11" a="1"/>
  <c r="W326" i="11" s="1"/>
  <c r="W40" i="11" a="1"/>
  <c r="W40" i="11" s="1"/>
  <c r="W72" i="11" a="1"/>
  <c r="W72" i="11" s="1"/>
  <c r="W10" i="11" a="1"/>
  <c r="W10" i="11" s="1"/>
  <c r="W26" i="11" a="1"/>
  <c r="W26" i="11" s="1"/>
  <c r="W42" i="11" a="1"/>
  <c r="W42" i="11" s="1"/>
  <c r="W58" i="11" a="1"/>
  <c r="W58" i="11" s="1"/>
  <c r="W74" i="11" a="1"/>
  <c r="W74" i="11" s="1"/>
  <c r="W90" i="11" a="1"/>
  <c r="W90" i="11" s="1"/>
  <c r="W106" i="11" a="1"/>
  <c r="W106" i="11" s="1"/>
  <c r="W122" i="11" a="1"/>
  <c r="W122" i="11" s="1"/>
  <c r="W138" i="11" a="1"/>
  <c r="W138" i="11" s="1"/>
  <c r="W154" i="11" a="1"/>
  <c r="W154" i="11" s="1"/>
  <c r="W170" i="11" a="1"/>
  <c r="W170" i="11" s="1"/>
  <c r="W186" i="11" a="1"/>
  <c r="W186" i="11" s="1"/>
  <c r="W202" i="11" a="1"/>
  <c r="W202" i="11" s="1"/>
  <c r="W218" i="11" a="1"/>
  <c r="W218" i="11" s="1"/>
  <c r="W234" i="11" a="1"/>
  <c r="W234" i="11" s="1"/>
  <c r="W250" i="11" a="1"/>
  <c r="W250" i="11" s="1"/>
  <c r="W266" i="11" a="1"/>
  <c r="W266" i="11" s="1"/>
  <c r="W282" i="11" a="1"/>
  <c r="W282" i="11" s="1"/>
  <c r="W298" i="11" a="1"/>
  <c r="W298" i="11" s="1"/>
  <c r="W314" i="11" a="1"/>
  <c r="W314" i="11" s="1"/>
  <c r="W330" i="11" a="1"/>
  <c r="W330" i="11" s="1"/>
  <c r="W346" i="11" a="1"/>
  <c r="W346" i="11" s="1"/>
  <c r="W362" i="11" a="1"/>
  <c r="W362" i="11" s="1"/>
  <c r="W378" i="11" a="1"/>
  <c r="W378" i="11" s="1"/>
  <c r="W394" i="11" a="1"/>
  <c r="W394" i="11" s="1"/>
  <c r="W410" i="11" a="1"/>
  <c r="W410" i="11" s="1"/>
  <c r="W426" i="11" a="1"/>
  <c r="W426" i="11" s="1"/>
  <c r="W442" i="11" a="1"/>
  <c r="W442" i="11" s="1"/>
  <c r="W458" i="11" a="1"/>
  <c r="W458" i="11" s="1"/>
  <c r="W474" i="11" a="1"/>
  <c r="W474" i="11" s="1"/>
  <c r="W490" i="11" a="1"/>
  <c r="W490" i="11" s="1"/>
  <c r="W506" i="11" a="1"/>
  <c r="W506" i="11" s="1"/>
  <c r="W522" i="11" a="1"/>
  <c r="W522" i="11" s="1"/>
  <c r="W538" i="11" a="1"/>
  <c r="W538" i="11" s="1"/>
  <c r="W554" i="11" a="1"/>
  <c r="W554" i="11" s="1"/>
  <c r="W570" i="11" a="1"/>
  <c r="W570" i="11" s="1"/>
  <c r="W586" i="11" a="1"/>
  <c r="W586" i="11" s="1"/>
  <c r="W602" i="11" a="1"/>
  <c r="W602" i="11" s="1"/>
  <c r="W618" i="11" a="1"/>
  <c r="W618" i="11" s="1"/>
  <c r="W634" i="11" a="1"/>
  <c r="W634" i="11" s="1"/>
  <c r="W650" i="11" a="1"/>
  <c r="W650" i="11" s="1"/>
  <c r="W666" i="11" a="1"/>
  <c r="W666" i="11" s="1"/>
  <c r="W682" i="11" a="1"/>
  <c r="W682" i="11" s="1"/>
  <c r="W698" i="11" a="1"/>
  <c r="W698" i="11" s="1"/>
  <c r="W714" i="11" a="1"/>
  <c r="W714" i="11" s="1"/>
  <c r="W730" i="11" a="1"/>
  <c r="W730" i="11" s="1"/>
  <c r="W746" i="11" a="1"/>
  <c r="W746" i="11" s="1"/>
  <c r="W77" i="11" a="1"/>
  <c r="W77" i="11" s="1"/>
  <c r="W189" i="11" a="1"/>
  <c r="W189" i="11" s="1"/>
  <c r="W269" i="11" a="1"/>
  <c r="W269" i="11" s="1"/>
  <c r="W333" i="11" a="1"/>
  <c r="W333" i="11" s="1"/>
  <c r="W573" i="11" a="1"/>
  <c r="W573" i="11" s="1"/>
  <c r="W605" i="11" a="1"/>
  <c r="W605" i="11" s="1"/>
  <c r="W230" i="11" a="1"/>
  <c r="W230" i="11" s="1"/>
  <c r="W374" i="11" a="1"/>
  <c r="W374" i="11" s="1"/>
  <c r="W422" i="11" a="1"/>
  <c r="W422" i="11" s="1"/>
  <c r="W566" i="11" a="1"/>
  <c r="W566" i="11" s="1"/>
  <c r="W8" i="11" a="1"/>
  <c r="W8" i="11" s="1"/>
  <c r="W24" i="11" a="1"/>
  <c r="W24" i="11" s="1"/>
  <c r="W104" i="11" a="1"/>
  <c r="W104" i="11" s="1"/>
  <c r="W19" i="11" a="1"/>
  <c r="W19" i="11" s="1"/>
  <c r="W35" i="11" a="1"/>
  <c r="W35" i="11" s="1"/>
  <c r="W51" i="11" a="1"/>
  <c r="W51" i="11" s="1"/>
  <c r="W67" i="11" a="1"/>
  <c r="W67" i="11" s="1"/>
  <c r="W83" i="11" a="1"/>
  <c r="W83" i="11" s="1"/>
  <c r="W99" i="11" a="1"/>
  <c r="W99" i="11" s="1"/>
  <c r="W115" i="11" a="1"/>
  <c r="W115" i="11" s="1"/>
  <c r="W131" i="11" a="1"/>
  <c r="W131" i="11" s="1"/>
  <c r="W147" i="11" a="1"/>
  <c r="W147" i="11" s="1"/>
  <c r="W163" i="11" a="1"/>
  <c r="W163" i="11" s="1"/>
  <c r="W179" i="11" a="1"/>
  <c r="W179" i="11" s="1"/>
  <c r="W195" i="11" a="1"/>
  <c r="W195" i="11" s="1"/>
  <c r="W211" i="11" a="1"/>
  <c r="W211" i="11" s="1"/>
  <c r="W227" i="11" a="1"/>
  <c r="W227" i="11" s="1"/>
  <c r="W243" i="11" a="1"/>
  <c r="W243" i="11" s="1"/>
  <c r="W259" i="11" a="1"/>
  <c r="W259" i="11" s="1"/>
  <c r="W275" i="11" a="1"/>
  <c r="W275" i="11" s="1"/>
  <c r="W291" i="11" a="1"/>
  <c r="W291" i="11" s="1"/>
  <c r="W307" i="11" a="1"/>
  <c r="W307" i="11" s="1"/>
  <c r="W323" i="11" a="1"/>
  <c r="W323" i="11" s="1"/>
  <c r="W339" i="11" a="1"/>
  <c r="W339" i="11" s="1"/>
  <c r="W355" i="11" a="1"/>
  <c r="W355" i="11" s="1"/>
  <c r="W371" i="11" a="1"/>
  <c r="W371" i="11" s="1"/>
  <c r="W387" i="11" a="1"/>
  <c r="W387" i="11" s="1"/>
  <c r="W403" i="11" a="1"/>
  <c r="W403" i="11" s="1"/>
  <c r="W419" i="11" a="1"/>
  <c r="W419" i="11" s="1"/>
  <c r="W435" i="11" a="1"/>
  <c r="W435" i="11" s="1"/>
  <c r="W451" i="11" a="1"/>
  <c r="W451" i="11" s="1"/>
  <c r="W467" i="11" a="1"/>
  <c r="W467" i="11" s="1"/>
  <c r="W483" i="11" a="1"/>
  <c r="W483" i="11" s="1"/>
  <c r="W499" i="11" a="1"/>
  <c r="W499" i="11" s="1"/>
  <c r="W515" i="11" a="1"/>
  <c r="W515" i="11" s="1"/>
  <c r="W531" i="11" a="1"/>
  <c r="W531" i="11" s="1"/>
  <c r="W547" i="11" a="1"/>
  <c r="W547" i="11" s="1"/>
  <c r="W563" i="11" a="1"/>
  <c r="W563" i="11" s="1"/>
  <c r="W579" i="11" a="1"/>
  <c r="W579" i="11" s="1"/>
  <c r="W595" i="11" a="1"/>
  <c r="W595" i="11" s="1"/>
  <c r="W611" i="11" a="1"/>
  <c r="W611" i="11" s="1"/>
  <c r="W627" i="11" a="1"/>
  <c r="W627" i="11" s="1"/>
  <c r="W643" i="11" a="1"/>
  <c r="W643" i="11" s="1"/>
  <c r="W659" i="11" a="1"/>
  <c r="W659" i="11" s="1"/>
  <c r="W675" i="11" a="1"/>
  <c r="W675" i="11" s="1"/>
  <c r="W691" i="11" a="1"/>
  <c r="W691" i="11" s="1"/>
  <c r="W707" i="11" a="1"/>
  <c r="W707" i="11" s="1"/>
  <c r="W723" i="11" a="1"/>
  <c r="W723" i="11" s="1"/>
  <c r="W739" i="11" a="1"/>
  <c r="W739" i="11" s="1"/>
  <c r="X5" i="11"/>
  <c r="AA5" i="11" s="1"/>
  <c r="D29" i="13"/>
  <c r="C29" i="13"/>
  <c r="C13" i="13"/>
  <c r="X6" i="11" l="1"/>
  <c r="Y5" i="11"/>
  <c r="E3" i="13"/>
  <c r="G3" i="13"/>
  <c r="I3" i="13"/>
  <c r="J3" i="13"/>
  <c r="H3" i="13"/>
  <c r="D3" i="13"/>
  <c r="G4" i="13"/>
  <c r="H4" i="13"/>
  <c r="F3" i="13"/>
  <c r="I31" i="13"/>
  <c r="G31" i="13"/>
  <c r="F20" i="13"/>
  <c r="D31" i="13"/>
  <c r="C31" i="13"/>
  <c r="J20" i="13"/>
  <c r="H31" i="13"/>
  <c r="E31" i="13"/>
  <c r="D20" i="13"/>
  <c r="J31" i="13"/>
  <c r="I20" i="13"/>
  <c r="H20" i="13"/>
  <c r="G20" i="13"/>
  <c r="F31" i="13"/>
  <c r="E20" i="13"/>
  <c r="C20" i="13"/>
  <c r="I30" i="13"/>
  <c r="I19" i="13"/>
  <c r="E30" i="13"/>
  <c r="D19" i="13"/>
  <c r="J19" i="13"/>
  <c r="H30" i="13"/>
  <c r="H19" i="13"/>
  <c r="F30" i="13"/>
  <c r="E19" i="13"/>
  <c r="C30" i="13"/>
  <c r="J30" i="13"/>
  <c r="G30" i="13"/>
  <c r="G19" i="13"/>
  <c r="F19" i="13"/>
  <c r="D30" i="13"/>
  <c r="C19" i="13"/>
  <c r="I32" i="13"/>
  <c r="I21" i="13"/>
  <c r="F32" i="13"/>
  <c r="E21" i="13"/>
  <c r="C32" i="13"/>
  <c r="H32" i="13"/>
  <c r="H21" i="13"/>
  <c r="F21" i="13"/>
  <c r="D32" i="13"/>
  <c r="C21" i="13"/>
  <c r="J21" i="13"/>
  <c r="G32" i="13"/>
  <c r="G21" i="13"/>
  <c r="E32" i="13"/>
  <c r="D21" i="13"/>
  <c r="J32" i="13"/>
  <c r="D4" i="13"/>
  <c r="F4" i="13"/>
  <c r="J35" i="13"/>
  <c r="H35" i="13"/>
  <c r="G35" i="13"/>
  <c r="F35" i="13"/>
  <c r="E24" i="13"/>
  <c r="J24" i="13"/>
  <c r="I24" i="13"/>
  <c r="G24" i="13"/>
  <c r="F24" i="13"/>
  <c r="D35" i="13"/>
  <c r="C24" i="13"/>
  <c r="I35" i="13"/>
  <c r="H24" i="13"/>
  <c r="E35" i="13"/>
  <c r="D24" i="13"/>
  <c r="C35" i="13"/>
  <c r="J36" i="13"/>
  <c r="I36" i="13"/>
  <c r="I25" i="13"/>
  <c r="E36" i="13"/>
  <c r="D25" i="13"/>
  <c r="J25" i="13"/>
  <c r="H36" i="13"/>
  <c r="H25" i="13"/>
  <c r="F36" i="13"/>
  <c r="E25" i="13"/>
  <c r="C36" i="13"/>
  <c r="G36" i="13"/>
  <c r="G25" i="13"/>
  <c r="F25" i="13"/>
  <c r="D36" i="13"/>
  <c r="C25" i="13"/>
  <c r="E4" i="13"/>
  <c r="J29" i="13"/>
  <c r="J18" i="13"/>
  <c r="H29" i="13"/>
  <c r="F29" i="13"/>
  <c r="E18" i="13"/>
  <c r="D18" i="13"/>
  <c r="I18" i="13"/>
  <c r="H18" i="13"/>
  <c r="G18" i="13"/>
  <c r="F18" i="13"/>
  <c r="C18" i="13"/>
  <c r="I29" i="13"/>
  <c r="G29" i="13"/>
  <c r="E29" i="13"/>
  <c r="I22" i="13"/>
  <c r="H22" i="13"/>
  <c r="G22" i="13"/>
  <c r="E33" i="13"/>
  <c r="D22" i="13"/>
  <c r="C22" i="13"/>
  <c r="J33" i="13"/>
  <c r="I33" i="13"/>
  <c r="G33" i="13"/>
  <c r="F33" i="13"/>
  <c r="E22" i="13"/>
  <c r="C33" i="13"/>
  <c r="J22" i="13"/>
  <c r="H33" i="13"/>
  <c r="F22" i="13"/>
  <c r="D33" i="13"/>
  <c r="I34" i="13"/>
  <c r="I23" i="13"/>
  <c r="F23" i="13"/>
  <c r="D34" i="13"/>
  <c r="C23" i="13"/>
  <c r="J34" i="13"/>
  <c r="H34" i="13"/>
  <c r="H23" i="13"/>
  <c r="E34" i="13"/>
  <c r="D23" i="13"/>
  <c r="G34" i="13"/>
  <c r="G23" i="13"/>
  <c r="F34" i="13"/>
  <c r="E23" i="13"/>
  <c r="C34" i="13"/>
  <c r="J23" i="13"/>
  <c r="C4" i="13"/>
  <c r="I4" i="13"/>
  <c r="J4" i="13"/>
  <c r="C10" i="13" l="1"/>
  <c r="AA6" i="11"/>
  <c r="X7" i="11"/>
  <c r="Y6" i="11"/>
  <c r="AB5" i="11"/>
  <c r="C11" i="13" a="1"/>
  <c r="C11" i="13" s="1"/>
  <c r="AA7" i="11" l="1"/>
  <c r="X8" i="11"/>
  <c r="Y7" i="11"/>
  <c r="AB6" i="11"/>
  <c r="C14" i="13"/>
  <c r="AA8" i="11" l="1"/>
  <c r="X9" i="11"/>
  <c r="Y8" i="11"/>
  <c r="AB7" i="11"/>
  <c r="X10" i="11" l="1"/>
  <c r="AA9" i="11"/>
  <c r="Y9" i="11"/>
  <c r="AB8" i="11"/>
  <c r="X11" i="11" l="1"/>
  <c r="AA10" i="11"/>
  <c r="Y10" i="11"/>
  <c r="AB9" i="11"/>
  <c r="X12" i="11" l="1"/>
  <c r="AA11" i="11"/>
  <c r="Y11" i="11"/>
  <c r="AB10" i="11"/>
  <c r="AA12" i="11" l="1"/>
  <c r="X13" i="11"/>
  <c r="Y12" i="11"/>
  <c r="AB11" i="11"/>
  <c r="AA13" i="11" l="1"/>
  <c r="X14" i="11"/>
  <c r="Y13" i="11"/>
  <c r="AB12" i="11"/>
  <c r="X15" i="11" l="1"/>
  <c r="AA14" i="11"/>
  <c r="Y14" i="11"/>
  <c r="AB13" i="11"/>
  <c r="AA15" i="11" l="1"/>
  <c r="X16" i="11"/>
  <c r="Y15" i="11"/>
  <c r="AB14" i="11"/>
  <c r="X17" i="11" l="1"/>
  <c r="AA16" i="11"/>
  <c r="Y16" i="11"/>
  <c r="AB15" i="11"/>
  <c r="X18" i="11" l="1"/>
  <c r="AA17" i="11"/>
  <c r="Y17" i="11"/>
  <c r="AB16" i="11"/>
  <c r="X19" i="11" l="1"/>
  <c r="AA18" i="11"/>
  <c r="Y18" i="11"/>
  <c r="AB17" i="11"/>
  <c r="AA19" i="11" l="1"/>
  <c r="X20" i="11"/>
  <c r="Y19" i="11"/>
  <c r="AB18" i="11"/>
  <c r="X21" i="11" l="1"/>
  <c r="AA20" i="11"/>
  <c r="Y20" i="11"/>
  <c r="AB19" i="11"/>
  <c r="AA21" i="11" l="1"/>
  <c r="X22" i="11"/>
  <c r="Y21" i="11"/>
  <c r="AB20" i="11"/>
  <c r="X23" i="11" l="1"/>
  <c r="AA22" i="11"/>
  <c r="Y22" i="11"/>
  <c r="AB21" i="11"/>
  <c r="X24" i="11" l="1"/>
  <c r="AA23" i="11"/>
  <c r="Y23" i="11"/>
  <c r="AB22" i="11"/>
  <c r="X25" i="11" l="1"/>
  <c r="AA24" i="11"/>
  <c r="Y24" i="11"/>
  <c r="AB23" i="11"/>
  <c r="AA25" i="11" l="1"/>
  <c r="X26" i="11"/>
  <c r="Y25" i="11"/>
  <c r="AB24" i="11"/>
  <c r="X27" i="11" l="1"/>
  <c r="AA26" i="11"/>
  <c r="Y26" i="11"/>
  <c r="AB25" i="11"/>
  <c r="X28" i="11" l="1"/>
  <c r="AA27" i="11"/>
  <c r="Y27" i="11"/>
  <c r="AB26" i="11"/>
  <c r="X29" i="11" l="1"/>
  <c r="AA28" i="11"/>
  <c r="Y28" i="11"/>
  <c r="AB27" i="11"/>
  <c r="X30" i="11" l="1"/>
  <c r="AA29" i="11"/>
  <c r="Y29" i="11"/>
  <c r="AB28" i="11"/>
  <c r="AA30" i="11" l="1"/>
  <c r="X31" i="11"/>
  <c r="Y30" i="11"/>
  <c r="AB29" i="11"/>
  <c r="X32" i="11" l="1"/>
  <c r="AA31" i="11"/>
  <c r="Y31" i="11"/>
  <c r="AB30" i="11"/>
  <c r="AA32" i="11" l="1"/>
  <c r="X33" i="11"/>
  <c r="Y32" i="11"/>
  <c r="AB31" i="11"/>
  <c r="X34" i="11" l="1"/>
  <c r="AA33" i="11"/>
  <c r="Y33" i="11"/>
  <c r="AB32" i="11"/>
  <c r="AA34" i="11" l="1"/>
  <c r="X35" i="11"/>
  <c r="Y34" i="11"/>
  <c r="AB33" i="11"/>
  <c r="AA35" i="11" l="1"/>
  <c r="X36" i="11"/>
  <c r="Y35" i="11"/>
  <c r="AB34" i="11"/>
  <c r="X37" i="11" l="1"/>
  <c r="AA36" i="11"/>
  <c r="Y36" i="11"/>
  <c r="AB35" i="11"/>
  <c r="AA37" i="11" l="1"/>
  <c r="X38" i="11"/>
  <c r="Y37" i="11"/>
  <c r="AB36" i="11"/>
  <c r="X39" i="11" l="1"/>
  <c r="AA38" i="11"/>
  <c r="Y38" i="11"/>
  <c r="AB37" i="11"/>
  <c r="AA39" i="11" l="1"/>
  <c r="X40" i="11"/>
  <c r="Y39" i="11"/>
  <c r="AB38" i="11"/>
  <c r="X41" i="11" l="1"/>
  <c r="AA40" i="11"/>
  <c r="Y40" i="11"/>
  <c r="AB39" i="11"/>
  <c r="AA41" i="11" l="1"/>
  <c r="X42" i="11"/>
  <c r="Y41" i="11"/>
  <c r="AB40" i="11"/>
  <c r="AA42" i="11" l="1"/>
  <c r="X43" i="11"/>
  <c r="Y42" i="11"/>
  <c r="AB41" i="11"/>
  <c r="X44" i="11" l="1"/>
  <c r="AA43" i="11"/>
  <c r="Y43" i="11"/>
  <c r="AB42" i="11"/>
  <c r="X45" i="11" l="1"/>
  <c r="AA44" i="11"/>
  <c r="Y44" i="11"/>
  <c r="AB43" i="11"/>
  <c r="AA45" i="11" l="1"/>
  <c r="X46" i="11"/>
  <c r="Y45" i="11"/>
  <c r="AB44" i="11"/>
  <c r="AA46" i="11" l="1"/>
  <c r="X47" i="11"/>
  <c r="Y46" i="11"/>
  <c r="AB45" i="11"/>
  <c r="X48" i="11" l="1"/>
  <c r="AA47" i="11"/>
  <c r="Y47" i="11"/>
  <c r="AB46" i="11"/>
  <c r="AA48" i="11" l="1"/>
  <c r="X49" i="11"/>
  <c r="Y48" i="11"/>
  <c r="AB47" i="11"/>
  <c r="X50" i="11" l="1"/>
  <c r="AA49" i="11"/>
  <c r="Y49" i="11"/>
  <c r="AB48" i="11"/>
  <c r="AA50" i="11" l="1"/>
  <c r="X51" i="11"/>
  <c r="Y50" i="11"/>
  <c r="AB49" i="11"/>
  <c r="X52" i="11" l="1"/>
  <c r="AA51" i="11"/>
  <c r="Y51" i="11"/>
  <c r="AB50" i="11"/>
  <c r="X53" i="11" l="1"/>
  <c r="AA52" i="11"/>
  <c r="Y52" i="11"/>
  <c r="AB51" i="11"/>
  <c r="X54" i="11" l="1"/>
  <c r="AA53" i="11"/>
  <c r="Y53" i="11"/>
  <c r="AB52" i="11"/>
  <c r="AA54" i="11" l="1"/>
  <c r="X55" i="11"/>
  <c r="Y54" i="11"/>
  <c r="AB53" i="11"/>
  <c r="X56" i="11" l="1"/>
  <c r="AA55" i="11"/>
  <c r="Y55" i="11"/>
  <c r="AB54" i="11"/>
  <c r="AA56" i="11" l="1"/>
  <c r="X57" i="11"/>
  <c r="Y56" i="11"/>
  <c r="AB55" i="11"/>
  <c r="AA57" i="11" l="1"/>
  <c r="X58" i="11"/>
  <c r="Y57" i="11"/>
  <c r="AB56" i="11"/>
  <c r="X59" i="11" l="1"/>
  <c r="AA58" i="11"/>
  <c r="Y58" i="11"/>
  <c r="AB57" i="11"/>
  <c r="X60" i="11" l="1"/>
  <c r="AA59" i="11"/>
  <c r="Y59" i="11"/>
  <c r="AB58" i="11"/>
  <c r="X61" i="11" l="1"/>
  <c r="AA60" i="11"/>
  <c r="Y60" i="11"/>
  <c r="AB59" i="11"/>
  <c r="AA61" i="11" l="1"/>
  <c r="X62" i="11"/>
  <c r="Y61" i="11"/>
  <c r="AB60" i="11"/>
  <c r="X63" i="11" l="1"/>
  <c r="AA62" i="11"/>
  <c r="Y62" i="11"/>
  <c r="AB61" i="11"/>
  <c r="AA63" i="11" l="1"/>
  <c r="X64" i="11"/>
  <c r="Y63" i="11"/>
  <c r="AB62" i="11"/>
  <c r="X65" i="11" l="1"/>
  <c r="AA64" i="11"/>
  <c r="Y64" i="11"/>
  <c r="AB63" i="11"/>
  <c r="X66" i="11" l="1"/>
  <c r="AA65" i="11"/>
  <c r="Y65" i="11"/>
  <c r="AB64" i="11"/>
  <c r="AA66" i="11" l="1"/>
  <c r="X67" i="11"/>
  <c r="Y66" i="11"/>
  <c r="AB65" i="11"/>
  <c r="X68" i="11" l="1"/>
  <c r="AA67" i="11"/>
  <c r="Y67" i="11"/>
  <c r="AB66" i="11"/>
  <c r="X69" i="11" l="1"/>
  <c r="AA68" i="11"/>
  <c r="Y68" i="11"/>
  <c r="AB67" i="11"/>
  <c r="AA69" i="11" l="1"/>
  <c r="X70" i="11"/>
  <c r="Y69" i="11"/>
  <c r="AB68" i="11"/>
  <c r="X71" i="11" l="1"/>
  <c r="AA70" i="11"/>
  <c r="Y70" i="11"/>
  <c r="AB69" i="11"/>
  <c r="X72" i="11" l="1"/>
  <c r="AA71" i="11"/>
  <c r="Y71" i="11"/>
  <c r="AB70" i="11"/>
  <c r="X73" i="11" l="1"/>
  <c r="AA72" i="11"/>
  <c r="Y72" i="11"/>
  <c r="AB71" i="11"/>
  <c r="X74" i="11" l="1"/>
  <c r="AA73" i="11"/>
  <c r="Y73" i="11"/>
  <c r="AB72" i="11"/>
  <c r="X75" i="11" l="1"/>
  <c r="AA74" i="11"/>
  <c r="Y74" i="11"/>
  <c r="AB73" i="11"/>
  <c r="AA75" i="11" l="1"/>
  <c r="X76" i="11"/>
  <c r="Y75" i="11"/>
  <c r="AB74" i="11"/>
  <c r="AA76" i="11" l="1"/>
  <c r="X77" i="11"/>
  <c r="Y76" i="11"/>
  <c r="AB75" i="11"/>
  <c r="X78" i="11" l="1"/>
  <c r="AA77" i="11"/>
  <c r="Y77" i="11"/>
  <c r="AB76" i="11"/>
  <c r="X79" i="11" l="1"/>
  <c r="AA78" i="11"/>
  <c r="Y78" i="11"/>
  <c r="AB77" i="11"/>
  <c r="X80" i="11" l="1"/>
  <c r="AA79" i="11"/>
  <c r="Y79" i="11"/>
  <c r="AB78" i="11"/>
  <c r="X81" i="11" l="1"/>
  <c r="AA80" i="11"/>
  <c r="Y80" i="11"/>
  <c r="AB79" i="11"/>
  <c r="X82" i="11" l="1"/>
  <c r="AA81" i="11"/>
  <c r="Y81" i="11"/>
  <c r="AB80" i="11"/>
  <c r="AA82" i="11" l="1"/>
  <c r="X83" i="11"/>
  <c r="Y82" i="11"/>
  <c r="AB81" i="11"/>
  <c r="X84" i="11" l="1"/>
  <c r="AA83" i="11"/>
  <c r="Y83" i="11"/>
  <c r="AB82" i="11"/>
  <c r="X85" i="11" l="1"/>
  <c r="AA84" i="11"/>
  <c r="Y84" i="11"/>
  <c r="AB83" i="11"/>
  <c r="X86" i="11" l="1"/>
  <c r="AA85" i="11"/>
  <c r="Y85" i="11"/>
  <c r="AB84" i="11"/>
  <c r="X87" i="11" l="1"/>
  <c r="AA86" i="11"/>
  <c r="Y86" i="11"/>
  <c r="AB85" i="11"/>
  <c r="X88" i="11" l="1"/>
  <c r="AA87" i="11"/>
  <c r="Y87" i="11"/>
  <c r="AB86" i="11"/>
  <c r="X89" i="11" l="1"/>
  <c r="AA88" i="11"/>
  <c r="Y88" i="11"/>
  <c r="AB87" i="11"/>
  <c r="X90" i="11" l="1"/>
  <c r="AA89" i="11"/>
  <c r="Y89" i="11"/>
  <c r="AB88" i="11"/>
  <c r="AA90" i="11" l="1"/>
  <c r="X91" i="11"/>
  <c r="Y90" i="11"/>
  <c r="AB89" i="11"/>
  <c r="X92" i="11" l="1"/>
  <c r="AA91" i="11"/>
  <c r="Y91" i="11"/>
  <c r="AB90" i="11"/>
  <c r="X93" i="11" l="1"/>
  <c r="AA92" i="11"/>
  <c r="Y92" i="11"/>
  <c r="AB91" i="11"/>
  <c r="X94" i="11" l="1"/>
  <c r="AA93" i="11"/>
  <c r="Y93" i="11"/>
  <c r="AB92" i="11"/>
  <c r="X95" i="11" l="1"/>
  <c r="AA94" i="11"/>
  <c r="Y94" i="11"/>
  <c r="AB93" i="11"/>
  <c r="X96" i="11" l="1"/>
  <c r="AA95" i="11"/>
  <c r="Y95" i="11"/>
  <c r="AB94" i="11"/>
  <c r="X97" i="11" l="1"/>
  <c r="AA96" i="11"/>
  <c r="Y96" i="11"/>
  <c r="AB95" i="11"/>
  <c r="X98" i="11" l="1"/>
  <c r="AA97" i="11"/>
  <c r="Y97" i="11"/>
  <c r="AB96" i="11"/>
  <c r="X99" i="11" l="1"/>
  <c r="AA98" i="11"/>
  <c r="Y98" i="11"/>
  <c r="AB97" i="11"/>
  <c r="AA99" i="11" l="1"/>
  <c r="X100" i="11"/>
  <c r="Y99" i="11"/>
  <c r="AB98" i="11"/>
  <c r="X101" i="11" l="1"/>
  <c r="AA100" i="11"/>
  <c r="Y100" i="11"/>
  <c r="AB99" i="11"/>
  <c r="X102" i="11" l="1"/>
  <c r="AA101" i="11"/>
  <c r="Y101" i="11"/>
  <c r="AB100" i="11"/>
  <c r="X103" i="11" l="1"/>
  <c r="AA102" i="11"/>
  <c r="Y102" i="11"/>
  <c r="AB101" i="11"/>
  <c r="X104" i="11" l="1"/>
  <c r="AA103" i="11"/>
  <c r="Y103" i="11"/>
  <c r="AB102" i="11"/>
  <c r="X105" i="11" l="1"/>
  <c r="AA104" i="11"/>
  <c r="Y104" i="11"/>
  <c r="AB103" i="11"/>
  <c r="AA105" i="11" l="1"/>
  <c r="X106" i="11"/>
  <c r="Y105" i="11"/>
  <c r="AB104" i="11"/>
  <c r="X107" i="11" l="1"/>
  <c r="AA106" i="11"/>
  <c r="Y106" i="11"/>
  <c r="AB105" i="11"/>
  <c r="X108" i="11" l="1"/>
  <c r="AA107" i="11"/>
  <c r="Y107" i="11"/>
  <c r="AB106" i="11"/>
  <c r="X109" i="11" l="1"/>
  <c r="AA108" i="11"/>
  <c r="Y108" i="11"/>
  <c r="AB107" i="11"/>
  <c r="AA109" i="11" l="1"/>
  <c r="X110" i="11"/>
  <c r="Y109" i="11"/>
  <c r="AB108" i="11"/>
  <c r="X111" i="11" l="1"/>
  <c r="AA110" i="11"/>
  <c r="Y110" i="11"/>
  <c r="AB109" i="11"/>
  <c r="AA111" i="11" l="1"/>
  <c r="X112" i="11"/>
  <c r="Y111" i="11"/>
  <c r="AB110" i="11"/>
  <c r="X113" i="11" l="1"/>
  <c r="AA112" i="11"/>
  <c r="Y112" i="11"/>
  <c r="AB111" i="11"/>
  <c r="X114" i="11" l="1"/>
  <c r="AA113" i="11"/>
  <c r="Y113" i="11"/>
  <c r="AB112" i="11"/>
  <c r="X115" i="11" l="1"/>
  <c r="AA114" i="11"/>
  <c r="Y114" i="11"/>
  <c r="AB113" i="11"/>
  <c r="X116" i="11" l="1"/>
  <c r="AA115" i="11"/>
  <c r="Y115" i="11"/>
  <c r="AB114" i="11"/>
  <c r="X117" i="11" l="1"/>
  <c r="AA116" i="11"/>
  <c r="Y116" i="11"/>
  <c r="AB115" i="11"/>
  <c r="X118" i="11" l="1"/>
  <c r="AA117" i="11"/>
  <c r="Y117" i="11"/>
  <c r="AB116" i="11"/>
  <c r="X119" i="11" l="1"/>
  <c r="AA118" i="11"/>
  <c r="Y118" i="11"/>
  <c r="AB117" i="11"/>
  <c r="X120" i="11" l="1"/>
  <c r="AA119" i="11"/>
  <c r="Y119" i="11"/>
  <c r="AB118" i="11"/>
  <c r="AA120" i="11" l="1"/>
  <c r="X121" i="11"/>
  <c r="Y120" i="11"/>
  <c r="AB119" i="11"/>
  <c r="X122" i="11" l="1"/>
  <c r="AA121" i="11"/>
  <c r="Y121" i="11"/>
  <c r="AB120" i="11"/>
  <c r="X123" i="11" l="1"/>
  <c r="AA122" i="11"/>
  <c r="Y122" i="11"/>
  <c r="AB121" i="11"/>
  <c r="X124" i="11" l="1"/>
  <c r="AA123" i="11"/>
  <c r="Y123" i="11"/>
  <c r="AB122" i="11"/>
  <c r="X125" i="11" l="1"/>
  <c r="AA124" i="11"/>
  <c r="Y124" i="11"/>
  <c r="AB123" i="11"/>
  <c r="X126" i="11" l="1"/>
  <c r="AA125" i="11"/>
  <c r="Y125" i="11"/>
  <c r="AB124" i="11"/>
  <c r="X127" i="11" l="1"/>
  <c r="AA126" i="11"/>
  <c r="Y126" i="11"/>
  <c r="AB125" i="11"/>
  <c r="X128" i="11" l="1"/>
  <c r="AA127" i="11"/>
  <c r="Y127" i="11"/>
  <c r="AB126" i="11"/>
  <c r="X129" i="11" l="1"/>
  <c r="AA128" i="11"/>
  <c r="Y128" i="11"/>
  <c r="AB127" i="11"/>
  <c r="X130" i="11" l="1"/>
  <c r="AA129" i="11"/>
  <c r="Y129" i="11"/>
  <c r="AB128" i="11"/>
  <c r="X131" i="11" l="1"/>
  <c r="AA130" i="11"/>
  <c r="Y130" i="11"/>
  <c r="AB129" i="11"/>
  <c r="AA131" i="11" l="1"/>
  <c r="X132" i="11"/>
  <c r="Y131" i="11"/>
  <c r="AB130" i="11"/>
  <c r="X133" i="11" l="1"/>
  <c r="AA132" i="11"/>
  <c r="Y132" i="11"/>
  <c r="AB131" i="11"/>
  <c r="AA133" i="11" l="1"/>
  <c r="X134" i="11"/>
  <c r="Y133" i="11"/>
  <c r="AB132" i="11"/>
  <c r="X135" i="11" l="1"/>
  <c r="AA134" i="11"/>
  <c r="Y134" i="11"/>
  <c r="AB133" i="11"/>
  <c r="X136" i="11" l="1"/>
  <c r="AA135" i="11"/>
  <c r="Y135" i="11"/>
  <c r="AB134" i="11"/>
  <c r="X137" i="11" l="1"/>
  <c r="AA136" i="11"/>
  <c r="Y136" i="11"/>
  <c r="AB135" i="11"/>
  <c r="AA137" i="11" l="1"/>
  <c r="X138" i="11"/>
  <c r="Y137" i="11"/>
  <c r="AB136" i="11"/>
  <c r="X139" i="11" l="1"/>
  <c r="AA138" i="11"/>
  <c r="Y138" i="11"/>
  <c r="AB137" i="11"/>
  <c r="X140" i="11" l="1"/>
  <c r="AA139" i="11"/>
  <c r="Y139" i="11"/>
  <c r="AB138" i="11"/>
  <c r="AA140" i="11" l="1"/>
  <c r="X141" i="11"/>
  <c r="Y140" i="11"/>
  <c r="AB139" i="11"/>
  <c r="AA141" i="11" l="1"/>
  <c r="X142" i="11"/>
  <c r="Y141" i="11"/>
  <c r="AB140" i="11"/>
  <c r="X143" i="11" l="1"/>
  <c r="AA142" i="11"/>
  <c r="Y142" i="11"/>
  <c r="AB141" i="11"/>
  <c r="X144" i="11" l="1"/>
  <c r="AA143" i="11"/>
  <c r="Y143" i="11"/>
  <c r="AB142" i="11"/>
  <c r="X145" i="11" l="1"/>
  <c r="AA144" i="11"/>
  <c r="Y144" i="11"/>
  <c r="AB143" i="11"/>
  <c r="AA145" i="11" l="1"/>
  <c r="X146" i="11"/>
  <c r="Y145" i="11"/>
  <c r="AB144" i="11"/>
  <c r="X147" i="11" l="1"/>
  <c r="AA146" i="11"/>
  <c r="Y146" i="11"/>
  <c r="AB145" i="11"/>
  <c r="X148" i="11" l="1"/>
  <c r="AA147" i="11"/>
  <c r="Y147" i="11"/>
  <c r="AB146" i="11"/>
  <c r="X149" i="11" l="1"/>
  <c r="AA148" i="11"/>
  <c r="Y148" i="11"/>
  <c r="AB147" i="11"/>
  <c r="AA149" i="11" l="1"/>
  <c r="X150" i="11"/>
  <c r="Y149" i="11"/>
  <c r="AB148" i="11"/>
  <c r="X151" i="11" l="1"/>
  <c r="AA150" i="11"/>
  <c r="Y150" i="11"/>
  <c r="AB149" i="11"/>
  <c r="AA151" i="11" l="1"/>
  <c r="X152" i="11"/>
  <c r="Y151" i="11"/>
  <c r="AB150" i="11"/>
  <c r="X153" i="11" l="1"/>
  <c r="AA152" i="11"/>
  <c r="Y152" i="11"/>
  <c r="AB151" i="11"/>
  <c r="X154" i="11" l="1"/>
  <c r="AA153" i="11"/>
  <c r="Y153" i="11"/>
  <c r="AB152" i="11"/>
  <c r="X155" i="11" l="1"/>
  <c r="AA154" i="11"/>
  <c r="Y154" i="11"/>
  <c r="AB153" i="11"/>
  <c r="AA155" i="11" l="1"/>
  <c r="X156" i="11"/>
  <c r="Y155" i="11"/>
  <c r="AB154" i="11"/>
  <c r="X157" i="11" l="1"/>
  <c r="AA156" i="11"/>
  <c r="Y156" i="11"/>
  <c r="AB155" i="11"/>
  <c r="X158" i="11" l="1"/>
  <c r="AA157" i="11"/>
  <c r="Y157" i="11"/>
  <c r="AB156" i="11"/>
  <c r="X159" i="11" l="1"/>
  <c r="AA158" i="11"/>
  <c r="Y158" i="11"/>
  <c r="AB157" i="11"/>
  <c r="AA159" i="11" l="1"/>
  <c r="X160" i="11"/>
  <c r="Y159" i="11"/>
  <c r="AB158" i="11"/>
  <c r="X161" i="11" l="1"/>
  <c r="AA160" i="11"/>
  <c r="Y160" i="11"/>
  <c r="AB159" i="11"/>
  <c r="AA161" i="11" l="1"/>
  <c r="X162" i="11"/>
  <c r="Y161" i="11"/>
  <c r="AB160" i="11"/>
  <c r="X163" i="11" l="1"/>
  <c r="AA162" i="11"/>
  <c r="Y162" i="11"/>
  <c r="AB161" i="11"/>
  <c r="X164" i="11" l="1"/>
  <c r="AA163" i="11"/>
  <c r="Y163" i="11"/>
  <c r="AB162" i="11"/>
  <c r="AA164" i="11" l="1"/>
  <c r="X165" i="11"/>
  <c r="Y164" i="11"/>
  <c r="AB163" i="11"/>
  <c r="AA165" i="11" l="1"/>
  <c r="X166" i="11"/>
  <c r="Y165" i="11"/>
  <c r="AB164" i="11"/>
  <c r="AA166" i="11" l="1"/>
  <c r="X167" i="11"/>
  <c r="Y166" i="11"/>
  <c r="AB165" i="11"/>
  <c r="X168" i="11" l="1"/>
  <c r="AA167" i="11"/>
  <c r="Y167" i="11"/>
  <c r="AB166" i="11"/>
  <c r="X169" i="11" l="1"/>
  <c r="AA168" i="11"/>
  <c r="Y168" i="11"/>
  <c r="AB167" i="11"/>
  <c r="X170" i="11" l="1"/>
  <c r="AA169" i="11"/>
  <c r="Y169" i="11"/>
  <c r="AB168" i="11"/>
  <c r="X171" i="11" l="1"/>
  <c r="AA170" i="11"/>
  <c r="Y170" i="11"/>
  <c r="AB169" i="11"/>
  <c r="AA171" i="11" l="1"/>
  <c r="X172" i="11"/>
  <c r="Y171" i="11"/>
  <c r="AB170" i="11"/>
  <c r="X173" i="11" l="1"/>
  <c r="AA172" i="11"/>
  <c r="Y172" i="11"/>
  <c r="AB171" i="11"/>
  <c r="X174" i="11" l="1"/>
  <c r="AA173" i="11"/>
  <c r="Y173" i="11"/>
  <c r="AB172" i="11"/>
  <c r="X175" i="11" l="1"/>
  <c r="AA174" i="11"/>
  <c r="Y174" i="11"/>
  <c r="AB173" i="11"/>
  <c r="X176" i="11" l="1"/>
  <c r="AA175" i="11"/>
  <c r="Y175" i="11"/>
  <c r="AB174" i="11"/>
  <c r="X177" i="11" l="1"/>
  <c r="AA176" i="11"/>
  <c r="Y176" i="11"/>
  <c r="AB175" i="11"/>
  <c r="X178" i="11" l="1"/>
  <c r="AA177" i="11"/>
  <c r="Y177" i="11"/>
  <c r="AB176" i="11"/>
  <c r="X179" i="11" l="1"/>
  <c r="AA178" i="11"/>
  <c r="Y178" i="11"/>
  <c r="AB177" i="11"/>
  <c r="X180" i="11" l="1"/>
  <c r="AA179" i="11"/>
  <c r="Y179" i="11"/>
  <c r="AB178" i="11"/>
  <c r="X181" i="11" l="1"/>
  <c r="AA180" i="11"/>
  <c r="Y180" i="11"/>
  <c r="AB179" i="11"/>
  <c r="X182" i="11" l="1"/>
  <c r="AA181" i="11"/>
  <c r="Y181" i="11"/>
  <c r="AB180" i="11"/>
  <c r="X183" i="11" l="1"/>
  <c r="AA182" i="11"/>
  <c r="Y182" i="11"/>
  <c r="AB181" i="11"/>
  <c r="X184" i="11" l="1"/>
  <c r="AA183" i="11"/>
  <c r="Y183" i="11"/>
  <c r="AB182" i="11"/>
  <c r="AA184" i="11" l="1"/>
  <c r="X185" i="11"/>
  <c r="Y184" i="11"/>
  <c r="AB183" i="11"/>
  <c r="X186" i="11" l="1"/>
  <c r="AA185" i="11"/>
  <c r="Y185" i="11"/>
  <c r="AB184" i="11"/>
  <c r="X187" i="11" l="1"/>
  <c r="AA186" i="11"/>
  <c r="Y186" i="11"/>
  <c r="AB185" i="11"/>
  <c r="X188" i="11" l="1"/>
  <c r="AA187" i="11"/>
  <c r="Y187" i="11"/>
  <c r="AB186" i="11"/>
  <c r="AA188" i="11" l="1"/>
  <c r="X189" i="11"/>
  <c r="Y188" i="11"/>
  <c r="AB187" i="11"/>
  <c r="X190" i="11" l="1"/>
  <c r="AA189" i="11"/>
  <c r="Y189" i="11"/>
  <c r="AB188" i="11"/>
  <c r="AA190" i="11" l="1"/>
  <c r="X191" i="11"/>
  <c r="Y190" i="11"/>
  <c r="AB189" i="11"/>
  <c r="X192" i="11" l="1"/>
  <c r="AA191" i="11"/>
  <c r="Y191" i="11"/>
  <c r="AB190" i="11"/>
  <c r="X193" i="11" l="1"/>
  <c r="AA192" i="11"/>
  <c r="Y192" i="11"/>
  <c r="AB191" i="11"/>
  <c r="X194" i="11" l="1"/>
  <c r="AA193" i="11"/>
  <c r="Y193" i="11"/>
  <c r="AB192" i="11"/>
  <c r="AA194" i="11" l="1"/>
  <c r="X195" i="11"/>
  <c r="Y194" i="11"/>
  <c r="AB193" i="11"/>
  <c r="X196" i="11" l="1"/>
  <c r="AA195" i="11"/>
  <c r="Y195" i="11"/>
  <c r="AB194" i="11"/>
  <c r="X197" i="11" l="1"/>
  <c r="AA196" i="11"/>
  <c r="Y196" i="11"/>
  <c r="AB195" i="11"/>
  <c r="AA197" i="11" l="1"/>
  <c r="X198" i="11"/>
  <c r="Y197" i="11"/>
  <c r="AB196" i="11"/>
  <c r="AA198" i="11" l="1"/>
  <c r="X199" i="11"/>
  <c r="Y198" i="11"/>
  <c r="AB197" i="11"/>
  <c r="AA199" i="11" l="1"/>
  <c r="X200" i="11"/>
  <c r="Y199" i="11"/>
  <c r="AB198" i="11"/>
  <c r="X201" i="11" l="1"/>
  <c r="AA200" i="11"/>
  <c r="Y200" i="11"/>
  <c r="AB199" i="11"/>
  <c r="AA201" i="11" l="1"/>
  <c r="X202" i="11"/>
  <c r="Y201" i="11"/>
  <c r="AB200" i="11"/>
  <c r="X203" i="11" l="1"/>
  <c r="AA202" i="11"/>
  <c r="Y202" i="11"/>
  <c r="AB201" i="11"/>
  <c r="AA203" i="11" l="1"/>
  <c r="X204" i="11"/>
  <c r="Y203" i="11"/>
  <c r="AB202" i="11"/>
  <c r="X205" i="11" l="1"/>
  <c r="AA204" i="11"/>
  <c r="Y204" i="11"/>
  <c r="AB203" i="11"/>
  <c r="AA205" i="11" l="1"/>
  <c r="X206" i="11"/>
  <c r="Y205" i="11"/>
  <c r="AB204" i="11"/>
  <c r="X207" i="11" l="1"/>
  <c r="AA206" i="11"/>
  <c r="Y206" i="11"/>
  <c r="AB205" i="11"/>
  <c r="AA207" i="11" l="1"/>
  <c r="X208" i="11"/>
  <c r="Y207" i="11"/>
  <c r="AB206" i="11"/>
  <c r="AA208" i="11" l="1"/>
  <c r="X209" i="11"/>
  <c r="Y208" i="11"/>
  <c r="AB207" i="11"/>
  <c r="AA209" i="11" l="1"/>
  <c r="X210" i="11"/>
  <c r="Y209" i="11"/>
  <c r="AB208" i="11"/>
  <c r="X211" i="11" l="1"/>
  <c r="AA210" i="11"/>
  <c r="Y210" i="11"/>
  <c r="AB209" i="11"/>
  <c r="AA211" i="11" l="1"/>
  <c r="X212" i="11"/>
  <c r="Y211" i="11"/>
  <c r="AB210" i="11"/>
  <c r="AA212" i="11" l="1"/>
  <c r="X213" i="11"/>
  <c r="Y212" i="11"/>
  <c r="AB211" i="11"/>
  <c r="X214" i="11" l="1"/>
  <c r="AA213" i="11"/>
  <c r="Y213" i="11"/>
  <c r="AB212" i="11"/>
  <c r="X215" i="11" l="1"/>
  <c r="AA214" i="11"/>
  <c r="Y214" i="11"/>
  <c r="AB213" i="11"/>
  <c r="X216" i="11" l="1"/>
  <c r="AA215" i="11"/>
  <c r="Y215" i="11"/>
  <c r="AB214" i="11"/>
  <c r="AA216" i="11" l="1"/>
  <c r="X217" i="11"/>
  <c r="Y216" i="11"/>
  <c r="AB215" i="11"/>
  <c r="AA217" i="11" l="1"/>
  <c r="X218" i="11"/>
  <c r="Y217" i="11"/>
  <c r="AB216" i="11"/>
  <c r="X219" i="11" l="1"/>
  <c r="AA218" i="11"/>
  <c r="Y218" i="11"/>
  <c r="AB217" i="11"/>
  <c r="X220" i="11" l="1"/>
  <c r="AA219" i="11"/>
  <c r="Y219" i="11"/>
  <c r="AB218" i="11"/>
  <c r="X221" i="11" l="1"/>
  <c r="AA220" i="11"/>
  <c r="Y220" i="11"/>
  <c r="AB219" i="11"/>
  <c r="X222" i="11" l="1"/>
  <c r="AA221" i="11"/>
  <c r="Y221" i="11"/>
  <c r="AB220" i="11"/>
  <c r="X223" i="11" l="1"/>
  <c r="AA222" i="11"/>
  <c r="Y222" i="11"/>
  <c r="AB221" i="11"/>
  <c r="X224" i="11" l="1"/>
  <c r="AA223" i="11"/>
  <c r="Y223" i="11"/>
  <c r="AB222" i="11"/>
  <c r="X225" i="11" l="1"/>
  <c r="AA224" i="11"/>
  <c r="Y224" i="11"/>
  <c r="AB223" i="11"/>
  <c r="AA225" i="11" l="1"/>
  <c r="X226" i="11"/>
  <c r="Y225" i="11"/>
  <c r="AB224" i="11"/>
  <c r="AA226" i="11" l="1"/>
  <c r="X227" i="11"/>
  <c r="Y226" i="11"/>
  <c r="AB225" i="11"/>
  <c r="AA227" i="11" l="1"/>
  <c r="X228" i="11"/>
  <c r="Y227" i="11"/>
  <c r="AB226" i="11"/>
  <c r="X229" i="11" l="1"/>
  <c r="AA228" i="11"/>
  <c r="Y228" i="11"/>
  <c r="AB227" i="11"/>
  <c r="X230" i="11" l="1"/>
  <c r="AA229" i="11"/>
  <c r="Y229" i="11"/>
  <c r="AB228" i="11"/>
  <c r="AA230" i="11" l="1"/>
  <c r="X231" i="11"/>
  <c r="Y230" i="11"/>
  <c r="AB229" i="11"/>
  <c r="AA231" i="11" l="1"/>
  <c r="X232" i="11"/>
  <c r="Y231" i="11"/>
  <c r="AB230" i="11"/>
  <c r="X233" i="11" l="1"/>
  <c r="AA232" i="11"/>
  <c r="Y232" i="11"/>
  <c r="AB231" i="11"/>
  <c r="AA233" i="11" l="1"/>
  <c r="X234" i="11"/>
  <c r="Y233" i="11"/>
  <c r="AB232" i="11"/>
  <c r="X235" i="11" l="1"/>
  <c r="AA234" i="11"/>
  <c r="Y234" i="11"/>
  <c r="AB233" i="11"/>
  <c r="AA235" i="11" l="1"/>
  <c r="X236" i="11"/>
  <c r="Y235" i="11"/>
  <c r="AB234" i="11"/>
  <c r="AA236" i="11" l="1"/>
  <c r="X237" i="11"/>
  <c r="Y236" i="11"/>
  <c r="AB235" i="11"/>
  <c r="AA237" i="11" l="1"/>
  <c r="X238" i="11"/>
  <c r="Y237" i="11"/>
  <c r="AB236" i="11"/>
  <c r="X239" i="11" l="1"/>
  <c r="AA238" i="11"/>
  <c r="Y238" i="11"/>
  <c r="AB237" i="11"/>
  <c r="AA239" i="11" l="1"/>
  <c r="X240" i="11"/>
  <c r="Y239" i="11"/>
  <c r="AB238" i="11"/>
  <c r="AA240" i="11" l="1"/>
  <c r="X241" i="11"/>
  <c r="Y240" i="11"/>
  <c r="AB239" i="11"/>
  <c r="X242" i="11" l="1"/>
  <c r="AA241" i="11"/>
  <c r="Y241" i="11"/>
  <c r="AB240" i="11"/>
  <c r="X243" i="11" l="1"/>
  <c r="AA242" i="11"/>
  <c r="Y242" i="11"/>
  <c r="AB241" i="11"/>
  <c r="X244" i="11" l="1"/>
  <c r="AA243" i="11"/>
  <c r="Y243" i="11"/>
  <c r="AB242" i="11"/>
  <c r="X245" i="11" l="1"/>
  <c r="AA244" i="11"/>
  <c r="Y244" i="11"/>
  <c r="AB243" i="11"/>
  <c r="X246" i="11" l="1"/>
  <c r="AA245" i="11"/>
  <c r="Y245" i="11"/>
  <c r="AB244" i="11"/>
  <c r="X247" i="11" l="1"/>
  <c r="AA246" i="11"/>
  <c r="Y246" i="11"/>
  <c r="AB245" i="11"/>
  <c r="X248" i="11" l="1"/>
  <c r="AA247" i="11"/>
  <c r="Y247" i="11"/>
  <c r="AB246" i="11"/>
  <c r="X249" i="11" l="1"/>
  <c r="AA248" i="11"/>
  <c r="Y248" i="11"/>
  <c r="AB247" i="11"/>
  <c r="X250" i="11" l="1"/>
  <c r="AA249" i="11"/>
  <c r="Y249" i="11"/>
  <c r="AB248" i="11"/>
  <c r="X251" i="11" l="1"/>
  <c r="AA250" i="11"/>
  <c r="Y250" i="11"/>
  <c r="AB249" i="11"/>
  <c r="X252" i="11" l="1"/>
  <c r="AA251" i="11"/>
  <c r="Y251" i="11"/>
  <c r="AB250" i="11"/>
  <c r="X253" i="11" l="1"/>
  <c r="AA252" i="11"/>
  <c r="Y252" i="11"/>
  <c r="AB251" i="11"/>
  <c r="X254" i="11" l="1"/>
  <c r="AA253" i="11"/>
  <c r="Y253" i="11"/>
  <c r="AB252" i="11"/>
  <c r="X255" i="11" l="1"/>
  <c r="AA254" i="11"/>
  <c r="Y254" i="11"/>
  <c r="AB253" i="11"/>
  <c r="X256" i="11" l="1"/>
  <c r="AA255" i="11"/>
  <c r="Y255" i="11"/>
  <c r="AB254" i="11"/>
  <c r="X257" i="11" l="1"/>
  <c r="AA256" i="11"/>
  <c r="Y256" i="11"/>
  <c r="AB255" i="11"/>
  <c r="X258" i="11" l="1"/>
  <c r="AA257" i="11"/>
  <c r="Y257" i="11"/>
  <c r="AB256" i="11"/>
  <c r="X259" i="11" l="1"/>
  <c r="AA258" i="11"/>
  <c r="Y258" i="11"/>
  <c r="AB257" i="11"/>
  <c r="X260" i="11" l="1"/>
  <c r="AA259" i="11"/>
  <c r="Y259" i="11"/>
  <c r="AB258" i="11"/>
  <c r="AA260" i="11" l="1"/>
  <c r="X261" i="11"/>
  <c r="Y260" i="11"/>
  <c r="AB259" i="11"/>
  <c r="X262" i="11" l="1"/>
  <c r="AA261" i="11"/>
  <c r="Y261" i="11"/>
  <c r="AB260" i="11"/>
  <c r="X263" i="11" l="1"/>
  <c r="AA262" i="11"/>
  <c r="Y262" i="11"/>
  <c r="AB261" i="11"/>
  <c r="AA263" i="11" l="1"/>
  <c r="X264" i="11"/>
  <c r="Y263" i="11"/>
  <c r="AB262" i="11"/>
  <c r="X265" i="11" l="1"/>
  <c r="AA264" i="11"/>
  <c r="Y264" i="11"/>
  <c r="AB263" i="11"/>
  <c r="AA265" i="11" l="1"/>
  <c r="X266" i="11"/>
  <c r="Y265" i="11"/>
  <c r="AB264" i="11"/>
  <c r="AA266" i="11" l="1"/>
  <c r="X267" i="11"/>
  <c r="Y266" i="11"/>
  <c r="AB265" i="11"/>
  <c r="X268" i="11" l="1"/>
  <c r="AA267" i="11"/>
  <c r="Y267" i="11"/>
  <c r="AB266" i="11"/>
  <c r="X269" i="11" l="1"/>
  <c r="AA268" i="11"/>
  <c r="Y268" i="11"/>
  <c r="AB267" i="11"/>
  <c r="X270" i="11" l="1"/>
  <c r="AA269" i="11"/>
  <c r="Y269" i="11"/>
  <c r="AB268" i="11"/>
  <c r="X271" i="11" l="1"/>
  <c r="AA270" i="11"/>
  <c r="Y270" i="11"/>
  <c r="AB269" i="11"/>
  <c r="X272" i="11" l="1"/>
  <c r="AA271" i="11"/>
  <c r="Y271" i="11"/>
  <c r="AB270" i="11"/>
  <c r="X273" i="11" l="1"/>
  <c r="AA272" i="11"/>
  <c r="Y272" i="11"/>
  <c r="AB271" i="11"/>
  <c r="X274" i="11" l="1"/>
  <c r="AA273" i="11"/>
  <c r="Y273" i="11"/>
  <c r="AB272" i="11"/>
  <c r="X275" i="11" l="1"/>
  <c r="AA274" i="11"/>
  <c r="Y274" i="11"/>
  <c r="AB273" i="11"/>
  <c r="X276" i="11" l="1"/>
  <c r="AA275" i="11"/>
  <c r="Y275" i="11"/>
  <c r="AB274" i="11"/>
  <c r="X277" i="11" l="1"/>
  <c r="AA276" i="11"/>
  <c r="Y276" i="11"/>
  <c r="AB275" i="11"/>
  <c r="X278" i="11" l="1"/>
  <c r="AA277" i="11"/>
  <c r="Y277" i="11"/>
  <c r="AB276" i="11"/>
  <c r="X279" i="11" l="1"/>
  <c r="AA278" i="11"/>
  <c r="Y278" i="11"/>
  <c r="AB277" i="11"/>
  <c r="AA279" i="11" l="1"/>
  <c r="X280" i="11"/>
  <c r="Y279" i="11"/>
  <c r="AB278" i="11"/>
  <c r="X281" i="11" l="1"/>
  <c r="AA280" i="11"/>
  <c r="Y280" i="11"/>
  <c r="AB279" i="11"/>
  <c r="AA281" i="11" l="1"/>
  <c r="X282" i="11"/>
  <c r="Y281" i="11"/>
  <c r="AB280" i="11"/>
  <c r="X283" i="11" l="1"/>
  <c r="AA282" i="11"/>
  <c r="Y282" i="11"/>
  <c r="AB281" i="11"/>
  <c r="AA283" i="11" l="1"/>
  <c r="X284" i="11"/>
  <c r="Y283" i="11"/>
  <c r="AB282" i="11"/>
  <c r="X285" i="11" l="1"/>
  <c r="AA284" i="11"/>
  <c r="Y284" i="11"/>
  <c r="AB283" i="11"/>
  <c r="X286" i="11" l="1"/>
  <c r="AA285" i="11"/>
  <c r="Y285" i="11"/>
  <c r="AB284" i="11"/>
  <c r="X287" i="11" l="1"/>
  <c r="AA286" i="11"/>
  <c r="Y286" i="11"/>
  <c r="AB285" i="11"/>
  <c r="X288" i="11" l="1"/>
  <c r="AA287" i="11"/>
  <c r="Y287" i="11"/>
  <c r="AB286" i="11"/>
  <c r="AA288" i="11" l="1"/>
  <c r="X289" i="11"/>
  <c r="Y288" i="11"/>
  <c r="AB287" i="11"/>
  <c r="X290" i="11" l="1"/>
  <c r="AA289" i="11"/>
  <c r="Y289" i="11"/>
  <c r="AB288" i="11"/>
  <c r="AA290" i="11" l="1"/>
  <c r="X291" i="11"/>
  <c r="Y290" i="11"/>
  <c r="AB289" i="11"/>
  <c r="X292" i="11" l="1"/>
  <c r="AA291" i="11"/>
  <c r="Y291" i="11"/>
  <c r="AB290" i="11"/>
  <c r="AA292" i="11" l="1"/>
  <c r="X293" i="11"/>
  <c r="Y292" i="11"/>
  <c r="AB291" i="11"/>
  <c r="X294" i="11" l="1"/>
  <c r="AA293" i="11"/>
  <c r="Y293" i="11"/>
  <c r="AB292" i="11"/>
  <c r="AA294" i="11" l="1"/>
  <c r="X295" i="11"/>
  <c r="Y294" i="11"/>
  <c r="AB293" i="11"/>
  <c r="X296" i="11" l="1"/>
  <c r="AA295" i="11"/>
  <c r="Y295" i="11"/>
  <c r="AB294" i="11"/>
  <c r="X297" i="11" l="1"/>
  <c r="AA296" i="11"/>
  <c r="Y296" i="11"/>
  <c r="AB295" i="11"/>
  <c r="X298" i="11" l="1"/>
  <c r="AA297" i="11"/>
  <c r="Y297" i="11"/>
  <c r="AB296" i="11"/>
  <c r="AA298" i="11" l="1"/>
  <c r="X299" i="11"/>
  <c r="Y298" i="11"/>
  <c r="AB297" i="11"/>
  <c r="X300" i="11" l="1"/>
  <c r="AA299" i="11"/>
  <c r="Y299" i="11"/>
  <c r="AB298" i="11"/>
  <c r="AA300" i="11" l="1"/>
  <c r="X301" i="11"/>
  <c r="Y300" i="11"/>
  <c r="AB299" i="11"/>
  <c r="X302" i="11" l="1"/>
  <c r="AA301" i="11"/>
  <c r="Y301" i="11"/>
  <c r="AB300" i="11"/>
  <c r="AA302" i="11" l="1"/>
  <c r="X303" i="11"/>
  <c r="Y302" i="11"/>
  <c r="AB301" i="11"/>
  <c r="X304" i="11" l="1"/>
  <c r="AA303" i="11"/>
  <c r="Y303" i="11"/>
  <c r="AB302" i="11"/>
  <c r="AA304" i="11" l="1"/>
  <c r="X305" i="11"/>
  <c r="Y304" i="11"/>
  <c r="AB303" i="11"/>
  <c r="X306" i="11" l="1"/>
  <c r="AA305" i="11"/>
  <c r="Y305" i="11"/>
  <c r="AB304" i="11"/>
  <c r="AA306" i="11" l="1"/>
  <c r="X307" i="11"/>
  <c r="Y306" i="11"/>
  <c r="AB305" i="11"/>
  <c r="X308" i="11" l="1"/>
  <c r="AA307" i="11"/>
  <c r="Y307" i="11"/>
  <c r="AB306" i="11"/>
  <c r="AA308" i="11" l="1"/>
  <c r="X309" i="11"/>
  <c r="Y308" i="11"/>
  <c r="AB307" i="11"/>
  <c r="X310" i="11" l="1"/>
  <c r="AA309" i="11"/>
  <c r="Y309" i="11"/>
  <c r="AB308" i="11"/>
  <c r="AA310" i="11" l="1"/>
  <c r="X311" i="11"/>
  <c r="Y310" i="11"/>
  <c r="AB309" i="11"/>
  <c r="X312" i="11" l="1"/>
  <c r="AA311" i="11"/>
  <c r="Y311" i="11"/>
  <c r="AB310" i="11"/>
  <c r="AA312" i="11" l="1"/>
  <c r="X313" i="11"/>
  <c r="Y312" i="11"/>
  <c r="AB311" i="11"/>
  <c r="X314" i="11" l="1"/>
  <c r="AA313" i="11"/>
  <c r="Y313" i="11"/>
  <c r="AB312" i="11"/>
  <c r="AA314" i="11" l="1"/>
  <c r="X315" i="11"/>
  <c r="Y314" i="11"/>
  <c r="AB313" i="11"/>
  <c r="X316" i="11" l="1"/>
  <c r="AA315" i="11"/>
  <c r="Y315" i="11"/>
  <c r="AB314" i="11"/>
  <c r="AA316" i="11" l="1"/>
  <c r="X317" i="11"/>
  <c r="Y316" i="11"/>
  <c r="AB315" i="11"/>
  <c r="X318" i="11" l="1"/>
  <c r="AA317" i="11"/>
  <c r="Y317" i="11"/>
  <c r="AB316" i="11"/>
  <c r="AA318" i="11" l="1"/>
  <c r="X319" i="11"/>
  <c r="Y318" i="11"/>
  <c r="AB317" i="11"/>
  <c r="X320" i="11" l="1"/>
  <c r="AA319" i="11"/>
  <c r="Y319" i="11"/>
  <c r="AB318" i="11"/>
  <c r="AA320" i="11" l="1"/>
  <c r="X321" i="11"/>
  <c r="Y320" i="11"/>
  <c r="AB319" i="11"/>
  <c r="X322" i="11" l="1"/>
  <c r="AA321" i="11"/>
  <c r="Y321" i="11"/>
  <c r="AB320" i="11"/>
  <c r="AA322" i="11" l="1"/>
  <c r="X323" i="11"/>
  <c r="Y322" i="11"/>
  <c r="AB321" i="11"/>
  <c r="X324" i="11" l="1"/>
  <c r="AA323" i="11"/>
  <c r="Y323" i="11"/>
  <c r="AB322" i="11"/>
  <c r="AA324" i="11" l="1"/>
  <c r="X325" i="11"/>
  <c r="Y324" i="11"/>
  <c r="AB323" i="11"/>
  <c r="X326" i="11" l="1"/>
  <c r="AA325" i="11"/>
  <c r="Y325" i="11"/>
  <c r="AB324" i="11"/>
  <c r="X327" i="11" l="1"/>
  <c r="AA326" i="11"/>
  <c r="Y326" i="11"/>
  <c r="AB325" i="11"/>
  <c r="X328" i="11" l="1"/>
  <c r="AA327" i="11"/>
  <c r="Y327" i="11"/>
  <c r="AB326" i="11"/>
  <c r="X329" i="11" l="1"/>
  <c r="AA328" i="11"/>
  <c r="Y328" i="11"/>
  <c r="AB327" i="11"/>
  <c r="X330" i="11" l="1"/>
  <c r="AA329" i="11"/>
  <c r="Y329" i="11"/>
  <c r="AB328" i="11"/>
  <c r="X331" i="11" l="1"/>
  <c r="AA330" i="11"/>
  <c r="Y330" i="11"/>
  <c r="AB329" i="11"/>
  <c r="X332" i="11" l="1"/>
  <c r="AA331" i="11"/>
  <c r="Y331" i="11"/>
  <c r="AB330" i="11"/>
  <c r="X333" i="11" l="1"/>
  <c r="AA332" i="11"/>
  <c r="Y332" i="11"/>
  <c r="AB331" i="11"/>
  <c r="X334" i="11" l="1"/>
  <c r="AA333" i="11"/>
  <c r="Y333" i="11"/>
  <c r="AB332" i="11"/>
  <c r="X335" i="11" l="1"/>
  <c r="AA334" i="11"/>
  <c r="Y334" i="11"/>
  <c r="AB333" i="11"/>
  <c r="X336" i="11" l="1"/>
  <c r="AA335" i="11"/>
  <c r="Y335" i="11"/>
  <c r="AB334" i="11"/>
  <c r="X337" i="11" l="1"/>
  <c r="AA336" i="11"/>
  <c r="Y336" i="11"/>
  <c r="AB335" i="11"/>
  <c r="X338" i="11" l="1"/>
  <c r="AA337" i="11"/>
  <c r="Y337" i="11"/>
  <c r="AB336" i="11"/>
  <c r="X339" i="11" l="1"/>
  <c r="AA338" i="11"/>
  <c r="Y338" i="11"/>
  <c r="AB337" i="11"/>
  <c r="X340" i="11" l="1"/>
  <c r="AA339" i="11"/>
  <c r="Y339" i="11"/>
  <c r="AB338" i="11"/>
  <c r="X341" i="11" l="1"/>
  <c r="AA340" i="11"/>
  <c r="Y340" i="11"/>
  <c r="AB339" i="11"/>
  <c r="X342" i="11" l="1"/>
  <c r="AA341" i="11"/>
  <c r="Y341" i="11"/>
  <c r="AB340" i="11"/>
  <c r="X343" i="11" l="1"/>
  <c r="AA342" i="11"/>
  <c r="Y342" i="11"/>
  <c r="AB341" i="11"/>
  <c r="X344" i="11" l="1"/>
  <c r="AA343" i="11"/>
  <c r="Y343" i="11"/>
  <c r="AB342" i="11"/>
  <c r="X345" i="11" l="1"/>
  <c r="AA344" i="11"/>
  <c r="Y344" i="11"/>
  <c r="AB343" i="11"/>
  <c r="X346" i="11" l="1"/>
  <c r="AA345" i="11"/>
  <c r="Y345" i="11"/>
  <c r="AB344" i="11"/>
  <c r="X347" i="11" l="1"/>
  <c r="AA346" i="11"/>
  <c r="Y346" i="11"/>
  <c r="AB345" i="11"/>
  <c r="X348" i="11" l="1"/>
  <c r="AA347" i="11"/>
  <c r="Y347" i="11"/>
  <c r="AB346" i="11"/>
  <c r="X349" i="11" l="1"/>
  <c r="AA348" i="11"/>
  <c r="Y348" i="11"/>
  <c r="AB347" i="11"/>
  <c r="X350" i="11" l="1"/>
  <c r="AA349" i="11"/>
  <c r="Y349" i="11"/>
  <c r="AB348" i="11"/>
  <c r="X351" i="11" l="1"/>
  <c r="AA350" i="11"/>
  <c r="Y350" i="11"/>
  <c r="AB349" i="11"/>
  <c r="X352" i="11" l="1"/>
  <c r="AA351" i="11"/>
  <c r="Y351" i="11"/>
  <c r="AB350" i="11"/>
  <c r="X353" i="11" l="1"/>
  <c r="AA352" i="11"/>
  <c r="Y352" i="11"/>
  <c r="AB351" i="11"/>
  <c r="X354" i="11" l="1"/>
  <c r="AA353" i="11"/>
  <c r="Y353" i="11"/>
  <c r="AB352" i="11"/>
  <c r="X355" i="11" l="1"/>
  <c r="AA354" i="11"/>
  <c r="Y354" i="11"/>
  <c r="AB353" i="11"/>
  <c r="X356" i="11" l="1"/>
  <c r="AA355" i="11"/>
  <c r="Y355" i="11"/>
  <c r="AB354" i="11"/>
  <c r="X357" i="11" l="1"/>
  <c r="AA356" i="11"/>
  <c r="Y356" i="11"/>
  <c r="AB355" i="11"/>
  <c r="X358" i="11" l="1"/>
  <c r="AA357" i="11"/>
  <c r="Y357" i="11"/>
  <c r="AB356" i="11"/>
  <c r="AA358" i="11" l="1"/>
  <c r="X359" i="11"/>
  <c r="Y358" i="11"/>
  <c r="AB357" i="11"/>
  <c r="X360" i="11" l="1"/>
  <c r="AA359" i="11"/>
  <c r="Y359" i="11"/>
  <c r="AB358" i="11"/>
  <c r="AA360" i="11" l="1"/>
  <c r="X361" i="11"/>
  <c r="Y360" i="11"/>
  <c r="AB359" i="11"/>
  <c r="X362" i="11" l="1"/>
  <c r="AA361" i="11"/>
  <c r="Y361" i="11"/>
  <c r="AB360" i="11"/>
  <c r="AA362" i="11" l="1"/>
  <c r="X363" i="11"/>
  <c r="Y362" i="11"/>
  <c r="AB361" i="11"/>
  <c r="X364" i="11" l="1"/>
  <c r="AA363" i="11"/>
  <c r="Y363" i="11"/>
  <c r="AB362" i="11"/>
  <c r="X365" i="11" l="1"/>
  <c r="AA364" i="11"/>
  <c r="Y364" i="11"/>
  <c r="AB363" i="11"/>
  <c r="X366" i="11" l="1"/>
  <c r="AA365" i="11"/>
  <c r="Y365" i="11"/>
  <c r="AB364" i="11"/>
  <c r="AA366" i="11" l="1"/>
  <c r="X367" i="11"/>
  <c r="Y366" i="11"/>
  <c r="AB365" i="11"/>
  <c r="X368" i="11" l="1"/>
  <c r="AA367" i="11"/>
  <c r="Y367" i="11"/>
  <c r="AB366" i="11"/>
  <c r="AA368" i="11" l="1"/>
  <c r="X369" i="11"/>
  <c r="Y368" i="11"/>
  <c r="AB367" i="11"/>
  <c r="X370" i="11" l="1"/>
  <c r="AA369" i="11"/>
  <c r="Y369" i="11"/>
  <c r="AB368" i="11"/>
  <c r="AA370" i="11" l="1"/>
  <c r="X371" i="11"/>
  <c r="Y370" i="11"/>
  <c r="AB369" i="11"/>
  <c r="X372" i="11" l="1"/>
  <c r="AA371" i="11"/>
  <c r="Y371" i="11"/>
  <c r="AB370" i="11"/>
  <c r="X373" i="11" l="1"/>
  <c r="AA372" i="11"/>
  <c r="Y372" i="11"/>
  <c r="AB371" i="11"/>
  <c r="X374" i="11" l="1"/>
  <c r="AA373" i="11"/>
  <c r="Y373" i="11"/>
  <c r="AB372" i="11"/>
  <c r="X375" i="11" l="1"/>
  <c r="AA374" i="11"/>
  <c r="Y374" i="11"/>
  <c r="AB373" i="11"/>
  <c r="X376" i="11" l="1"/>
  <c r="AA375" i="11"/>
  <c r="Y375" i="11"/>
  <c r="AB374" i="11"/>
  <c r="X377" i="11" l="1"/>
  <c r="AA376" i="11"/>
  <c r="Y376" i="11"/>
  <c r="AB375" i="11"/>
  <c r="X378" i="11" l="1"/>
  <c r="AA377" i="11"/>
  <c r="Y377" i="11"/>
  <c r="AB376" i="11"/>
  <c r="X379" i="11" l="1"/>
  <c r="AA378" i="11"/>
  <c r="Y378" i="11"/>
  <c r="AB377" i="11"/>
  <c r="X380" i="11" l="1"/>
  <c r="AA379" i="11"/>
  <c r="Y379" i="11"/>
  <c r="AB378" i="11"/>
  <c r="X381" i="11" l="1"/>
  <c r="AA380" i="11"/>
  <c r="Y380" i="11"/>
  <c r="AB379" i="11"/>
  <c r="X382" i="11" l="1"/>
  <c r="AA381" i="11"/>
  <c r="Y381" i="11"/>
  <c r="AB380" i="11"/>
  <c r="X383" i="11" l="1"/>
  <c r="AA382" i="11"/>
  <c r="Y382" i="11"/>
  <c r="AB381" i="11"/>
  <c r="X384" i="11" l="1"/>
  <c r="AA383" i="11"/>
  <c r="Y383" i="11"/>
  <c r="AB382" i="11"/>
  <c r="X385" i="11" l="1"/>
  <c r="AA384" i="11"/>
  <c r="Y384" i="11"/>
  <c r="AB383" i="11"/>
  <c r="X386" i="11" l="1"/>
  <c r="AA385" i="11"/>
  <c r="Y385" i="11"/>
  <c r="AB384" i="11"/>
  <c r="X387" i="11" l="1"/>
  <c r="AA386" i="11"/>
  <c r="Y386" i="11"/>
  <c r="AB385" i="11"/>
  <c r="X388" i="11" l="1"/>
  <c r="AA387" i="11"/>
  <c r="Y387" i="11"/>
  <c r="AB386" i="11"/>
  <c r="X389" i="11" l="1"/>
  <c r="AA388" i="11"/>
  <c r="Y388" i="11"/>
  <c r="AB387" i="11"/>
  <c r="X390" i="11" l="1"/>
  <c r="AA389" i="11"/>
  <c r="Y389" i="11"/>
  <c r="AB388" i="11"/>
  <c r="X391" i="11" l="1"/>
  <c r="AA390" i="11"/>
  <c r="Y390" i="11"/>
  <c r="AB389" i="11"/>
  <c r="X392" i="11" l="1"/>
  <c r="AA391" i="11"/>
  <c r="Y391" i="11"/>
  <c r="AB390" i="11"/>
  <c r="X393" i="11" l="1"/>
  <c r="AA392" i="11"/>
  <c r="Y392" i="11"/>
  <c r="AB391" i="11"/>
  <c r="X394" i="11" l="1"/>
  <c r="AA393" i="11"/>
  <c r="Y393" i="11"/>
  <c r="AB392" i="11"/>
  <c r="X395" i="11" l="1"/>
  <c r="AA394" i="11"/>
  <c r="Y394" i="11"/>
  <c r="AB393" i="11"/>
  <c r="X396" i="11" l="1"/>
  <c r="AA395" i="11"/>
  <c r="Y395" i="11"/>
  <c r="AB394" i="11"/>
  <c r="X397" i="11" l="1"/>
  <c r="AA396" i="11"/>
  <c r="Y396" i="11"/>
  <c r="AB395" i="11"/>
  <c r="X398" i="11" l="1"/>
  <c r="AA397" i="11"/>
  <c r="Y397" i="11"/>
  <c r="AB396" i="11"/>
  <c r="AA398" i="11" l="1"/>
  <c r="X399" i="11"/>
  <c r="Y398" i="11"/>
  <c r="AB397" i="11"/>
  <c r="X400" i="11" l="1"/>
  <c r="AA399" i="11"/>
  <c r="Y399" i="11"/>
  <c r="AB398" i="11"/>
  <c r="X401" i="11" l="1"/>
  <c r="AA400" i="11"/>
  <c r="Y400" i="11"/>
  <c r="AB399" i="11"/>
  <c r="X402" i="11" l="1"/>
  <c r="AA401" i="11"/>
  <c r="Y401" i="11"/>
  <c r="AB400" i="11"/>
  <c r="X403" i="11" l="1"/>
  <c r="AA402" i="11"/>
  <c r="Y402" i="11"/>
  <c r="AB401" i="11"/>
  <c r="X404" i="11" l="1"/>
  <c r="AA403" i="11"/>
  <c r="Y403" i="11"/>
  <c r="AB402" i="11"/>
  <c r="X405" i="11" l="1"/>
  <c r="AA404" i="11"/>
  <c r="Y404" i="11"/>
  <c r="AB403" i="11"/>
  <c r="X406" i="11" l="1"/>
  <c r="AA405" i="11"/>
  <c r="Y405" i="11"/>
  <c r="AB404" i="11"/>
  <c r="X407" i="11" l="1"/>
  <c r="AA406" i="11"/>
  <c r="Y406" i="11"/>
  <c r="AB405" i="11"/>
  <c r="X408" i="11" l="1"/>
  <c r="AA407" i="11"/>
  <c r="Y407" i="11"/>
  <c r="AB406" i="11"/>
  <c r="X409" i="11" l="1"/>
  <c r="AA408" i="11"/>
  <c r="Y408" i="11"/>
  <c r="AB407" i="11"/>
  <c r="X410" i="11" l="1"/>
  <c r="AA409" i="11"/>
  <c r="Y409" i="11"/>
  <c r="AB408" i="11"/>
  <c r="X411" i="11" l="1"/>
  <c r="AA410" i="11"/>
  <c r="Y410" i="11"/>
  <c r="AB409" i="11"/>
  <c r="X412" i="11" l="1"/>
  <c r="AA411" i="11"/>
  <c r="Y411" i="11"/>
  <c r="AB410" i="11"/>
  <c r="X413" i="11" l="1"/>
  <c r="AA412" i="11"/>
  <c r="Y412" i="11"/>
  <c r="AB411" i="11"/>
  <c r="X414" i="11" l="1"/>
  <c r="AA413" i="11"/>
  <c r="Y413" i="11"/>
  <c r="AB412" i="11"/>
  <c r="X415" i="11" l="1"/>
  <c r="AA414" i="11"/>
  <c r="Y414" i="11"/>
  <c r="AB413" i="11"/>
  <c r="X416" i="11" l="1"/>
  <c r="AA415" i="11"/>
  <c r="Y415" i="11"/>
  <c r="AB414" i="11"/>
  <c r="X417" i="11" l="1"/>
  <c r="AA416" i="11"/>
  <c r="Y416" i="11"/>
  <c r="AB415" i="11"/>
  <c r="X418" i="11" l="1"/>
  <c r="AA417" i="11"/>
  <c r="Y417" i="11"/>
  <c r="AB416" i="11"/>
  <c r="X419" i="11" l="1"/>
  <c r="AA418" i="11"/>
  <c r="Y418" i="11"/>
  <c r="AB417" i="11"/>
  <c r="X420" i="11" l="1"/>
  <c r="AA419" i="11"/>
  <c r="Y419" i="11"/>
  <c r="AB418" i="11"/>
  <c r="X421" i="11" l="1"/>
  <c r="AA420" i="11"/>
  <c r="Y420" i="11"/>
  <c r="AB419" i="11"/>
  <c r="X422" i="11" l="1"/>
  <c r="AA421" i="11"/>
  <c r="Y421" i="11"/>
  <c r="AB420" i="11"/>
  <c r="X423" i="11" l="1"/>
  <c r="AA422" i="11"/>
  <c r="Y422" i="11"/>
  <c r="AB421" i="11"/>
  <c r="X424" i="11" l="1"/>
  <c r="AA423" i="11"/>
  <c r="Y423" i="11"/>
  <c r="AB422" i="11"/>
  <c r="X425" i="11" l="1"/>
  <c r="AA424" i="11"/>
  <c r="Y424" i="11"/>
  <c r="AB423" i="11"/>
  <c r="X426" i="11" l="1"/>
  <c r="AA425" i="11"/>
  <c r="Y425" i="11"/>
  <c r="AB424" i="11"/>
  <c r="X427" i="11" l="1"/>
  <c r="AA426" i="11"/>
  <c r="Y426" i="11"/>
  <c r="AB425" i="11"/>
  <c r="X428" i="11" l="1"/>
  <c r="AA427" i="11"/>
  <c r="Y427" i="11"/>
  <c r="AB426" i="11"/>
  <c r="X429" i="11" l="1"/>
  <c r="AA428" i="11"/>
  <c r="Y428" i="11"/>
  <c r="AB427" i="11"/>
  <c r="X430" i="11" l="1"/>
  <c r="AA429" i="11"/>
  <c r="Y429" i="11"/>
  <c r="AB428" i="11"/>
  <c r="X431" i="11" l="1"/>
  <c r="AA430" i="11"/>
  <c r="Y430" i="11"/>
  <c r="AB429" i="11"/>
  <c r="X432" i="11" l="1"/>
  <c r="AA431" i="11"/>
  <c r="Y431" i="11"/>
  <c r="AB430" i="11"/>
  <c r="X433" i="11" l="1"/>
  <c r="AA432" i="11"/>
  <c r="Y432" i="11"/>
  <c r="AB431" i="11"/>
  <c r="X434" i="11" l="1"/>
  <c r="AA433" i="11"/>
  <c r="Y433" i="11"/>
  <c r="AB432" i="11"/>
  <c r="X435" i="11" l="1"/>
  <c r="AA434" i="11"/>
  <c r="Y434" i="11"/>
  <c r="AB433" i="11"/>
  <c r="X436" i="11" l="1"/>
  <c r="AA435" i="11"/>
  <c r="Y435" i="11"/>
  <c r="AB434" i="11"/>
  <c r="X437" i="11" l="1"/>
  <c r="AA436" i="11"/>
  <c r="Y436" i="11"/>
  <c r="AB435" i="11"/>
  <c r="X438" i="11" l="1"/>
  <c r="AA437" i="11"/>
  <c r="Y437" i="11"/>
  <c r="AB436" i="11"/>
  <c r="X439" i="11" l="1"/>
  <c r="AA438" i="11"/>
  <c r="Y438" i="11"/>
  <c r="AB437" i="11"/>
  <c r="X440" i="11" l="1"/>
  <c r="AA439" i="11"/>
  <c r="Y439" i="11"/>
  <c r="AB438" i="11"/>
  <c r="X441" i="11" l="1"/>
  <c r="AA440" i="11"/>
  <c r="Y440" i="11"/>
  <c r="AB439" i="11"/>
  <c r="X442" i="11" l="1"/>
  <c r="AA441" i="11"/>
  <c r="Y441" i="11"/>
  <c r="AB440" i="11"/>
  <c r="X443" i="11" l="1"/>
  <c r="AA442" i="11"/>
  <c r="Y442" i="11"/>
  <c r="AB441" i="11"/>
  <c r="X444" i="11" l="1"/>
  <c r="AA443" i="11"/>
  <c r="Y443" i="11"/>
  <c r="AB442" i="11"/>
  <c r="X445" i="11" l="1"/>
  <c r="AA444" i="11"/>
  <c r="Y444" i="11"/>
  <c r="AB443" i="11"/>
  <c r="X446" i="11" l="1"/>
  <c r="AA445" i="11"/>
  <c r="Y445" i="11"/>
  <c r="AB444" i="11"/>
  <c r="AA446" i="11" l="1"/>
  <c r="X447" i="11"/>
  <c r="Y446" i="11"/>
  <c r="AB445" i="11"/>
  <c r="X448" i="11" l="1"/>
  <c r="AA447" i="11"/>
  <c r="Y447" i="11"/>
  <c r="AB446" i="11"/>
  <c r="AA448" i="11" l="1"/>
  <c r="X449" i="11"/>
  <c r="Y448" i="11"/>
  <c r="AB447" i="11"/>
  <c r="X450" i="11" l="1"/>
  <c r="AA449" i="11"/>
  <c r="Y449" i="11"/>
  <c r="AB448" i="11"/>
  <c r="AA450" i="11" l="1"/>
  <c r="X451" i="11"/>
  <c r="Y450" i="11"/>
  <c r="AB449" i="11"/>
  <c r="X452" i="11" l="1"/>
  <c r="AA451" i="11"/>
  <c r="Y451" i="11"/>
  <c r="AB450" i="11"/>
  <c r="AA452" i="11" l="1"/>
  <c r="X453" i="11"/>
  <c r="Y452" i="11"/>
  <c r="AB451" i="11"/>
  <c r="X454" i="11" l="1"/>
  <c r="AA453" i="11"/>
  <c r="Y453" i="11"/>
  <c r="AB452" i="11"/>
  <c r="X455" i="11" l="1"/>
  <c r="AA454" i="11"/>
  <c r="Y454" i="11"/>
  <c r="AB453" i="11"/>
  <c r="X456" i="11" l="1"/>
  <c r="AA455" i="11"/>
  <c r="Y455" i="11"/>
  <c r="AB454" i="11"/>
  <c r="X457" i="11" l="1"/>
  <c r="AA456" i="11"/>
  <c r="Y456" i="11"/>
  <c r="AB455" i="11"/>
  <c r="X458" i="11" l="1"/>
  <c r="AA457" i="11"/>
  <c r="Y457" i="11"/>
  <c r="AB456" i="11"/>
  <c r="X459" i="11" l="1"/>
  <c r="AA458" i="11"/>
  <c r="Y458" i="11"/>
  <c r="AB457" i="11"/>
  <c r="X460" i="11" l="1"/>
  <c r="AA459" i="11"/>
  <c r="Y459" i="11"/>
  <c r="AB458" i="11"/>
  <c r="X461" i="11" l="1"/>
  <c r="AA460" i="11"/>
  <c r="Y460" i="11"/>
  <c r="AB459" i="11"/>
  <c r="X462" i="11" l="1"/>
  <c r="AA461" i="11"/>
  <c r="Y461" i="11"/>
  <c r="AB460" i="11"/>
  <c r="X463" i="11" l="1"/>
  <c r="AA462" i="11"/>
  <c r="Y462" i="11"/>
  <c r="AB461" i="11"/>
  <c r="X464" i="11" l="1"/>
  <c r="AA463" i="11"/>
  <c r="Y463" i="11"/>
  <c r="AB462" i="11"/>
  <c r="X465" i="11" l="1"/>
  <c r="AA464" i="11"/>
  <c r="Y464" i="11"/>
  <c r="AB463" i="11"/>
  <c r="X466" i="11" l="1"/>
  <c r="AA465" i="11"/>
  <c r="Y465" i="11"/>
  <c r="AB464" i="11"/>
  <c r="X467" i="11" l="1"/>
  <c r="AA466" i="11"/>
  <c r="Y466" i="11"/>
  <c r="AB465" i="11"/>
  <c r="X468" i="11" l="1"/>
  <c r="AA467" i="11"/>
  <c r="Y467" i="11"/>
  <c r="AB466" i="11"/>
  <c r="X469" i="11" l="1"/>
  <c r="AA468" i="11"/>
  <c r="Y468" i="11"/>
  <c r="AB467" i="11"/>
  <c r="X470" i="11" l="1"/>
  <c r="AA469" i="11"/>
  <c r="Y469" i="11"/>
  <c r="AB468" i="11"/>
  <c r="X471" i="11" l="1"/>
  <c r="AA470" i="11"/>
  <c r="Y470" i="11"/>
  <c r="AB469" i="11"/>
  <c r="X472" i="11" l="1"/>
  <c r="AA471" i="11"/>
  <c r="Y471" i="11"/>
  <c r="AB470" i="11"/>
  <c r="X473" i="11" l="1"/>
  <c r="AA472" i="11"/>
  <c r="Y472" i="11"/>
  <c r="AB471" i="11"/>
  <c r="X474" i="11" l="1"/>
  <c r="AA473" i="11"/>
  <c r="Y473" i="11"/>
  <c r="AB472" i="11"/>
  <c r="X475" i="11" l="1"/>
  <c r="AA474" i="11"/>
  <c r="Y474" i="11"/>
  <c r="AB473" i="11"/>
  <c r="X476" i="11" l="1"/>
  <c r="AA475" i="11"/>
  <c r="Y475" i="11"/>
  <c r="AB474" i="11"/>
  <c r="X477" i="11" l="1"/>
  <c r="AA476" i="11"/>
  <c r="Y476" i="11"/>
  <c r="AB475" i="11"/>
  <c r="X478" i="11" l="1"/>
  <c r="AA477" i="11"/>
  <c r="Y477" i="11"/>
  <c r="AB476" i="11"/>
  <c r="X479" i="11" l="1"/>
  <c r="AA478" i="11"/>
  <c r="Y478" i="11"/>
  <c r="AB477" i="11"/>
  <c r="X480" i="11" l="1"/>
  <c r="AA479" i="11"/>
  <c r="Y479" i="11"/>
  <c r="AB478" i="11"/>
  <c r="AA480" i="11" l="1"/>
  <c r="X481" i="11"/>
  <c r="Y480" i="11"/>
  <c r="AB479" i="11"/>
  <c r="X482" i="11" l="1"/>
  <c r="AA481" i="11"/>
  <c r="Y481" i="11"/>
  <c r="AB480" i="11"/>
  <c r="X483" i="11" l="1"/>
  <c r="AA482" i="11"/>
  <c r="Y482" i="11"/>
  <c r="AB481" i="11"/>
  <c r="X484" i="11" l="1"/>
  <c r="AA483" i="11"/>
  <c r="Y483" i="11"/>
  <c r="AB482" i="11"/>
  <c r="X485" i="11" l="1"/>
  <c r="AA484" i="11"/>
  <c r="Y484" i="11"/>
  <c r="AB483" i="11"/>
  <c r="X486" i="11" l="1"/>
  <c r="AA485" i="11"/>
  <c r="Y485" i="11"/>
  <c r="AB484" i="11"/>
  <c r="X487" i="11" l="1"/>
  <c r="AA486" i="11"/>
  <c r="Y486" i="11"/>
  <c r="AB485" i="11"/>
  <c r="X488" i="11" l="1"/>
  <c r="AA487" i="11"/>
  <c r="Y487" i="11"/>
  <c r="AB486" i="11"/>
  <c r="X489" i="11" l="1"/>
  <c r="AA488" i="11"/>
  <c r="Y488" i="11"/>
  <c r="AB487" i="11"/>
  <c r="X490" i="11" l="1"/>
  <c r="AA489" i="11"/>
  <c r="Y489" i="11"/>
  <c r="AB488" i="11"/>
  <c r="X491" i="11" l="1"/>
  <c r="AA490" i="11"/>
  <c r="Y490" i="11"/>
  <c r="AB489" i="11"/>
  <c r="X492" i="11" l="1"/>
  <c r="AA491" i="11"/>
  <c r="Y491" i="11"/>
  <c r="AB490" i="11"/>
  <c r="X493" i="11" l="1"/>
  <c r="AA492" i="11"/>
  <c r="Y492" i="11"/>
  <c r="AB491" i="11"/>
  <c r="X494" i="11" l="1"/>
  <c r="AA493" i="11"/>
  <c r="Y493" i="11"/>
  <c r="AB492" i="11"/>
  <c r="X495" i="11" l="1"/>
  <c r="AA494" i="11"/>
  <c r="Y494" i="11"/>
  <c r="AB493" i="11"/>
  <c r="X496" i="11" l="1"/>
  <c r="AA495" i="11"/>
  <c r="Y495" i="11"/>
  <c r="AB494" i="11"/>
  <c r="AA496" i="11" l="1"/>
  <c r="X497" i="11"/>
  <c r="Y496" i="11"/>
  <c r="AB495" i="11"/>
  <c r="X498" i="11" l="1"/>
  <c r="AA497" i="11"/>
  <c r="Y497" i="11"/>
  <c r="AB496" i="11"/>
  <c r="AA498" i="11" l="1"/>
  <c r="X499" i="11"/>
  <c r="Y498" i="11"/>
  <c r="AB497" i="11"/>
  <c r="X500" i="11" l="1"/>
  <c r="AA499" i="11"/>
  <c r="Y499" i="11"/>
  <c r="AB498" i="11"/>
  <c r="AA500" i="11" l="1"/>
  <c r="X501" i="11"/>
  <c r="Y500" i="11"/>
  <c r="AB499" i="11"/>
  <c r="X502" i="11" l="1"/>
  <c r="AA501" i="11"/>
  <c r="Y501" i="11"/>
  <c r="AB500" i="11"/>
  <c r="AA502" i="11" l="1"/>
  <c r="X503" i="11"/>
  <c r="Y502" i="11"/>
  <c r="AB501" i="11"/>
  <c r="X504" i="11" l="1"/>
  <c r="AA503" i="11"/>
  <c r="Y503" i="11"/>
  <c r="AB502" i="11"/>
  <c r="AA504" i="11" l="1"/>
  <c r="X505" i="11"/>
  <c r="Y504" i="11"/>
  <c r="AB503" i="11"/>
  <c r="X506" i="11" l="1"/>
  <c r="AA505" i="11"/>
  <c r="Y505" i="11"/>
  <c r="AB504" i="11"/>
  <c r="X507" i="11" l="1"/>
  <c r="AA506" i="11"/>
  <c r="Y506" i="11"/>
  <c r="AB505" i="11"/>
  <c r="X508" i="11" l="1"/>
  <c r="AA507" i="11"/>
  <c r="Y507" i="11"/>
  <c r="AB506" i="11"/>
  <c r="X509" i="11" l="1"/>
  <c r="AA508" i="11"/>
  <c r="Y508" i="11"/>
  <c r="AB507" i="11"/>
  <c r="X510" i="11" l="1"/>
  <c r="AA509" i="11"/>
  <c r="Y509" i="11"/>
  <c r="AB508" i="11"/>
  <c r="X511" i="11" l="1"/>
  <c r="AA510" i="11"/>
  <c r="Y510" i="11"/>
  <c r="AB509" i="11"/>
  <c r="X512" i="11" l="1"/>
  <c r="AA511" i="11"/>
  <c r="Y511" i="11"/>
  <c r="AB510" i="11"/>
  <c r="AA512" i="11" l="1"/>
  <c r="X513" i="11"/>
  <c r="Y512" i="11"/>
  <c r="AB511" i="11"/>
  <c r="X514" i="11" l="1"/>
  <c r="AA513" i="11"/>
  <c r="Y513" i="11"/>
  <c r="AB512" i="11"/>
  <c r="X515" i="11" l="1"/>
  <c r="AA514" i="11"/>
  <c r="Y514" i="11"/>
  <c r="AB513" i="11"/>
  <c r="X516" i="11" l="1"/>
  <c r="AA515" i="11"/>
  <c r="Y515" i="11"/>
  <c r="AB514" i="11"/>
  <c r="X517" i="11" l="1"/>
  <c r="AA516" i="11"/>
  <c r="Y516" i="11"/>
  <c r="AB515" i="11"/>
  <c r="X518" i="11" l="1"/>
  <c r="AA517" i="11"/>
  <c r="Y517" i="11"/>
  <c r="AB516" i="11"/>
  <c r="X519" i="11" l="1"/>
  <c r="AA518" i="11"/>
  <c r="Y518" i="11"/>
  <c r="AB517" i="11"/>
  <c r="X520" i="11" l="1"/>
  <c r="AA519" i="11"/>
  <c r="Y519" i="11"/>
  <c r="AB518" i="11"/>
  <c r="X521" i="11" l="1"/>
  <c r="AA520" i="11"/>
  <c r="Y520" i="11"/>
  <c r="AB519" i="11"/>
  <c r="X522" i="11" l="1"/>
  <c r="AA521" i="11"/>
  <c r="Y521" i="11"/>
  <c r="AB520" i="11"/>
  <c r="X523" i="11" l="1"/>
  <c r="AA522" i="11"/>
  <c r="Y522" i="11"/>
  <c r="AB521" i="11"/>
  <c r="X524" i="11" l="1"/>
  <c r="AA523" i="11"/>
  <c r="Y523" i="11"/>
  <c r="AB522" i="11"/>
  <c r="X525" i="11" l="1"/>
  <c r="AA524" i="11"/>
  <c r="Y524" i="11"/>
  <c r="AB523" i="11"/>
  <c r="X526" i="11" l="1"/>
  <c r="AA525" i="11"/>
  <c r="Y525" i="11"/>
  <c r="AB524" i="11"/>
  <c r="X527" i="11" l="1"/>
  <c r="AA526" i="11"/>
  <c r="Y526" i="11"/>
  <c r="AB525" i="11"/>
  <c r="X528" i="11" l="1"/>
  <c r="AA527" i="11"/>
  <c r="Y527" i="11"/>
  <c r="AB526" i="11"/>
  <c r="X529" i="11" l="1"/>
  <c r="AA528" i="11"/>
  <c r="Y528" i="11"/>
  <c r="AB527" i="11"/>
  <c r="X530" i="11" l="1"/>
  <c r="AA529" i="11"/>
  <c r="Y529" i="11"/>
  <c r="AB528" i="11"/>
  <c r="X531" i="11" l="1"/>
  <c r="AA530" i="11"/>
  <c r="Y530" i="11"/>
  <c r="AB529" i="11"/>
  <c r="X532" i="11" l="1"/>
  <c r="AA531" i="11"/>
  <c r="Y531" i="11"/>
  <c r="AB530" i="11"/>
  <c r="AA532" i="11" l="1"/>
  <c r="X533" i="11"/>
  <c r="Y532" i="11"/>
  <c r="AB531" i="11"/>
  <c r="AA533" i="11" l="1"/>
  <c r="X534" i="11"/>
  <c r="Y533" i="11"/>
  <c r="AB532" i="11"/>
  <c r="X535" i="11" l="1"/>
  <c r="AA534" i="11"/>
  <c r="Y534" i="11"/>
  <c r="AB533" i="11"/>
  <c r="X536" i="11" l="1"/>
  <c r="AA535" i="11"/>
  <c r="Y535" i="11"/>
  <c r="AB534" i="11"/>
  <c r="X537" i="11" l="1"/>
  <c r="AA536" i="11"/>
  <c r="Y536" i="11"/>
  <c r="AB535" i="11"/>
  <c r="X538" i="11" l="1"/>
  <c r="AA537" i="11"/>
  <c r="Y537" i="11"/>
  <c r="AB536" i="11"/>
  <c r="X539" i="11" l="1"/>
  <c r="AA538" i="11"/>
  <c r="Y538" i="11"/>
  <c r="AB537" i="11"/>
  <c r="X540" i="11" l="1"/>
  <c r="AA539" i="11"/>
  <c r="Y539" i="11"/>
  <c r="AB538" i="11"/>
  <c r="X541" i="11" l="1"/>
  <c r="AA540" i="11"/>
  <c r="Y540" i="11"/>
  <c r="AB539" i="11"/>
  <c r="X542" i="11" l="1"/>
  <c r="AA541" i="11"/>
  <c r="Y541" i="11"/>
  <c r="AB540" i="11"/>
  <c r="X543" i="11" l="1"/>
  <c r="AA542" i="11"/>
  <c r="Y542" i="11"/>
  <c r="AB541" i="11"/>
  <c r="X544" i="11" l="1"/>
  <c r="AA543" i="11"/>
  <c r="Y543" i="11"/>
  <c r="AB542" i="11"/>
  <c r="AA544" i="11" l="1"/>
  <c r="X545" i="11"/>
  <c r="Y544" i="11"/>
  <c r="AB543" i="11"/>
  <c r="X546" i="11" l="1"/>
  <c r="AA545" i="11"/>
  <c r="Y545" i="11"/>
  <c r="AB544" i="11"/>
  <c r="X547" i="11" l="1"/>
  <c r="AA546" i="11"/>
  <c r="Y546" i="11"/>
  <c r="AB545" i="11"/>
  <c r="X548" i="11" l="1"/>
  <c r="AA547" i="11"/>
  <c r="Y547" i="11"/>
  <c r="AB546" i="11"/>
  <c r="X549" i="11" l="1"/>
  <c r="AA548" i="11"/>
  <c r="Y548" i="11"/>
  <c r="AB547" i="11"/>
  <c r="X550" i="11" l="1"/>
  <c r="AA549" i="11"/>
  <c r="Y549" i="11"/>
  <c r="AB548" i="11"/>
  <c r="X551" i="11" l="1"/>
  <c r="AA550" i="11"/>
  <c r="Y550" i="11"/>
  <c r="AB549" i="11"/>
  <c r="X552" i="11" l="1"/>
  <c r="AA551" i="11"/>
  <c r="Y551" i="11"/>
  <c r="AB550" i="11"/>
  <c r="X553" i="11" l="1"/>
  <c r="AA552" i="11"/>
  <c r="Y552" i="11"/>
  <c r="AB551" i="11"/>
  <c r="X554" i="11" l="1"/>
  <c r="AA553" i="11"/>
  <c r="Y553" i="11"/>
  <c r="AB552" i="11"/>
  <c r="X555" i="11" l="1"/>
  <c r="AA554" i="11"/>
  <c r="Y554" i="11"/>
  <c r="AB553" i="11"/>
  <c r="X556" i="11" l="1"/>
  <c r="AA555" i="11"/>
  <c r="Y555" i="11"/>
  <c r="AB554" i="11"/>
  <c r="X557" i="11" l="1"/>
  <c r="AA556" i="11"/>
  <c r="Y556" i="11"/>
  <c r="AB555" i="11"/>
  <c r="X558" i="11" l="1"/>
  <c r="AA557" i="11"/>
  <c r="Y557" i="11"/>
  <c r="AB556" i="11"/>
  <c r="X559" i="11" l="1"/>
  <c r="AA558" i="11"/>
  <c r="Y558" i="11"/>
  <c r="AB557" i="11"/>
  <c r="X560" i="11" l="1"/>
  <c r="AA559" i="11"/>
  <c r="Y559" i="11"/>
  <c r="AB558" i="11"/>
  <c r="X561" i="11" l="1"/>
  <c r="AA560" i="11"/>
  <c r="Y560" i="11"/>
  <c r="AB559" i="11"/>
  <c r="X562" i="11" l="1"/>
  <c r="AA561" i="11"/>
  <c r="Y561" i="11"/>
  <c r="AB560" i="11"/>
  <c r="X563" i="11" l="1"/>
  <c r="AA562" i="11"/>
  <c r="Y562" i="11"/>
  <c r="AB561" i="11"/>
  <c r="X564" i="11" l="1"/>
  <c r="AA563" i="11"/>
  <c r="Y563" i="11"/>
  <c r="AB562" i="11"/>
  <c r="X565" i="11" l="1"/>
  <c r="AA564" i="11"/>
  <c r="Y564" i="11"/>
  <c r="AB563" i="11"/>
  <c r="X566" i="11" l="1"/>
  <c r="AA565" i="11"/>
  <c r="Y565" i="11"/>
  <c r="AB564" i="11"/>
  <c r="X567" i="11" l="1"/>
  <c r="AA566" i="11"/>
  <c r="Y566" i="11"/>
  <c r="AB565" i="11"/>
  <c r="X568" i="11" l="1"/>
  <c r="AA567" i="11"/>
  <c r="Y567" i="11"/>
  <c r="AB566" i="11"/>
  <c r="X569" i="11" l="1"/>
  <c r="AA568" i="11"/>
  <c r="Y568" i="11"/>
  <c r="AB567" i="11"/>
  <c r="X570" i="11" l="1"/>
  <c r="AA569" i="11"/>
  <c r="Y569" i="11"/>
  <c r="AB568" i="11"/>
  <c r="X571" i="11" l="1"/>
  <c r="AA570" i="11"/>
  <c r="Y570" i="11"/>
  <c r="AB569" i="11"/>
  <c r="X572" i="11" l="1"/>
  <c r="AA571" i="11"/>
  <c r="Y571" i="11"/>
  <c r="AB570" i="11"/>
  <c r="X573" i="11" l="1"/>
  <c r="AA572" i="11"/>
  <c r="Y572" i="11"/>
  <c r="AB571" i="11"/>
  <c r="X574" i="11" l="1"/>
  <c r="AA573" i="11"/>
  <c r="Y573" i="11"/>
  <c r="AB572" i="11"/>
  <c r="X575" i="11" l="1"/>
  <c r="AA574" i="11"/>
  <c r="Y574" i="11"/>
  <c r="AB573" i="11"/>
  <c r="X576" i="11" l="1"/>
  <c r="AA575" i="11"/>
  <c r="Y575" i="11"/>
  <c r="AB574" i="11"/>
  <c r="X577" i="11" l="1"/>
  <c r="AA576" i="11"/>
  <c r="Y576" i="11"/>
  <c r="AB575" i="11"/>
  <c r="X578" i="11" l="1"/>
  <c r="AA577" i="11"/>
  <c r="Y577" i="11"/>
  <c r="AB576" i="11"/>
  <c r="X579" i="11" l="1"/>
  <c r="AA578" i="11"/>
  <c r="Y578" i="11"/>
  <c r="AB577" i="11"/>
  <c r="X580" i="11" l="1"/>
  <c r="AA579" i="11"/>
  <c r="Y579" i="11"/>
  <c r="AB578" i="11"/>
  <c r="X581" i="11" l="1"/>
  <c r="AA580" i="11"/>
  <c r="Y580" i="11"/>
  <c r="AB579" i="11"/>
  <c r="X582" i="11" l="1"/>
  <c r="AA581" i="11"/>
  <c r="Y581" i="11"/>
  <c r="AB580" i="11"/>
  <c r="X583" i="11" l="1"/>
  <c r="AA582" i="11"/>
  <c r="Y582" i="11"/>
  <c r="AB581" i="11"/>
  <c r="X584" i="11" l="1"/>
  <c r="AA583" i="11"/>
  <c r="Y583" i="11"/>
  <c r="AB582" i="11"/>
  <c r="X585" i="11" l="1"/>
  <c r="AA584" i="11"/>
  <c r="Y584" i="11"/>
  <c r="AB583" i="11"/>
  <c r="X586" i="11" l="1"/>
  <c r="AA585" i="11"/>
  <c r="Y585" i="11"/>
  <c r="AB584" i="11"/>
  <c r="X587" i="11" l="1"/>
  <c r="AA586" i="11"/>
  <c r="Y586" i="11"/>
  <c r="AB585" i="11"/>
  <c r="X588" i="11" l="1"/>
  <c r="AA587" i="11"/>
  <c r="Y587" i="11"/>
  <c r="AB586" i="11"/>
  <c r="X589" i="11" l="1"/>
  <c r="AA588" i="11"/>
  <c r="Y588" i="11"/>
  <c r="AB587" i="11"/>
  <c r="X590" i="11" l="1"/>
  <c r="AA589" i="11"/>
  <c r="Y589" i="11"/>
  <c r="AB588" i="11"/>
  <c r="X591" i="11" l="1"/>
  <c r="AA590" i="11"/>
  <c r="Y590" i="11"/>
  <c r="AB589" i="11"/>
  <c r="X592" i="11" l="1"/>
  <c r="AA591" i="11"/>
  <c r="Y591" i="11"/>
  <c r="AB590" i="11"/>
  <c r="X593" i="11" l="1"/>
  <c r="AA592" i="11"/>
  <c r="Y592" i="11"/>
  <c r="AB591" i="11"/>
  <c r="X594" i="11" l="1"/>
  <c r="AA593" i="11"/>
  <c r="Y593" i="11"/>
  <c r="AB592" i="11"/>
  <c r="X595" i="11" l="1"/>
  <c r="AA594" i="11"/>
  <c r="Y594" i="11"/>
  <c r="AB593" i="11"/>
  <c r="X596" i="11" l="1"/>
  <c r="AA595" i="11"/>
  <c r="Y595" i="11"/>
  <c r="AB594" i="11"/>
  <c r="X597" i="11" l="1"/>
  <c r="AA596" i="11"/>
  <c r="Y596" i="11"/>
  <c r="AB595" i="11"/>
  <c r="X598" i="11" l="1"/>
  <c r="AA597" i="11"/>
  <c r="Y597" i="11"/>
  <c r="AB596" i="11"/>
  <c r="X599" i="11" l="1"/>
  <c r="AA598" i="11"/>
  <c r="Y598" i="11"/>
  <c r="AB597" i="11"/>
  <c r="X600" i="11" l="1"/>
  <c r="AA599" i="11"/>
  <c r="Y599" i="11"/>
  <c r="AB598" i="11"/>
  <c r="X601" i="11" l="1"/>
  <c r="AA600" i="11"/>
  <c r="Y600" i="11"/>
  <c r="AB599" i="11"/>
  <c r="X602" i="11" l="1"/>
  <c r="AA601" i="11"/>
  <c r="Y601" i="11"/>
  <c r="AB600" i="11"/>
  <c r="X603" i="11" l="1"/>
  <c r="AA602" i="11"/>
  <c r="Y602" i="11"/>
  <c r="AB601" i="11"/>
  <c r="X604" i="11" l="1"/>
  <c r="AA603" i="11"/>
  <c r="Y603" i="11"/>
  <c r="AB602" i="11"/>
  <c r="X605" i="11" l="1"/>
  <c r="AA604" i="11"/>
  <c r="Y604" i="11"/>
  <c r="AB603" i="11"/>
  <c r="X606" i="11" l="1"/>
  <c r="AA605" i="11"/>
  <c r="Y605" i="11"/>
  <c r="AB604" i="11"/>
  <c r="X607" i="11" l="1"/>
  <c r="AA606" i="11"/>
  <c r="Y606" i="11"/>
  <c r="AB605" i="11"/>
  <c r="X608" i="11" l="1"/>
  <c r="AA607" i="11"/>
  <c r="Y607" i="11"/>
  <c r="AB606" i="11"/>
  <c r="X609" i="11" l="1"/>
  <c r="AA608" i="11"/>
  <c r="Y608" i="11"/>
  <c r="AB607" i="11"/>
  <c r="X610" i="11" l="1"/>
  <c r="AA609" i="11"/>
  <c r="Y609" i="11"/>
  <c r="AB608" i="11"/>
  <c r="X611" i="11" l="1"/>
  <c r="AA610" i="11"/>
  <c r="Y610" i="11"/>
  <c r="AB609" i="11"/>
  <c r="X612" i="11" l="1"/>
  <c r="AA611" i="11"/>
  <c r="Y611" i="11"/>
  <c r="AB610" i="11"/>
  <c r="X613" i="11" l="1"/>
  <c r="AA612" i="11"/>
  <c r="Y612" i="11"/>
  <c r="AB611" i="11"/>
  <c r="X614" i="11" l="1"/>
  <c r="AA613" i="11"/>
  <c r="Y613" i="11"/>
  <c r="AB612" i="11"/>
  <c r="X615" i="11" l="1"/>
  <c r="AA614" i="11"/>
  <c r="Y614" i="11"/>
  <c r="AB613" i="11"/>
  <c r="X616" i="11" l="1"/>
  <c r="AA615" i="11"/>
  <c r="Y615" i="11"/>
  <c r="AB614" i="11"/>
  <c r="X617" i="11" l="1"/>
  <c r="AA616" i="11"/>
  <c r="Y616" i="11"/>
  <c r="AB615" i="11"/>
  <c r="X618" i="11" l="1"/>
  <c r="AA617" i="11"/>
  <c r="Y617" i="11"/>
  <c r="AB616" i="11"/>
  <c r="X619" i="11" l="1"/>
  <c r="AA618" i="11"/>
  <c r="Y618" i="11"/>
  <c r="AB617" i="11"/>
  <c r="X620" i="11" l="1"/>
  <c r="AA619" i="11"/>
  <c r="Y619" i="11"/>
  <c r="AB618" i="11"/>
  <c r="X621" i="11" l="1"/>
  <c r="AA620" i="11"/>
  <c r="Y620" i="11"/>
  <c r="AB619" i="11"/>
  <c r="X622" i="11" l="1"/>
  <c r="AA621" i="11"/>
  <c r="Y621" i="11"/>
  <c r="AB620" i="11"/>
  <c r="X623" i="11" l="1"/>
  <c r="AA622" i="11"/>
  <c r="Y622" i="11"/>
  <c r="AB621" i="11"/>
  <c r="X624" i="11" l="1"/>
  <c r="AA623" i="11"/>
  <c r="Y623" i="11"/>
  <c r="AB622" i="11"/>
  <c r="X625" i="11" l="1"/>
  <c r="AA624" i="11"/>
  <c r="Y624" i="11"/>
  <c r="AB623" i="11"/>
  <c r="X626" i="11" l="1"/>
  <c r="AA625" i="11"/>
  <c r="Y625" i="11"/>
  <c r="AB624" i="11"/>
  <c r="X627" i="11" l="1"/>
  <c r="AA626" i="11"/>
  <c r="Y626" i="11"/>
  <c r="AB625" i="11"/>
  <c r="X628" i="11" l="1"/>
  <c r="AA627" i="11"/>
  <c r="Y627" i="11"/>
  <c r="AB626" i="11"/>
  <c r="X629" i="11" l="1"/>
  <c r="AA628" i="11"/>
  <c r="Y628" i="11"/>
  <c r="AB627" i="11"/>
  <c r="X630" i="11" l="1"/>
  <c r="AA629" i="11"/>
  <c r="Y629" i="11"/>
  <c r="AB628" i="11"/>
  <c r="X631" i="11" l="1"/>
  <c r="AA630" i="11"/>
  <c r="Y630" i="11"/>
  <c r="AB629" i="11"/>
  <c r="X632" i="11" l="1"/>
  <c r="AA631" i="11"/>
  <c r="Y631" i="11"/>
  <c r="AB630" i="11"/>
  <c r="X633" i="11" l="1"/>
  <c r="AA632" i="11"/>
  <c r="Y632" i="11"/>
  <c r="AB631" i="11"/>
  <c r="X634" i="11" l="1"/>
  <c r="AA633" i="11"/>
  <c r="Y633" i="11"/>
  <c r="AB632" i="11"/>
  <c r="X635" i="11" l="1"/>
  <c r="AA634" i="11"/>
  <c r="Y634" i="11"/>
  <c r="AB633" i="11"/>
  <c r="X636" i="11" l="1"/>
  <c r="AA635" i="11"/>
  <c r="Y635" i="11"/>
  <c r="AB634" i="11"/>
  <c r="X637" i="11" l="1"/>
  <c r="AA636" i="11"/>
  <c r="Y636" i="11"/>
  <c r="AB635" i="11"/>
  <c r="X638" i="11" l="1"/>
  <c r="AA637" i="11"/>
  <c r="Y637" i="11"/>
  <c r="AB636" i="11"/>
  <c r="X639" i="11" l="1"/>
  <c r="AA638" i="11"/>
  <c r="Y638" i="11"/>
  <c r="AB637" i="11"/>
  <c r="X640" i="11" l="1"/>
  <c r="AA639" i="11"/>
  <c r="Y639" i="11"/>
  <c r="AB638" i="11"/>
  <c r="X641" i="11" l="1"/>
  <c r="AA640" i="11"/>
  <c r="Y640" i="11"/>
  <c r="AB639" i="11"/>
  <c r="X642" i="11" l="1"/>
  <c r="AA641" i="11"/>
  <c r="Y641" i="11"/>
  <c r="AB640" i="11"/>
  <c r="X643" i="11" l="1"/>
  <c r="AA642" i="11"/>
  <c r="Y642" i="11"/>
  <c r="AB641" i="11"/>
  <c r="X644" i="11" l="1"/>
  <c r="AA643" i="11"/>
  <c r="Y643" i="11"/>
  <c r="AB642" i="11"/>
  <c r="X645" i="11" l="1"/>
  <c r="AA644" i="11"/>
  <c r="Y644" i="11"/>
  <c r="AB643" i="11"/>
  <c r="X646" i="11" l="1"/>
  <c r="AA645" i="11"/>
  <c r="Y645" i="11"/>
  <c r="AB644" i="11"/>
  <c r="X647" i="11" l="1"/>
  <c r="AA646" i="11"/>
  <c r="Y646" i="11"/>
  <c r="AB645" i="11"/>
  <c r="X648" i="11" l="1"/>
  <c r="AA647" i="11"/>
  <c r="Y647" i="11"/>
  <c r="AB646" i="11"/>
  <c r="X649" i="11" l="1"/>
  <c r="AA648" i="11"/>
  <c r="Y648" i="11"/>
  <c r="AB647" i="11"/>
  <c r="X650" i="11" l="1"/>
  <c r="AA649" i="11"/>
  <c r="Y649" i="11"/>
  <c r="AB648" i="11"/>
  <c r="X651" i="11" l="1"/>
  <c r="AA650" i="11"/>
  <c r="Y650" i="11"/>
  <c r="AB649" i="11"/>
  <c r="X652" i="11" l="1"/>
  <c r="AA651" i="11"/>
  <c r="Y651" i="11"/>
  <c r="AB650" i="11"/>
  <c r="X653" i="11" l="1"/>
  <c r="AA652" i="11"/>
  <c r="Y652" i="11"/>
  <c r="AB651" i="11"/>
  <c r="X654" i="11" l="1"/>
  <c r="AA653" i="11"/>
  <c r="Y653" i="11"/>
  <c r="AB652" i="11"/>
  <c r="X655" i="11" l="1"/>
  <c r="AA654" i="11"/>
  <c r="Y654" i="11"/>
  <c r="AB653" i="11"/>
  <c r="X656" i="11" l="1"/>
  <c r="AA655" i="11"/>
  <c r="Y655" i="11"/>
  <c r="AB654" i="11"/>
  <c r="X657" i="11" l="1"/>
  <c r="AA656" i="11"/>
  <c r="Y656" i="11"/>
  <c r="AB655" i="11"/>
  <c r="X658" i="11" l="1"/>
  <c r="AA657" i="11"/>
  <c r="Y657" i="11"/>
  <c r="AB656" i="11"/>
  <c r="X659" i="11" l="1"/>
  <c r="AA658" i="11"/>
  <c r="Y658" i="11"/>
  <c r="AB657" i="11"/>
  <c r="X660" i="11" l="1"/>
  <c r="AA659" i="11"/>
  <c r="Y659" i="11"/>
  <c r="AB658" i="11"/>
  <c r="X661" i="11" l="1"/>
  <c r="AA660" i="11"/>
  <c r="Y660" i="11"/>
  <c r="AB659" i="11"/>
  <c r="X662" i="11" l="1"/>
  <c r="AA661" i="11"/>
  <c r="Y661" i="11"/>
  <c r="AB660" i="11"/>
  <c r="X663" i="11" l="1"/>
  <c r="AA662" i="11"/>
  <c r="Y662" i="11"/>
  <c r="AB661" i="11"/>
  <c r="X664" i="11" l="1"/>
  <c r="AA663" i="11"/>
  <c r="Y663" i="11"/>
  <c r="AB662" i="11"/>
  <c r="X665" i="11" l="1"/>
  <c r="AA664" i="11"/>
  <c r="Y664" i="11"/>
  <c r="AB663" i="11"/>
  <c r="X666" i="11" l="1"/>
  <c r="AA665" i="11"/>
  <c r="Y665" i="11"/>
  <c r="AB664" i="11"/>
  <c r="X667" i="11" l="1"/>
  <c r="AA666" i="11"/>
  <c r="Y666" i="11"/>
  <c r="AB665" i="11"/>
  <c r="X668" i="11" l="1"/>
  <c r="AA667" i="11"/>
  <c r="Y667" i="11"/>
  <c r="AB666" i="11"/>
  <c r="X669" i="11" l="1"/>
  <c r="AA668" i="11"/>
  <c r="Y668" i="11"/>
  <c r="AB667" i="11"/>
  <c r="X670" i="11" l="1"/>
  <c r="AA669" i="11"/>
  <c r="Y669" i="11"/>
  <c r="AB668" i="11"/>
  <c r="X671" i="11" l="1"/>
  <c r="AA670" i="11"/>
  <c r="Y670" i="11"/>
  <c r="AB669" i="11"/>
  <c r="X672" i="11" l="1"/>
  <c r="AA671" i="11"/>
  <c r="Y671" i="11"/>
  <c r="AB670" i="11"/>
  <c r="X673" i="11" l="1"/>
  <c r="AA672" i="11"/>
  <c r="Y672" i="11"/>
  <c r="AB671" i="11"/>
  <c r="X674" i="11" l="1"/>
  <c r="AA673" i="11"/>
  <c r="Y673" i="11"/>
  <c r="AB672" i="11"/>
  <c r="X675" i="11" l="1"/>
  <c r="AA674" i="11"/>
  <c r="Y674" i="11"/>
  <c r="AB673" i="11"/>
  <c r="X676" i="11" l="1"/>
  <c r="AA675" i="11"/>
  <c r="Y675" i="11"/>
  <c r="AB674" i="11"/>
  <c r="X677" i="11" l="1"/>
  <c r="AA676" i="11"/>
  <c r="Y676" i="11"/>
  <c r="AB675" i="11"/>
  <c r="X678" i="11" l="1"/>
  <c r="AA677" i="11"/>
  <c r="Y677" i="11"/>
  <c r="AB676" i="11"/>
  <c r="X679" i="11" l="1"/>
  <c r="AA678" i="11"/>
  <c r="Y678" i="11"/>
  <c r="AB677" i="11"/>
  <c r="X680" i="11" l="1"/>
  <c r="AA679" i="11"/>
  <c r="Y679" i="11"/>
  <c r="AB678" i="11"/>
  <c r="X681" i="11" l="1"/>
  <c r="AA680" i="11"/>
  <c r="Y680" i="11"/>
  <c r="AB679" i="11"/>
  <c r="X682" i="11" l="1"/>
  <c r="AA681" i="11"/>
  <c r="Y681" i="11"/>
  <c r="AB680" i="11"/>
  <c r="X683" i="11" l="1"/>
  <c r="AA682" i="11"/>
  <c r="Y682" i="11"/>
  <c r="AB681" i="11"/>
  <c r="X684" i="11" l="1"/>
  <c r="AA683" i="11"/>
  <c r="Y683" i="11"/>
  <c r="AB682" i="11"/>
  <c r="X685" i="11" l="1"/>
  <c r="AA684" i="11"/>
  <c r="Y684" i="11"/>
  <c r="AB683" i="11"/>
  <c r="X686" i="11" l="1"/>
  <c r="AA685" i="11"/>
  <c r="Y685" i="11"/>
  <c r="AB684" i="11"/>
  <c r="X687" i="11" l="1"/>
  <c r="AA686" i="11"/>
  <c r="Y686" i="11"/>
  <c r="AB685" i="11"/>
  <c r="X688" i="11" l="1"/>
  <c r="AA687" i="11"/>
  <c r="Y687" i="11"/>
  <c r="AB686" i="11"/>
  <c r="X689" i="11" l="1"/>
  <c r="AA688" i="11"/>
  <c r="Y688" i="11"/>
  <c r="AB687" i="11"/>
  <c r="X690" i="11" l="1"/>
  <c r="AA689" i="11"/>
  <c r="Y689" i="11"/>
  <c r="AB688" i="11"/>
  <c r="X691" i="11" l="1"/>
  <c r="AA690" i="11"/>
  <c r="Y690" i="11"/>
  <c r="AB689" i="11"/>
  <c r="X692" i="11" l="1"/>
  <c r="AA691" i="11"/>
  <c r="Y691" i="11"/>
  <c r="AB690" i="11"/>
  <c r="X693" i="11" l="1"/>
  <c r="AA692" i="11"/>
  <c r="Y692" i="11"/>
  <c r="AB691" i="11"/>
  <c r="X694" i="11" l="1"/>
  <c r="AA693" i="11"/>
  <c r="Y693" i="11"/>
  <c r="AB692" i="11"/>
  <c r="X695" i="11" l="1"/>
  <c r="AA694" i="11"/>
  <c r="Y694" i="11"/>
  <c r="AB693" i="11"/>
  <c r="X696" i="11" l="1"/>
  <c r="AA695" i="11"/>
  <c r="Y695" i="11"/>
  <c r="AB694" i="11"/>
  <c r="X697" i="11" l="1"/>
  <c r="AA696" i="11"/>
  <c r="Y696" i="11"/>
  <c r="AB695" i="11"/>
  <c r="X698" i="11" l="1"/>
  <c r="AA697" i="11"/>
  <c r="Y697" i="11"/>
  <c r="AB696" i="11"/>
  <c r="X699" i="11" l="1"/>
  <c r="AA698" i="11"/>
  <c r="Y698" i="11"/>
  <c r="AB697" i="11"/>
  <c r="X700" i="11" l="1"/>
  <c r="AA699" i="11"/>
  <c r="Y699" i="11"/>
  <c r="AB698" i="11"/>
  <c r="X701" i="11" l="1"/>
  <c r="AA700" i="11"/>
  <c r="Y700" i="11"/>
  <c r="AB699" i="11"/>
  <c r="X702" i="11" l="1"/>
  <c r="AA701" i="11"/>
  <c r="Y701" i="11"/>
  <c r="AB700" i="11"/>
  <c r="X703" i="11" l="1"/>
  <c r="AA702" i="11"/>
  <c r="Y702" i="11"/>
  <c r="AB701" i="11"/>
  <c r="X704" i="11" l="1"/>
  <c r="AA703" i="11"/>
  <c r="Y703" i="11"/>
  <c r="AB702" i="11"/>
  <c r="X705" i="11" l="1"/>
  <c r="AA704" i="11"/>
  <c r="Y704" i="11"/>
  <c r="AB703" i="11"/>
  <c r="X706" i="11" l="1"/>
  <c r="AA705" i="11"/>
  <c r="Y705" i="11"/>
  <c r="AB704" i="11"/>
  <c r="X707" i="11" l="1"/>
  <c r="AA706" i="11"/>
  <c r="Y706" i="11"/>
  <c r="AB705" i="11"/>
  <c r="X708" i="11" l="1"/>
  <c r="AA707" i="11"/>
  <c r="Y707" i="11"/>
  <c r="AB706" i="11"/>
  <c r="X709" i="11" l="1"/>
  <c r="AA708" i="11"/>
  <c r="Y708" i="11"/>
  <c r="AB707" i="11"/>
  <c r="X710" i="11" l="1"/>
  <c r="AA709" i="11"/>
  <c r="Y709" i="11"/>
  <c r="AB708" i="11"/>
  <c r="X711" i="11" l="1"/>
  <c r="AA710" i="11"/>
  <c r="Y710" i="11"/>
  <c r="AB709" i="11"/>
  <c r="X712" i="11" l="1"/>
  <c r="AA711" i="11"/>
  <c r="Y711" i="11"/>
  <c r="AB710" i="11"/>
  <c r="X713" i="11" l="1"/>
  <c r="AA712" i="11"/>
  <c r="Y712" i="11"/>
  <c r="AB711" i="11"/>
  <c r="X714" i="11" l="1"/>
  <c r="AA713" i="11"/>
  <c r="Y713" i="11"/>
  <c r="AB712" i="11"/>
  <c r="X715" i="11" l="1"/>
  <c r="AA714" i="11"/>
  <c r="Y714" i="11"/>
  <c r="AB713" i="11"/>
  <c r="X716" i="11" l="1"/>
  <c r="AA715" i="11"/>
  <c r="Y715" i="11"/>
  <c r="AB714" i="11"/>
  <c r="X717" i="11" l="1"/>
  <c r="AA716" i="11"/>
  <c r="Y716" i="11"/>
  <c r="AB715" i="11"/>
  <c r="X718" i="11" l="1"/>
  <c r="AA717" i="11"/>
  <c r="Y717" i="11"/>
  <c r="AB716" i="11"/>
  <c r="X719" i="11" l="1"/>
  <c r="AA718" i="11"/>
  <c r="Y718" i="11"/>
  <c r="AB717" i="11"/>
  <c r="X720" i="11" l="1"/>
  <c r="AA719" i="11"/>
  <c r="Y719" i="11"/>
  <c r="AB718" i="11"/>
  <c r="X721" i="11" l="1"/>
  <c r="AA720" i="11"/>
  <c r="Y720" i="11"/>
  <c r="AB719" i="11"/>
  <c r="X722" i="11" l="1"/>
  <c r="AA721" i="11"/>
  <c r="Y721" i="11"/>
  <c r="AB720" i="11"/>
  <c r="X723" i="11" l="1"/>
  <c r="AA722" i="11"/>
  <c r="Y722" i="11"/>
  <c r="AB721" i="11"/>
  <c r="X724" i="11" l="1"/>
  <c r="AA723" i="11"/>
  <c r="Y723" i="11"/>
  <c r="AB722" i="11"/>
  <c r="X725" i="11" l="1"/>
  <c r="AA724" i="11"/>
  <c r="Y724" i="11"/>
  <c r="AB723" i="11"/>
  <c r="X726" i="11" l="1"/>
  <c r="AA725" i="11"/>
  <c r="Y725" i="11"/>
  <c r="AB724" i="11"/>
  <c r="X727" i="11" l="1"/>
  <c r="AA726" i="11"/>
  <c r="Y726" i="11"/>
  <c r="AB725" i="11"/>
  <c r="X728" i="11" l="1"/>
  <c r="AA727" i="11"/>
  <c r="Y727" i="11"/>
  <c r="AB726" i="11"/>
  <c r="X729" i="11" l="1"/>
  <c r="AA728" i="11"/>
  <c r="Y728" i="11"/>
  <c r="AB727" i="11"/>
  <c r="X730" i="11" l="1"/>
  <c r="AA729" i="11"/>
  <c r="Y729" i="11"/>
  <c r="AB728" i="11"/>
  <c r="X731" i="11" l="1"/>
  <c r="AA730" i="11"/>
  <c r="Y730" i="11"/>
  <c r="AB729" i="11"/>
  <c r="X732" i="11" l="1"/>
  <c r="AA731" i="11"/>
  <c r="Y731" i="11"/>
  <c r="AB730" i="11"/>
  <c r="X733" i="11" l="1"/>
  <c r="AA732" i="11"/>
  <c r="Y732" i="11"/>
  <c r="AB731" i="11"/>
  <c r="X734" i="11" l="1"/>
  <c r="AA733" i="11"/>
  <c r="Y733" i="11"/>
  <c r="AB732" i="11"/>
  <c r="X735" i="11" l="1"/>
  <c r="AA734" i="11"/>
  <c r="Y734" i="11"/>
  <c r="AB733" i="11"/>
  <c r="X736" i="11" l="1"/>
  <c r="AA735" i="11"/>
  <c r="Y735" i="11"/>
  <c r="AB734" i="11"/>
  <c r="X737" i="11" l="1"/>
  <c r="AA736" i="11"/>
  <c r="Y736" i="11"/>
  <c r="AB735" i="11"/>
  <c r="X738" i="11" l="1"/>
  <c r="AA737" i="11"/>
  <c r="Y737" i="11"/>
  <c r="AB736" i="11"/>
  <c r="X739" i="11" l="1"/>
  <c r="AA738" i="11"/>
  <c r="Y738" i="11"/>
  <c r="AB737" i="11"/>
  <c r="X740" i="11" l="1"/>
  <c r="AA739" i="11"/>
  <c r="Y739" i="11"/>
  <c r="AB738" i="11"/>
  <c r="X741" i="11" l="1"/>
  <c r="AA740" i="11"/>
  <c r="Y740" i="11"/>
  <c r="AB739" i="11"/>
  <c r="X742" i="11" l="1"/>
  <c r="AA741" i="11"/>
  <c r="Y741" i="11"/>
  <c r="AB740" i="11"/>
  <c r="X743" i="11" l="1"/>
  <c r="AA742" i="11"/>
  <c r="Y742" i="11"/>
  <c r="AB741" i="11"/>
  <c r="AA743" i="11" l="1"/>
  <c r="Y743" i="11"/>
  <c r="AB742" i="11"/>
  <c r="AA744" i="11" l="1"/>
  <c r="Y744" i="11"/>
  <c r="AB743" i="11"/>
  <c r="AA745" i="11" l="1"/>
  <c r="Y745" i="11"/>
  <c r="AB744" i="11"/>
  <c r="AA746" i="11" l="1"/>
  <c r="Y746" i="11"/>
  <c r="AB745" i="11"/>
  <c r="AA747" i="11" l="1"/>
  <c r="Y747" i="11"/>
  <c r="AB746" i="11"/>
  <c r="AA748" i="11" l="1"/>
  <c r="Y748" i="11"/>
  <c r="AB747" i="11"/>
  <c r="AA749" i="11" l="1"/>
  <c r="Y749" i="11"/>
  <c r="AB748" i="11"/>
  <c r="AA750" i="11" l="1"/>
  <c r="Y750" i="11"/>
  <c r="AB749" i="11"/>
  <c r="AA751" i="11" l="1"/>
  <c r="Y751" i="11"/>
  <c r="AB750" i="11"/>
  <c r="AA754" i="11" l="1"/>
  <c r="AA752" i="11"/>
  <c r="Y752" i="11"/>
  <c r="AB751" i="11"/>
  <c r="AA753" i="11" l="1"/>
  <c r="Y753" i="11"/>
  <c r="Y754" i="11" s="1"/>
  <c r="AB754" i="11" s="1"/>
  <c r="AB752" i="11"/>
  <c r="AB753" i="11" l="1"/>
  <c r="C11" i="1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90ADA7-6345-4C79-907C-8221C056705E}" keepAlive="1" name="Requête - Data_Raw" description="Connexion à la requête « Data_Raw » dans le classeur." type="5" refreshedVersion="8" background="1" saveData="1">
    <dbPr connection="Provider=Microsoft.Mashup.OleDb.1;Data Source=$Workbook$;Location=Data_Raw;Extended Properties=&quot;&quot;" command="SELECT * FROM [Data_Raw]"/>
  </connection>
  <connection id="2" xr16:uid="{EF2132F7-5A1B-4912-BFEF-0B96D9EFDF41}" keepAlive="1" name="Requête - GetData" description="Connexion à la requête « GetData » dans le classeur." type="5" refreshedVersion="0" background="1">
    <dbPr connection="Provider=Microsoft.Mashup.OleDb.1;Data Source=$Workbook$;Location=GetData;Extended Properties=&quot;&quot;" command="SELECT * FROM [GetData]"/>
  </connection>
  <connection id="3" xr16:uid="{35526FA9-8AB5-42EE-A15C-25C3CC263A4E}" keepAlive="1" name="Requête - GetData_Base" description="Connexion à la requête « GetData_Base » dans le classeur." type="5" refreshedVersion="8" background="1" saveData="1">
    <dbPr connection="Provider=Microsoft.Mashup.OleDb.1;Data Source=$Workbook$;Location=GetData_Base;Extended Properties=&quot;&quot;" command="SELECT * FROM [GetData_Base]"/>
  </connection>
  <connection id="4" xr16:uid="{230F57BE-1A25-471B-B9BA-48E496D50BB3}" keepAlive="1" name="Requête - Ticker" description="Connexion à la requête « Ticker » dans le classeur." type="5" refreshedVersion="0" background="1">
    <dbPr connection="Provider=Microsoft.Mashup.OleDb.1;Data Source=$Workbook$;Location=Ticker;Extended Properties=&quot;&quot;" command="SELECT * FROM [Ticke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2"/>
        </ext>
      </extLst>
    </bk>
    <bk>
      <extLst>
        <ext uri="{3e2802c4-a4d2-4d8b-9148-e3be6c30e623}">
          <xlrd:rvb i="9"/>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<sst xmlns="http://schemas.openxmlformats.org/spreadsheetml/2006/main" count="170" uniqueCount="78">
  <si>
    <t>Date</t>
  </si>
  <si>
    <t>SPY</t>
  </si>
  <si>
    <t>AAPL</t>
  </si>
  <si>
    <t>MSFT</t>
  </si>
  <si>
    <t>JPM</t>
  </si>
  <si>
    <t>XOM</t>
  </si>
  <si>
    <t>JNJ</t>
  </si>
  <si>
    <t>AMZN</t>
  </si>
  <si>
    <t>KO</t>
  </si>
  <si>
    <t>WMT</t>
  </si>
  <si>
    <t>Annualized Return</t>
  </si>
  <si>
    <t>Covariance Matrix</t>
  </si>
  <si>
    <t>Correlation Matrix</t>
  </si>
  <si>
    <t>Weight</t>
  </si>
  <si>
    <t>Sharpe Ratio</t>
  </si>
  <si>
    <t>Efficient Frontier</t>
  </si>
  <si>
    <t>Portfolio</t>
  </si>
  <si>
    <t>Volatility</t>
  </si>
  <si>
    <t>Security</t>
  </si>
  <si>
    <t>Apple</t>
  </si>
  <si>
    <t>Microsoft</t>
  </si>
  <si>
    <t>JPMorgan</t>
  </si>
  <si>
    <t>Amazon</t>
  </si>
  <si>
    <t>Coca-Cola</t>
  </si>
  <si>
    <t>Max Weight</t>
  </si>
  <si>
    <t>Min Weight</t>
  </si>
  <si>
    <t>Portfolio Summary</t>
  </si>
  <si>
    <t>Expectetd Return</t>
  </si>
  <si>
    <t>Total Weight</t>
  </si>
  <si>
    <t>Adjusted Close Prices</t>
  </si>
  <si>
    <t>Daily Returns</t>
  </si>
  <si>
    <t>ExxonMobil</t>
  </si>
  <si>
    <t>Johnson&amp;Johnson</t>
  </si>
  <si>
    <t>Walmart</t>
  </si>
  <si>
    <t>Weight Allocation</t>
  </si>
  <si>
    <t>Capital Allocation Line</t>
  </si>
  <si>
    <t>σ</t>
  </si>
  <si>
    <t>Standard Deviation</t>
  </si>
  <si>
    <t>E(Rp)</t>
  </si>
  <si>
    <t>Portfolio Optimization Dashboard</t>
  </si>
  <si>
    <t>Last Update</t>
  </si>
  <si>
    <t>Data Period</t>
  </si>
  <si>
    <t>US Treasury Bonds 10Y</t>
  </si>
  <si>
    <t>Expected Return</t>
  </si>
  <si>
    <t>Weight Constraints</t>
  </si>
  <si>
    <t>Benchmark</t>
  </si>
  <si>
    <t>Current Holdings</t>
  </si>
  <si>
    <t>Stocks</t>
  </si>
  <si>
    <t>Price</t>
  </si>
  <si>
    <t>Industry</t>
  </si>
  <si>
    <t>Beta</t>
  </si>
  <si>
    <t>Financial Services</t>
  </si>
  <si>
    <t xml:space="preserve"> Allocation</t>
  </si>
  <si>
    <t>Cumulative Performance</t>
  </si>
  <si>
    <t>SPY Return</t>
  </si>
  <si>
    <t>Portfolio Return</t>
  </si>
  <si>
    <t>Cumul SPY</t>
  </si>
  <si>
    <t>Cumul Portfolio</t>
  </si>
  <si>
    <t>Parameters</t>
  </si>
  <si>
    <t>Selected Portfolio</t>
  </si>
  <si>
    <t>Drawdown</t>
  </si>
  <si>
    <t>Optimal Portfolio</t>
  </si>
  <si>
    <t>Minimum Variance</t>
  </si>
  <si>
    <t>Portfolio 1</t>
  </si>
  <si>
    <t>Portfolio 2</t>
  </si>
  <si>
    <t>Portfolio 3</t>
  </si>
  <si>
    <t>Portfolio 4</t>
  </si>
  <si>
    <t>Portfolio 5</t>
  </si>
  <si>
    <t>Portfolio 6</t>
  </si>
  <si>
    <t>Portfolio 7</t>
  </si>
  <si>
    <t>Portfolio 8</t>
  </si>
  <si>
    <t>Portfolio 9</t>
  </si>
  <si>
    <t>Portfolio 10</t>
  </si>
  <si>
    <t>Portfolio 11</t>
  </si>
  <si>
    <t>Portfolio 12</t>
  </si>
  <si>
    <t>Max Drawdown</t>
  </si>
  <si>
    <t>Risk-Free Rate</t>
  </si>
  <si>
    <t>10/02/2023 - 09/30/2026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</si>
</sst>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0.000"/>
    <numFmt numFmtId="165" formatCode="_-[$$-409]* #,##0.00_ ;_-[$$-409]* \-#,##0.00\ ;_-[$$-409]* &quot;-&quot;??_ ;_-@_ "/>
    <numFmt numFmtId="166" formatCode="0.0000000"/>
    <numFmt numFmtId="167" formatCode="_([$$-409]* #,##0.00_);_([$$-409]* \(#,##0.00\);_([$$-409]* &quot;-&quot;??_);_(@_)"/>
    <numFmt numFmtId="168" formatCode="0.0%"/>
    <numFmt numFmtId="169" formatCode="_-* #,##0.000_-;\-* #,##0.000_-;_-* &quot;-&quot;??_-;_-@_-"/>
    <numFmt numFmtId="170" formatCode="mm/dd/yyyy\ hh:mm"/>
  </numFmts>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8"/>
      <name val="Aptos Narrow"/>
      <family val="2"/>
      <scheme val="minor"/>
    </font>
    <font>
      <i/>
      <sz val="11"/>
      <color theme="1"/>
      <name val="Aptos Narrow"/>
      <family val="2"/>
      <scheme val="minor"/>
    </font>
    <font>
      <sz val="11"/>
      <color theme="2" tint="-0.249977111117893"/>
      <name val="Aptos Narrow"/>
      <family val="2"/>
      <scheme val="minor"/>
    </font>
    <font>
      <sz val="11"/>
      <color rgb="FF000000"/>
      <name val="Aptos Narrow"/>
      <family val="2"/>
    </font>
    <font>
      <b/>
      <sz val="11"/>
      <color theme="0"/>
      <name val="Aptos Narrow"/>
      <family val="2"/>
      <scheme val="minor"/>
    </font>
    <font>
      <sz val="11"/>
      <color theme="0"/>
      <name val="Aptos Narrow"/>
      <family val="2"/>
      <scheme val="minor"/>
    </font>
    <font>
      <b/>
      <sz val="12"/>
      <color theme="1"/>
      <name val="Aptos Narrow"/>
      <family val="2"/>
      <scheme val="minor"/>
    </font>
    <font>
      <b/>
      <sz val="22"/>
      <color theme="0"/>
      <name val="Aptos Narrow"/>
      <family val="2"/>
      <scheme val="minor"/>
    </font>
    <font>
      <b/>
      <sz val="12"/>
      <color theme="0"/>
      <name val="Aptos Narrow"/>
      <family val="2"/>
      <scheme val="minor"/>
    </font>
    <font>
      <u/>
      <sz val="11"/>
      <color theme="10"/>
      <name val="Aptos Narrow"/>
      <family val="2"/>
      <scheme val="minor"/>
    </font>
    <font>
      <u/>
      <sz val="11"/>
      <color theme="3" tint="0.749992370372631"/>
      <name val="Aptos Narrow"/>
      <family val="2"/>
      <scheme val="minor"/>
    </font>
    <font>
      <sz val="11"/>
      <name val="Aptos Narrow"/>
      <family val="2"/>
      <scheme val="minor"/>
    </font>
    <font>
      <sz val="8"/>
      <color rgb="FF000000"/>
      <name val="Segoe UI"/>
      <family val="2"/>
    </font>
    <font>
      <i/>
      <sz val="11"/>
      <color theme="0"/>
      <name val="Aptos Narrow"/>
      <family val="2"/>
      <scheme val="minor"/>
    </font>
  </fonts>
  <fills count="8">
    <fill>
      <patternFill patternType="none"/>
    </fill>
    <fill>
      <patternFill patternType="gray125"/>
    </fill>
    <fill>
      <patternFill patternType="solid">
        <fgColor theme="2"/>
        <bgColor indexed="64"/>
      </patternFill>
    </fill>
    <fill>
      <patternFill patternType="solid">
        <fgColor theme="3" tint="0.89999084444715716"/>
        <bgColor indexed="64"/>
      </patternFill>
    </fill>
    <fill>
      <patternFill patternType="solid">
        <fgColor rgb="FFFFFFE1"/>
        <bgColor indexed="64"/>
      </patternFill>
    </fill>
    <fill>
      <patternFill patternType="solid">
        <fgColor theme="5" tint="0.79998168889431442"/>
        <bgColor indexed="64"/>
      </patternFill>
    </fill>
    <fill>
      <patternFill patternType="solid">
        <fgColor theme="0"/>
        <bgColor indexed="64"/>
      </patternFill>
    </fill>
    <fill>
      <patternFill patternType="solid">
        <fgColor rgb="FF1E2A7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s>
  <cellStyleXfs count="4">
    <xf numFmtId="0" fontId="0" fillId="0" borderId="0"/>
    <xf numFmtId="43" fontId="1" fillId="0" borderId="0" applyFont="0" applyFill="0" applyBorder="0" applyAlignment="0" applyProtection="0"/>
    <xf numFmtId="9" fontId="1" fillId="0" borderId="0" applyFont="0" applyFill="0" applyBorder="0" applyAlignment="0" applyProtection="0"/>
    <xf numFmtId="0" fontId="12" fillId="0" borderId="0" applyNumberFormat="0" applyFill="0" applyBorder="0" applyAlignment="0" applyProtection="0"/>
  </cellStyleXfs>
  <cellXfs count="146">
    <xf numFmtId="0" fontId="0" fillId="0" borderId="0" xfId="0"/>
    <xf numFmtId="10" fontId="0" fillId="4" borderId="17" xfId="0" applyNumberFormat="1" applyFill="1" applyBorder="1" applyProtection="1">
      <protection locked="0"/>
    </xf>
    <xf numFmtId="10" fontId="0" fillId="4" borderId="1" xfId="2" applyNumberFormat="1" applyFont="1" applyFill="1" applyBorder="1" applyProtection="1">
      <protection locked="0"/>
    </xf>
    <xf numFmtId="10" fontId="0" fillId="4" borderId="10" xfId="2" applyNumberFormat="1" applyFont="1" applyFill="1" applyBorder="1" applyProtection="1">
      <protection locked="0"/>
    </xf>
    <xf numFmtId="10" fontId="0" fillId="4" borderId="3" xfId="2" quotePrefix="1" applyNumberFormat="1" applyFont="1" applyFill="1" applyBorder="1" applyProtection="1">
      <protection locked="0"/>
    </xf>
    <xf numFmtId="10" fontId="0" fillId="4" borderId="3" xfId="2" applyNumberFormat="1" applyFont="1" applyFill="1" applyBorder="1" applyProtection="1">
      <protection locked="0"/>
    </xf>
    <xf numFmtId="10" fontId="0" fillId="4" borderId="12" xfId="2" applyNumberFormat="1" applyFont="1" applyFill="1" applyBorder="1" applyProtection="1">
      <protection locked="0"/>
    </xf>
    <xf numFmtId="0" fontId="0" fillId="7" borderId="0" xfId="0" applyFill="1"/>
    <xf numFmtId="0" fontId="8" fillId="7" borderId="0" xfId="0" applyFont="1" applyFill="1" applyAlignment="1">
      <alignment horizontal="center" vertical="center"/>
    </xf>
    <xf numFmtId="0" fontId="11" fillId="7" borderId="0" xfId="0" applyFont="1" applyFill="1" applyAlignment="1">
      <alignment horizontal="center"/>
    </xf>
    <xf numFmtId="0" fontId="7" fillId="6" borderId="0" xfId="0" applyFont="1" applyFill="1" applyAlignment="1">
      <alignment horizontal="center"/>
    </xf>
    <xf numFmtId="0" fontId="2" fillId="0" borderId="0" xfId="0" applyFont="1"/>
    <xf numFmtId="10" fontId="0" fillId="0" borderId="0" xfId="0" applyNumberFormat="1"/>
    <xf numFmtId="169" fontId="14" fillId="0" borderId="0" xfId="1" applyNumberFormat="1" applyFont="1" applyAlignment="1" applyProtection="1">
      <alignment horizontal="right"/>
    </xf>
    <xf numFmtId="0" fontId="8" fillId="6" borderId="0" xfId="0" applyFont="1" applyFill="1"/>
    <xf numFmtId="0" fontId="0" fillId="3" borderId="35" xfId="0" applyFill="1" applyBorder="1" applyAlignment="1">
      <alignment horizontal="center"/>
    </xf>
    <xf numFmtId="167" fontId="0" fillId="0" borderId="0" xfId="0" applyNumberFormat="1"/>
    <xf numFmtId="4" fontId="0" fillId="0" borderId="0" xfId="0" applyNumberFormat="1"/>
    <xf numFmtId="10" fontId="1" fillId="0" borderId="1" xfId="2" applyNumberFormat="1" applyFont="1" applyBorder="1" applyProtection="1"/>
    <xf numFmtId="164" fontId="0" fillId="0" borderId="0" xfId="0" applyNumberFormat="1"/>
    <xf numFmtId="0" fontId="2" fillId="0" borderId="21"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10" fontId="2" fillId="0" borderId="21" xfId="2" applyNumberFormat="1" applyFont="1" applyBorder="1" applyAlignment="1" applyProtection="1">
      <alignment horizontal="center" vertical="center"/>
    </xf>
    <xf numFmtId="0" fontId="2" fillId="0" borderId="23" xfId="0" applyFont="1" applyBorder="1" applyAlignment="1">
      <alignment horizontal="center" vertical="center"/>
    </xf>
    <xf numFmtId="43" fontId="2" fillId="0" borderId="23" xfId="1" applyFont="1" applyBorder="1" applyAlignment="1" applyProtection="1">
      <alignment horizontal="center" vertical="center"/>
    </xf>
    <xf numFmtId="43" fontId="2" fillId="0" borderId="22" xfId="1" applyFont="1" applyBorder="1" applyAlignment="1" applyProtection="1">
      <alignment horizontal="center" vertical="center"/>
    </xf>
    <xf numFmtId="168" fontId="0" fillId="0" borderId="21" xfId="2" applyNumberFormat="1" applyFont="1" applyBorder="1" applyAlignment="1" applyProtection="1">
      <alignment horizontal="center"/>
    </xf>
    <xf numFmtId="168" fontId="0" fillId="0" borderId="22" xfId="2" applyNumberFormat="1" applyFont="1" applyBorder="1" applyAlignment="1" applyProtection="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10" fontId="0" fillId="0" borderId="16" xfId="2" applyNumberFormat="1" applyFont="1" applyBorder="1" applyAlignment="1" applyProtection="1">
      <alignment horizontal="center"/>
    </xf>
    <xf numFmtId="0" fontId="0" fillId="0" borderId="0" xfId="0" applyAlignment="1">
      <alignment horizontal="center"/>
    </xf>
    <xf numFmtId="43" fontId="0" fillId="0" borderId="0" xfId="1" applyFont="1" applyFill="1" applyBorder="1" applyAlignment="1" applyProtection="1">
      <alignment horizontal="center"/>
    </xf>
    <xf numFmtId="43" fontId="0" fillId="0" borderId="17" xfId="1" applyFont="1" applyBorder="1" applyAlignment="1" applyProtection="1">
      <alignment horizontal="center"/>
    </xf>
    <xf numFmtId="168" fontId="0" fillId="0" borderId="13" xfId="2" applyNumberFormat="1" applyFont="1" applyBorder="1" applyAlignment="1" applyProtection="1">
      <alignment horizontal="center"/>
    </xf>
    <xf numFmtId="168" fontId="0" fillId="0" borderId="15" xfId="2" applyNumberFormat="1" applyFont="1" applyBorder="1" applyAlignment="1" applyProtection="1">
      <alignment horizontal="center"/>
    </xf>
    <xf numFmtId="10" fontId="0" fillId="0" borderId="16" xfId="2" applyNumberFormat="1" applyFont="1" applyBorder="1" applyProtection="1"/>
    <xf numFmtId="10" fontId="0" fillId="0" borderId="0" xfId="2" applyNumberFormat="1" applyFont="1" applyBorder="1" applyProtection="1"/>
    <xf numFmtId="10" fontId="0" fillId="0" borderId="17" xfId="2" applyNumberFormat="1" applyFont="1" applyBorder="1" applyProtection="1"/>
    <xf numFmtId="43" fontId="0" fillId="0" borderId="0" xfId="1" applyFont="1" applyBorder="1" applyProtection="1"/>
    <xf numFmtId="168" fontId="0" fillId="0" borderId="16" xfId="2" applyNumberFormat="1" applyFont="1" applyBorder="1" applyProtection="1"/>
    <xf numFmtId="168" fontId="0" fillId="0" borderId="17" xfId="2" applyNumberFormat="1" applyFont="1" applyBorder="1" applyProtection="1"/>
    <xf numFmtId="10" fontId="0" fillId="0" borderId="18" xfId="2" applyNumberFormat="1" applyFont="1" applyBorder="1" applyProtection="1"/>
    <xf numFmtId="10" fontId="0" fillId="0" borderId="19" xfId="2" applyNumberFormat="1" applyFont="1" applyBorder="1" applyProtection="1"/>
    <xf numFmtId="10" fontId="0" fillId="0" borderId="20" xfId="2" applyNumberFormat="1" applyFont="1" applyBorder="1" applyProtection="1"/>
    <xf numFmtId="43" fontId="0" fillId="0" borderId="19" xfId="1" applyFont="1" applyBorder="1" applyProtection="1"/>
    <xf numFmtId="168" fontId="0" fillId="0" borderId="18" xfId="2" applyNumberFormat="1" applyFont="1" applyBorder="1" applyProtection="1"/>
    <xf numFmtId="168" fontId="0" fillId="0" borderId="20" xfId="2" applyNumberFormat="1" applyFont="1" applyBorder="1" applyProtection="1"/>
    <xf numFmtId="10" fontId="0" fillId="0" borderId="0" xfId="2" applyNumberFormat="1" applyFont="1" applyProtection="1"/>
    <xf numFmtId="43" fontId="0" fillId="0" borderId="0" xfId="1" applyFont="1" applyProtection="1"/>
    <xf numFmtId="168" fontId="0" fillId="0" borderId="0" xfId="2" applyNumberFormat="1" applyFont="1" applyProtection="1"/>
    <xf numFmtId="0" fontId="7" fillId="7" borderId="4" xfId="0" applyFont="1" applyFill="1" applyBorder="1"/>
    <xf numFmtId="0" fontId="7" fillId="7" borderId="7" xfId="0" applyFont="1" applyFill="1" applyBorder="1"/>
    <xf numFmtId="10" fontId="0" fillId="0" borderId="2" xfId="2" applyNumberFormat="1" applyFont="1" applyBorder="1" applyProtection="1"/>
    <xf numFmtId="10" fontId="0" fillId="0" borderId="8" xfId="2" applyNumberFormat="1" applyFont="1" applyBorder="1" applyProtection="1"/>
    <xf numFmtId="0" fontId="7" fillId="7" borderId="9" xfId="0" applyFont="1" applyFill="1" applyBorder="1"/>
    <xf numFmtId="10" fontId="0" fillId="0" borderId="1" xfId="2" applyNumberFormat="1" applyFont="1" applyBorder="1" applyProtection="1"/>
    <xf numFmtId="10" fontId="0" fillId="0" borderId="10" xfId="2" applyNumberFormat="1" applyFont="1" applyBorder="1" applyProtection="1"/>
    <xf numFmtId="0" fontId="7" fillId="7" borderId="11" xfId="0" applyFont="1" applyFill="1" applyBorder="1"/>
    <xf numFmtId="0" fontId="7" fillId="7" borderId="30" xfId="0" applyFont="1" applyFill="1" applyBorder="1"/>
    <xf numFmtId="10" fontId="2" fillId="0" borderId="26" xfId="2" applyNumberFormat="1" applyFont="1" applyBorder="1" applyProtection="1"/>
    <xf numFmtId="10" fontId="2" fillId="0" borderId="31" xfId="2" applyNumberFormat="1" applyFont="1" applyBorder="1" applyProtection="1"/>
    <xf numFmtId="0" fontId="7" fillId="7" borderId="13" xfId="0" applyFont="1" applyFill="1" applyBorder="1" applyAlignment="1">
      <alignment horizontal="center"/>
    </xf>
    <xf numFmtId="0" fontId="7" fillId="7" borderId="15" xfId="0" applyFont="1" applyFill="1" applyBorder="1" applyAlignment="1">
      <alignment horizontal="center"/>
    </xf>
    <xf numFmtId="0" fontId="2" fillId="0" borderId="16" xfId="0" applyFont="1" applyBorder="1"/>
    <xf numFmtId="0" fontId="5" fillId="0" borderId="0" xfId="0" applyFont="1"/>
    <xf numFmtId="9" fontId="0" fillId="0" borderId="17" xfId="0" applyNumberFormat="1" applyBorder="1"/>
    <xf numFmtId="0" fontId="2" fillId="0" borderId="21" xfId="0" applyFont="1" applyBorder="1"/>
    <xf numFmtId="43" fontId="0" fillId="0" borderId="22" xfId="1" applyFont="1" applyBorder="1" applyProtection="1"/>
    <xf numFmtId="0" fontId="4" fillId="0" borderId="29" xfId="0" applyFont="1" applyBorder="1" applyAlignment="1">
      <alignment horizontal="center"/>
    </xf>
    <xf numFmtId="0" fontId="4" fillId="0" borderId="0" xfId="0" applyFont="1"/>
    <xf numFmtId="164" fontId="0" fillId="2" borderId="0" xfId="0" applyNumberFormat="1" applyFill="1"/>
    <xf numFmtId="0" fontId="4" fillId="0" borderId="0" xfId="0" applyFont="1" applyAlignment="1">
      <alignment horizontal="center"/>
    </xf>
    <xf numFmtId="0" fontId="4" fillId="0" borderId="19" xfId="0" applyFont="1" applyBorder="1"/>
    <xf numFmtId="164" fontId="0" fillId="0" borderId="19" xfId="0" applyNumberFormat="1" applyBorder="1"/>
    <xf numFmtId="164" fontId="0" fillId="2" borderId="19" xfId="0" applyNumberFormat="1" applyFill="1" applyBorder="1"/>
    <xf numFmtId="166" fontId="0" fillId="2" borderId="0" xfId="0" applyNumberFormat="1" applyFill="1"/>
    <xf numFmtId="166" fontId="0" fillId="0" borderId="0" xfId="0" applyNumberFormat="1"/>
    <xf numFmtId="166" fontId="0" fillId="0" borderId="19" xfId="0" applyNumberFormat="1" applyBorder="1"/>
    <xf numFmtId="166" fontId="0" fillId="2" borderId="19" xfId="0" applyNumberFormat="1" applyFill="1" applyBorder="1"/>
    <xf numFmtId="0" fontId="9" fillId="0" borderId="0" xfId="0" applyFont="1"/>
    <xf numFmtId="0" fontId="7" fillId="7" borderId="27" xfId="0" applyFont="1" applyFill="1" applyBorder="1" applyAlignment="1">
      <alignment horizontal="center"/>
    </xf>
    <xf numFmtId="0" fontId="7" fillId="7" borderId="24" xfId="0" applyFont="1" applyFill="1" applyBorder="1" applyAlignment="1">
      <alignment horizontal="center"/>
    </xf>
    <xf numFmtId="0" fontId="7" fillId="7" borderId="14" xfId="0" applyFont="1" applyFill="1" applyBorder="1" applyAlignment="1">
      <alignment horizontal="center"/>
    </xf>
    <xf numFmtId="0" fontId="7" fillId="7" borderId="32" xfId="0" applyFont="1" applyFill="1" applyBorder="1" applyAlignment="1">
      <alignment horizontal="center"/>
    </xf>
    <xf numFmtId="0" fontId="7" fillId="7" borderId="25" xfId="0" applyFont="1" applyFill="1" applyBorder="1" applyAlignment="1">
      <alignment horizontal="center"/>
    </xf>
    <xf numFmtId="0" fontId="4" fillId="0" borderId="9" xfId="0" applyFont="1" applyBorder="1" applyAlignment="1">
      <alignment horizontal="center"/>
    </xf>
    <xf numFmtId="10" fontId="1" fillId="0" borderId="10" xfId="2" applyNumberFormat="1" applyFont="1" applyBorder="1" applyProtection="1"/>
    <xf numFmtId="10" fontId="1" fillId="0" borderId="9" xfId="2" applyNumberFormat="1" applyFont="1" applyBorder="1" applyProtection="1"/>
    <xf numFmtId="164" fontId="0" fillId="0" borderId="10" xfId="0" applyNumberFormat="1" applyBorder="1"/>
    <xf numFmtId="9" fontId="0" fillId="0" borderId="0" xfId="0" applyNumberFormat="1"/>
    <xf numFmtId="20" fontId="0" fillId="0" borderId="0" xfId="0" applyNumberFormat="1"/>
    <xf numFmtId="0" fontId="4" fillId="5" borderId="9" xfId="0" applyFont="1" applyFill="1" applyBorder="1" applyAlignment="1">
      <alignment horizontal="center"/>
    </xf>
    <xf numFmtId="10" fontId="1" fillId="5" borderId="1" xfId="2" applyNumberFormat="1" applyFont="1" applyFill="1" applyBorder="1" applyProtection="1"/>
    <xf numFmtId="10" fontId="1" fillId="5" borderId="10" xfId="2" applyNumberFormat="1" applyFont="1" applyFill="1" applyBorder="1" applyProtection="1"/>
    <xf numFmtId="10" fontId="1" fillId="5" borderId="9" xfId="2" applyNumberFormat="1" applyFont="1" applyFill="1" applyBorder="1" applyProtection="1"/>
    <xf numFmtId="164" fontId="0" fillId="5" borderId="10" xfId="0" applyNumberFormat="1" applyFill="1" applyBorder="1"/>
    <xf numFmtId="0" fontId="4" fillId="5" borderId="11" xfId="0" applyFont="1" applyFill="1" applyBorder="1" applyAlignment="1">
      <alignment horizontal="center"/>
    </xf>
    <xf numFmtId="10" fontId="1" fillId="5" borderId="3" xfId="2" applyNumberFormat="1" applyFont="1" applyFill="1" applyBorder="1" applyProtection="1"/>
    <xf numFmtId="10" fontId="1" fillId="5" borderId="12" xfId="2" applyNumberFormat="1" applyFont="1" applyFill="1" applyBorder="1" applyProtection="1"/>
    <xf numFmtId="10" fontId="1" fillId="5" borderId="11" xfId="2" applyNumberFormat="1" applyFont="1" applyFill="1" applyBorder="1" applyProtection="1"/>
    <xf numFmtId="164" fontId="0" fillId="5" borderId="12" xfId="0" applyNumberFormat="1" applyFill="1" applyBorder="1"/>
    <xf numFmtId="9" fontId="0" fillId="0" borderId="9" xfId="0" applyNumberFormat="1" applyBorder="1"/>
    <xf numFmtId="10" fontId="0" fillId="0" borderId="1" xfId="0" applyNumberFormat="1" applyBorder="1"/>
    <xf numFmtId="10" fontId="0" fillId="0" borderId="33" xfId="0" applyNumberFormat="1" applyBorder="1"/>
    <xf numFmtId="9" fontId="0" fillId="0" borderId="11" xfId="0" applyNumberFormat="1" applyBorder="1"/>
    <xf numFmtId="10" fontId="0" fillId="0" borderId="3" xfId="2" applyNumberFormat="1" applyFont="1" applyBorder="1" applyProtection="1"/>
    <xf numFmtId="10" fontId="0" fillId="0" borderId="34" xfId="2" applyNumberFormat="1" applyFont="1" applyBorder="1" applyProtection="1"/>
    <xf numFmtId="10" fontId="8" fillId="0" borderId="0" xfId="2" applyNumberFormat="1" applyFont="1" applyBorder="1" applyProtection="1"/>
    <xf numFmtId="0" fontId="8" fillId="0" borderId="0" xfId="0" applyFont="1"/>
    <xf numFmtId="0" fontId="8" fillId="0" borderId="0" xfId="0" applyFont="1" applyAlignment="1">
      <alignment horizontal="center"/>
    </xf>
    <xf numFmtId="0" fontId="16" fillId="0" borderId="0" xfId="0" applyFont="1" applyAlignment="1">
      <alignment horizontal="center"/>
    </xf>
    <xf numFmtId="164" fontId="8" fillId="0" borderId="0" xfId="0" applyNumberFormat="1" applyFont="1"/>
    <xf numFmtId="10" fontId="0" fillId="0" borderId="0" xfId="2" applyNumberFormat="1" applyFont="1"/>
    <xf numFmtId="0" fontId="0" fillId="0" borderId="0" xfId="0" applyAlignment="1" applyProtection="1">
      <alignment horizontal="center"/>
      <protection locked="0"/>
    </xf>
    <xf numFmtId="43" fontId="0" fillId="0" borderId="17" xfId="1" applyFont="1" applyBorder="1" applyProtection="1"/>
    <xf numFmtId="43" fontId="0" fillId="0" borderId="20" xfId="1" applyFont="1" applyBorder="1" applyProtection="1"/>
    <xf numFmtId="170" fontId="11" fillId="7" borderId="0" xfId="0" applyNumberFormat="1" applyFont="1" applyFill="1" applyAlignment="1">
      <alignment horizontal="center"/>
    </xf>
    <xf numFmtId="14" fontId="0" fillId="0" borderId="28" xfId="0" applyNumberFormat="1" applyBorder="1" applyAlignment="1">
      <alignment horizontal="center"/>
    </xf>
    <xf numFmtId="14" fontId="0" fillId="0" borderId="36" xfId="0" applyNumberFormat="1" applyBorder="1" applyAlignment="1">
      <alignment horizontal="center"/>
    </xf>
    <xf numFmtId="14" fontId="0" fillId="0" borderId="37" xfId="0" applyNumberFormat="1" applyBorder="1" applyAlignment="1">
      <alignment horizontal="center"/>
    </xf>
    <xf numFmtId="165" fontId="0" fillId="0" borderId="0" xfId="0" applyNumberFormat="1"/>
    <xf numFmtId="165" fontId="0" fillId="0" borderId="17" xfId="0" applyNumberFormat="1" applyBorder="1"/>
    <xf numFmtId="0" fontId="0" fillId="0" borderId="0" xfId="0" applyAlignment="1">
      <alignment horizontal="left"/>
    </xf>
    <xf numFmtId="0" fontId="8" fillId="7" borderId="0" xfId="0" applyFont="1" applyFill="1" applyAlignment="1">
      <alignment horizontal="center" vertical="center"/>
    </xf>
    <xf numFmtId="0" fontId="13" fillId="7" borderId="0" xfId="3" applyFont="1" applyFill="1" applyAlignment="1" applyProtection="1">
      <alignment horizontal="center"/>
      <protection locked="0"/>
    </xf>
    <xf numFmtId="0" fontId="7" fillId="7" borderId="0" xfId="0" applyFont="1" applyFill="1" applyAlignment="1">
      <alignment horizontal="center"/>
    </xf>
    <xf numFmtId="0" fontId="0" fillId="3" borderId="35" xfId="0" applyFill="1" applyBorder="1" applyAlignment="1">
      <alignment horizontal="center"/>
    </xf>
    <xf numFmtId="0" fontId="10" fillId="7" borderId="0" xfId="0" applyFont="1" applyFill="1" applyAlignment="1">
      <alignment horizontal="center" vertical="center"/>
    </xf>
    <xf numFmtId="0" fontId="8" fillId="7" borderId="0" xfId="0" applyFont="1" applyFill="1" applyAlignment="1">
      <alignment horizontal="center"/>
    </xf>
    <xf numFmtId="0" fontId="7" fillId="7" borderId="35" xfId="0" applyFont="1" applyFill="1" applyBorder="1" applyAlignment="1">
      <alignment horizontal="center"/>
    </xf>
    <xf numFmtId="20" fontId="7" fillId="7" borderId="21" xfId="0" applyNumberFormat="1" applyFont="1" applyFill="1" applyBorder="1" applyAlignment="1">
      <alignment horizontal="center"/>
    </xf>
    <xf numFmtId="20" fontId="7" fillId="7" borderId="23" xfId="0" applyNumberFormat="1" applyFont="1" applyFill="1" applyBorder="1" applyAlignment="1">
      <alignment horizontal="center"/>
    </xf>
    <xf numFmtId="20" fontId="7" fillId="7" borderId="22" xfId="0" applyNumberFormat="1" applyFont="1" applyFill="1" applyBorder="1" applyAlignment="1">
      <alignment horizontal="center"/>
    </xf>
    <xf numFmtId="0" fontId="7" fillId="7" borderId="21" xfId="0" applyFont="1" applyFill="1" applyBorder="1" applyAlignment="1">
      <alignment horizontal="center"/>
    </xf>
    <xf numFmtId="0" fontId="7" fillId="7" borderId="23" xfId="0" applyFont="1" applyFill="1" applyBorder="1" applyAlignment="1">
      <alignment horizontal="center"/>
    </xf>
    <xf numFmtId="0" fontId="7" fillId="7" borderId="22" xfId="0" applyFont="1" applyFill="1" applyBorder="1" applyAlignment="1">
      <alignment horizontal="center"/>
    </xf>
    <xf numFmtId="168" fontId="7" fillId="7" borderId="21" xfId="0" applyNumberFormat="1" applyFont="1" applyFill="1" applyBorder="1" applyAlignment="1">
      <alignment horizontal="center"/>
    </xf>
    <xf numFmtId="168" fontId="7" fillId="7" borderId="22" xfId="0" applyNumberFormat="1" applyFont="1" applyFill="1" applyBorder="1" applyAlignment="1">
      <alignment horizontal="center"/>
    </xf>
    <xf numFmtId="0" fontId="7" fillId="7" borderId="13" xfId="0" applyFont="1" applyFill="1" applyBorder="1" applyAlignment="1">
      <alignment horizontal="center"/>
    </xf>
    <xf numFmtId="0" fontId="7" fillId="7" borderId="15" xfId="0" applyFont="1" applyFill="1" applyBorder="1" applyAlignment="1">
      <alignment horizontal="center"/>
    </xf>
    <xf numFmtId="0" fontId="7" fillId="7" borderId="19" xfId="0" applyFont="1" applyFill="1" applyBorder="1" applyAlignment="1">
      <alignment horizontal="center"/>
    </xf>
    <xf numFmtId="0" fontId="0" fillId="0" borderId="0" xfId="0" applyAlignment="1">
      <alignment horizontal="center"/>
    </xf>
  </cellXfs>
  <cellStyles count="4">
    <cellStyle name="Lien hypertexte" xfId="3" builtinId="8"/>
    <cellStyle name="Milliers" xfId="1" builtinId="3"/>
    <cellStyle name="Normal" xfId="0" builtinId="0"/>
    <cellStyle name="Pourcentage" xfId="2" builtinId="5"/>
  </cellStyles>
  <dxfs count="18">
    <dxf>
      <font>
        <color rgb="FFFF0000"/>
      </font>
    </dxf>
    <dxf>
      <font>
        <color rgb="FF00B050"/>
      </font>
    </dxf>
    <dxf>
      <font>
        <color rgb="FF00B050"/>
      </font>
    </dxf>
    <dxf>
      <font>
        <color rgb="FFFF0000"/>
      </font>
    </dxf>
    <dxf>
      <font>
        <color rgb="FF9C0006"/>
      </font>
      <fill>
        <patternFill>
          <bgColor rgb="FFFFC7CE"/>
        </patternFill>
      </fill>
    </dxf>
    <dxf>
      <numFmt numFmtId="165" formatCode="_-[$$-409]* #,##0.00_ ;_-[$$-409]* \-#,##0.00\ ;_-[$$-409]* &quot;-&quot;??_ ;_-@_ "/>
      <border diagonalUp="0" diagonalDown="0">
        <left/>
        <right style="medium">
          <color indexed="64"/>
        </right>
        <top/>
        <bottom/>
        <vertical/>
        <horizontal/>
      </border>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65" formatCode="_-[$$-409]* #,##0.00_ ;_-[$$-409]* \-#,##0.00\ ;_-[$$-409]* &quot;-&quot;??_ ;_-@_ "/>
      <protection locked="1" hidden="0"/>
    </dxf>
    <dxf>
      <numFmt numFmtId="19" formatCode="dd/mm/yyyy"/>
      <alignment horizontal="center"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protection locked="1" hidden="0"/>
    </dxf>
    <dxf>
      <protection locked="1" hidden="0"/>
    </dxf>
    <dxf>
      <border>
        <bottom style="medium">
          <color indexed="64"/>
        </bottom>
      </border>
    </dxf>
    <dxf>
      <font>
        <b/>
      </font>
      <alignment horizontal="center" vertical="bottom" textRotation="0" wrapText="0" indent="0" justifyLastLine="0" shrinkToFit="0" readingOrder="0"/>
      <border diagonalUp="0" diagonalDown="0" outline="0">
        <left/>
        <right/>
        <top/>
        <bottom/>
      </border>
      <protection locked="1" hidden="0"/>
    </dxf>
  </dxfs>
  <tableStyles count="0" defaultTableStyle="TableStyleMedium2" defaultPivotStyle="PivotStyleLight16"/>
  <colors>
    <mruColors>
      <color rgb="FFFF9900"/>
      <color rgb="FF1E2A70"/>
      <color rgb="FFFFFFE1"/>
      <color rgb="FF1B2563"/>
      <color rgb="FF000058"/>
      <color rgb="FF212C68"/>
      <color rgb="FF242C66"/>
      <color rgb="FF1F2657"/>
      <color rgb="FF262E6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17/06/relationships/rdSupportingPropertyBagStructure" Target="richData/rdsupportingpropertybagstructure.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microsoft.com/office/2017/06/relationships/richStyles" Target="richData/rich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17/06/relationships/rdRichValueStructure" Target="richData/rdrichvaluestructure.xml"/><Relationship Id="rId5" Type="http://schemas.openxmlformats.org/officeDocument/2006/relationships/theme" Target="theme/theme1.xml"/><Relationship Id="rId15" Type="http://schemas.microsoft.com/office/2017/06/relationships/rdRichValueTypes" Target="richData/rdRichValueTypes.xml"/><Relationship Id="rId10"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Efficient Frontier &amp; CAL</a:t>
            </a:r>
          </a:p>
        </c:rich>
      </c:tx>
      <c:layout>
        <c:manualLayout>
          <c:xMode val="edge"/>
          <c:yMode val="edge"/>
          <c:x val="0.34154600192360896"/>
          <c:y val="2.305475736834482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486223713316659E-2"/>
          <c:y val="9.2474588332396745E-2"/>
          <c:w val="0.76517701435810692"/>
          <c:h val="0.61195737108800297"/>
        </c:manualLayout>
      </c:layout>
      <c:scatterChart>
        <c:scatterStyle val="smoothMarker"/>
        <c:varyColors val="0"/>
        <c:ser>
          <c:idx val="0"/>
          <c:order val="0"/>
          <c:tx>
            <c:v>Efficient Frontier</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'03_Efficient Frontier'!$L$5:$L$16</c:f>
              <c:numCache>
                <c:formatCode>0.00%</c:formatCode>
                <c:ptCount val="12"/>
                <c:pt idx="0">
                  <c:v>0.12804446889547938</c:v>
                </c:pt>
                <c:pt idx="1">
                  <c:v>0.11068044146339515</c:v>
                </c:pt>
                <c:pt idx="2">
                  <c:v>0.10698116969721588</c:v>
                </c:pt>
                <c:pt idx="3">
                  <c:v>0.10740986141519734</c:v>
                </c:pt>
                <c:pt idx="4">
                  <c:v>0.10908414203478439</c:v>
                </c:pt>
                <c:pt idx="5">
                  <c:v>0.11175264742853804</c:v>
                </c:pt>
                <c:pt idx="6">
                  <c:v>0.11534645713250945</c:v>
                </c:pt>
                <c:pt idx="7">
                  <c:v>0.11990104884162102</c:v>
                </c:pt>
                <c:pt idx="8">
                  <c:v>0.12545223561854385</c:v>
                </c:pt>
                <c:pt idx="9">
                  <c:v>0.13222161177263569</c:v>
                </c:pt>
                <c:pt idx="10">
                  <c:v>0.14081140579981521</c:v>
                </c:pt>
                <c:pt idx="11">
                  <c:v>0.16559843031376983</c:v>
                </c:pt>
              </c:numCache>
            </c:numRef>
          </c:xVal>
          <c:yVal>
            <c:numRef>
              <c:f>'03_Efficient Frontier'!$K$5:$K$16</c:f>
              <c:numCache>
                <c:formatCode>0.00%</c:formatCode>
                <c:ptCount val="12"/>
                <c:pt idx="0">
                  <c:v>0.1842293761933306</c:v>
                </c:pt>
                <c:pt idx="1">
                  <c:v>0.19151493470765182</c:v>
                </c:pt>
                <c:pt idx="2">
                  <c:v>0.19880055407645847</c:v>
                </c:pt>
                <c:pt idx="3">
                  <c:v>0.20608617089524234</c:v>
                </c:pt>
                <c:pt idx="4">
                  <c:v>0.21337178799058196</c:v>
                </c:pt>
                <c:pt idx="5">
                  <c:v>0.2206576192067054</c:v>
                </c:pt>
                <c:pt idx="6">
                  <c:v>0.22794324413047123</c:v>
                </c:pt>
                <c:pt idx="7">
                  <c:v>0.23522864165341231</c:v>
                </c:pt>
                <c:pt idx="8">
                  <c:v>0.24251425967047652</c:v>
                </c:pt>
                <c:pt idx="9">
                  <c:v>0.2497998769704847</c:v>
                </c:pt>
                <c:pt idx="10">
                  <c:v>0.25708549442166667</c:v>
                </c:pt>
                <c:pt idx="11">
                  <c:v>0.26437120496178834</c:v>
                </c:pt>
              </c:numCache>
            </c:numRef>
          </c:yVal>
          <c:smooth val="1"/>
          <c:extLst>
            <c:ext xmlns:c16="http://schemas.microsoft.com/office/drawing/2014/chart" uri="{C3380CC4-5D6E-409C-BE32-E72D297353CC}">
              <c16:uniqueId val="{00000000-1A59-43F3-A589-3B7039D49A66}"/>
            </c:ext>
          </c:extLst>
        </c:ser>
        <c:ser>
          <c:idx val="1"/>
          <c:order val="1"/>
          <c:tx>
            <c:v>Max Sharpe</c:v>
          </c:tx>
          <c:spPr>
            <a:ln w="19050" cap="rnd">
              <a:solidFill>
                <a:schemeClr val="accent2"/>
              </a:solidFill>
              <a:round/>
            </a:ln>
            <a:effectLst/>
          </c:spPr>
          <c:marker>
            <c:symbol val="circle"/>
            <c:size val="6"/>
            <c:spPr>
              <a:solidFill>
                <a:srgbClr val="FF0000"/>
              </a:solidFill>
              <a:ln w="9525">
                <a:noFill/>
              </a:ln>
              <a:effectLst/>
            </c:spPr>
          </c:marker>
          <c:xVal>
            <c:numRef>
              <c:f>'03_Efficient Frontier'!$L$17</c:f>
              <c:numCache>
                <c:formatCode>0.00%</c:formatCode>
                <c:ptCount val="1"/>
                <c:pt idx="0">
                  <c:v>0.11782782810199348</c:v>
                </c:pt>
              </c:numCache>
            </c:numRef>
          </c:xVal>
          <c:yVal>
            <c:numRef>
              <c:f>'03_Efficient Frontier'!$K$17</c:f>
              <c:numCache>
                <c:formatCode>0.00%</c:formatCode>
                <c:ptCount val="1"/>
                <c:pt idx="0">
                  <c:v>0.23211063991706524</c:v>
                </c:pt>
              </c:numCache>
            </c:numRef>
          </c:yVal>
          <c:smooth val="1"/>
          <c:extLst>
            <c:ext xmlns:c16="http://schemas.microsoft.com/office/drawing/2014/chart" uri="{C3380CC4-5D6E-409C-BE32-E72D297353CC}">
              <c16:uniqueId val="{00000001-1A59-43F3-A589-3B7039D49A66}"/>
            </c:ext>
          </c:extLst>
        </c:ser>
        <c:ser>
          <c:idx val="2"/>
          <c:order val="2"/>
          <c:tx>
            <c:v>Min Var</c:v>
          </c:tx>
          <c:spPr>
            <a:ln w="19050" cap="rnd">
              <a:solidFill>
                <a:schemeClr val="accent3"/>
              </a:solidFill>
              <a:round/>
            </a:ln>
            <a:effectLst/>
          </c:spPr>
          <c:marker>
            <c:symbol val="triangle"/>
            <c:size val="7"/>
            <c:spPr>
              <a:solidFill>
                <a:schemeClr val="accent6">
                  <a:lumMod val="60000"/>
                  <a:lumOff val="40000"/>
                </a:schemeClr>
              </a:solidFill>
              <a:ln w="9525">
                <a:noFill/>
              </a:ln>
              <a:effectLst/>
            </c:spPr>
          </c:marker>
          <c:dPt>
            <c:idx val="0"/>
            <c:marker>
              <c:symbol val="triangle"/>
              <c:size val="6"/>
              <c:spPr>
                <a:solidFill>
                  <a:schemeClr val="accent6">
                    <a:lumMod val="60000"/>
                    <a:lumOff val="40000"/>
                  </a:schemeClr>
                </a:solidFill>
                <a:ln w="9525">
                  <a:noFill/>
                </a:ln>
                <a:effectLst/>
              </c:spPr>
            </c:marker>
            <c:bubble3D val="0"/>
            <c:extLst>
              <c:ext xmlns:c16="http://schemas.microsoft.com/office/drawing/2014/chart" uri="{C3380CC4-5D6E-409C-BE32-E72D297353CC}">
                <c16:uniqueId val="{00000003-1A59-43F3-A589-3B7039D49A66}"/>
              </c:ext>
            </c:extLst>
          </c:dPt>
          <c:xVal>
            <c:numRef>
              <c:f>'03_Efficient Frontier'!$L$18</c:f>
              <c:numCache>
                <c:formatCode>0.00%</c:formatCode>
                <c:ptCount val="1"/>
                <c:pt idx="0">
                  <c:v>0.10690989587884811</c:v>
                </c:pt>
              </c:numCache>
            </c:numRef>
          </c:xVal>
          <c:yVal>
            <c:numRef>
              <c:f>'03_Efficient Frontier'!$K$18</c:f>
              <c:numCache>
                <c:formatCode>0.00%</c:formatCode>
                <c:ptCount val="1"/>
                <c:pt idx="0">
                  <c:v>0.20067593934188305</c:v>
                </c:pt>
              </c:numCache>
            </c:numRef>
          </c:yVal>
          <c:smooth val="1"/>
          <c:extLst>
            <c:ext xmlns:c16="http://schemas.microsoft.com/office/drawing/2014/chart" uri="{C3380CC4-5D6E-409C-BE32-E72D297353CC}">
              <c16:uniqueId val="{00000002-1A59-43F3-A589-3B7039D49A66}"/>
            </c:ext>
          </c:extLst>
        </c:ser>
        <c:ser>
          <c:idx val="3"/>
          <c:order val="3"/>
          <c:tx>
            <c:v>CAL</c:v>
          </c:tx>
          <c:spPr>
            <a:ln w="9525" cap="rnd">
              <a:solidFill>
                <a:srgbClr val="FF0000"/>
              </a:solidFill>
              <a:round/>
            </a:ln>
            <a:effectLst/>
          </c:spPr>
          <c:marker>
            <c:symbol val="none"/>
          </c:marker>
          <c:dPt>
            <c:idx val="2"/>
            <c:marker>
              <c:symbol val="none"/>
            </c:marker>
            <c:bubble3D val="0"/>
            <c:spPr>
              <a:ln w="9525" cap="rnd">
                <a:solidFill>
                  <a:srgbClr val="FF0000">
                    <a:alpha val="99000"/>
                  </a:srgbClr>
                </a:solidFill>
                <a:round/>
              </a:ln>
              <a:effectLst/>
            </c:spPr>
            <c:extLst>
              <c:ext xmlns:c16="http://schemas.microsoft.com/office/drawing/2014/chart" uri="{C3380CC4-5D6E-409C-BE32-E72D297353CC}">
                <c16:uniqueId val="{00000006-1A59-43F3-A589-3B7039D49A66}"/>
              </c:ext>
            </c:extLst>
          </c:dPt>
          <c:xVal>
            <c:numRef>
              <c:f>'03_Efficient Frontier'!$D$23:$D$25</c:f>
              <c:numCache>
                <c:formatCode>0.00%</c:formatCode>
                <c:ptCount val="3"/>
                <c:pt idx="0">
                  <c:v>0</c:v>
                </c:pt>
                <c:pt idx="1">
                  <c:v>0.11782782810199348</c:v>
                </c:pt>
                <c:pt idx="2">
                  <c:v>0.23565565620398696</c:v>
                </c:pt>
              </c:numCache>
            </c:numRef>
          </c:xVal>
          <c:yVal>
            <c:numRef>
              <c:f>'03_Efficient Frontier'!$C$23:$C$25</c:f>
              <c:numCache>
                <c:formatCode>0.00%</c:formatCode>
                <c:ptCount val="3"/>
                <c:pt idx="0">
                  <c:v>4.6800000000000001E-2</c:v>
                </c:pt>
                <c:pt idx="1">
                  <c:v>0.23211063991706524</c:v>
                </c:pt>
                <c:pt idx="2">
                  <c:v>0.41742127983413047</c:v>
                </c:pt>
              </c:numCache>
            </c:numRef>
          </c:yVal>
          <c:smooth val="1"/>
          <c:extLst>
            <c:ext xmlns:c16="http://schemas.microsoft.com/office/drawing/2014/chart" uri="{C3380CC4-5D6E-409C-BE32-E72D297353CC}">
              <c16:uniqueId val="{00000005-1A59-43F3-A589-3B7039D49A66}"/>
            </c:ext>
          </c:extLst>
        </c:ser>
        <c:dLbls>
          <c:showLegendKey val="0"/>
          <c:showVal val="0"/>
          <c:showCatName val="0"/>
          <c:showSerName val="0"/>
          <c:showPercent val="0"/>
          <c:showBubbleSize val="0"/>
        </c:dLbls>
        <c:axId val="299849327"/>
        <c:axId val="300182735"/>
      </c:scatterChart>
      <c:valAx>
        <c:axId val="299849327"/>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Volatility</a:t>
                </a:r>
              </a:p>
            </c:rich>
          </c:tx>
          <c:layout>
            <c:manualLayout>
              <c:xMode val="edge"/>
              <c:yMode val="edge"/>
              <c:x val="0.44006074141643442"/>
              <c:y val="0.7572983535716316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182735"/>
        <c:crosses val="autoZero"/>
        <c:crossBetween val="midCat"/>
        <c:majorUnit val="2.0000000000000004E-2"/>
      </c:valAx>
      <c:valAx>
        <c:axId val="300182735"/>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Expected</a:t>
                </a:r>
                <a:r>
                  <a:rPr lang="en-US" baseline="0"/>
                  <a:t> Return</a:t>
                </a:r>
                <a:endParaRPr lang="en-US"/>
              </a:p>
            </c:rich>
          </c:tx>
          <c:layout>
            <c:manualLayout>
              <c:xMode val="edge"/>
              <c:yMode val="edge"/>
              <c:x val="1.7639903870008657E-2"/>
              <c:y val="0.3136252154050478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849327"/>
        <c:crosses val="autoZero"/>
        <c:crossBetween val="midCat"/>
      </c:valAx>
      <c:spPr>
        <a:noFill/>
        <a:ln>
          <a:noFill/>
        </a:ln>
        <a:effectLst/>
      </c:spPr>
    </c:plotArea>
    <c:legend>
      <c:legendPos val="r"/>
      <c:legendEntry>
        <c:idx val="0"/>
        <c:delete val="1"/>
      </c:legendEntry>
      <c:layout>
        <c:manualLayout>
          <c:xMode val="edge"/>
          <c:yMode val="edge"/>
          <c:x val="0.2483510421043868"/>
          <c:y val="0.80382519370635375"/>
          <c:w val="0.45793555993925861"/>
          <c:h val="8.558713326233448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300134041883643"/>
          <c:y val="9.9501038684907589E-2"/>
          <c:w val="0.53311207958018625"/>
          <c:h val="0.63714779576384784"/>
        </c:manualLayout>
      </c:layout>
      <c:pieChart>
        <c:varyColors val="1"/>
        <c:ser>
          <c:idx val="0"/>
          <c:order val="0"/>
          <c:tx>
            <c:v>Allocation</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05-4D84-BFDB-A572E128011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05-4D84-BFDB-A572E128011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05-4D84-BFDB-A572E128011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05-4D84-BFDB-A572E128011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05-4D84-BFDB-A572E128011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C05-4D84-BFDB-A572E128011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C05-4D84-BFDB-A572E128011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C05-4D84-BFDB-A572E128011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1"/>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'04_Dashboard'!$B$53:$B$60</c:f>
              <c:strCache>
                <c:ptCount val="8"/>
                <c:pt idx="0">
                  <c:v>AAPL</c:v>
                </c:pt>
                <c:pt idx="1">
                  <c:v>MSFT</c:v>
                </c:pt>
                <c:pt idx="2">
                  <c:v>JPM</c:v>
                </c:pt>
                <c:pt idx="3">
                  <c:v>XOM</c:v>
                </c:pt>
                <c:pt idx="4">
                  <c:v>JNJ</c:v>
                </c:pt>
                <c:pt idx="5">
                  <c:v>AMZN</c:v>
                </c:pt>
                <c:pt idx="6">
                  <c:v>KO</c:v>
                </c:pt>
                <c:pt idx="7">
                  <c:v>WMT</c:v>
                </c:pt>
              </c:strCache>
            </c:strRef>
          </c:cat>
          <c:val>
            <c:numRef>
              <c:f>'04_Dashboard'!$C$53:$C$60</c:f>
              <c:numCache>
                <c:formatCode>0.00%</c:formatCode>
                <c:ptCount val="8"/>
                <c:pt idx="0">
                  <c:v>5.5123194505901182E-2</c:v>
                </c:pt>
                <c:pt idx="1">
                  <c:v>6.8029828351730978E-2</c:v>
                </c:pt>
                <c:pt idx="2">
                  <c:v>0.23703658611445275</c:v>
                </c:pt>
                <c:pt idx="3">
                  <c:v>0.05</c:v>
                </c:pt>
                <c:pt idx="4">
                  <c:v>0.23830483312257983</c:v>
                </c:pt>
                <c:pt idx="5">
                  <c:v>7.3548182890605718E-2</c:v>
                </c:pt>
                <c:pt idx="6">
                  <c:v>0.13844609241220382</c:v>
                </c:pt>
                <c:pt idx="7">
                  <c:v>0.13951147450468435</c:v>
                </c:pt>
              </c:numCache>
            </c:numRef>
          </c:val>
          <c:extLst>
            <c:ext xmlns:c16="http://schemas.microsoft.com/office/drawing/2014/chart" uri="{C3380CC4-5D6E-409C-BE32-E72D297353CC}">
              <c16:uniqueId val="{00000000-1EA5-47DD-9E0D-7F2F44A72693}"/>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4.9999836667079231E-2"/>
          <c:y val="0.89519895232274216"/>
          <c:w val="0.89999978445829343"/>
          <c:h val="9.3466438749008257E-2"/>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972130620424582"/>
          <c:y val="6.7432999016260181E-2"/>
          <c:w val="0.76880663421345841"/>
          <c:h val="0.82661233135331769"/>
        </c:manualLayout>
      </c:layout>
      <c:barChart>
        <c:barDir val="bar"/>
        <c:grouping val="clustered"/>
        <c:varyColors val="0"/>
        <c:ser>
          <c:idx val="0"/>
          <c:order val="0"/>
          <c:tx>
            <c:v>Allocation</c:v>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'04_Dashboard'!$B$53:$B$60</c:f>
              <c:strCache>
                <c:ptCount val="8"/>
                <c:pt idx="0">
                  <c:v>AAPL</c:v>
                </c:pt>
                <c:pt idx="1">
                  <c:v>MSFT</c:v>
                </c:pt>
                <c:pt idx="2">
                  <c:v>JPM</c:v>
                </c:pt>
                <c:pt idx="3">
                  <c:v>XOM</c:v>
                </c:pt>
                <c:pt idx="4">
                  <c:v>JNJ</c:v>
                </c:pt>
                <c:pt idx="5">
                  <c:v>AMZN</c:v>
                </c:pt>
                <c:pt idx="6">
                  <c:v>KO</c:v>
                </c:pt>
                <c:pt idx="7">
                  <c:v>WMT</c:v>
                </c:pt>
              </c:strCache>
            </c:strRef>
          </c:cat>
          <c:val>
            <c:numRef>
              <c:f>'04_Dashboard'!$C$53:$C$60</c:f>
              <c:numCache>
                <c:formatCode>0.00%</c:formatCode>
                <c:ptCount val="8"/>
                <c:pt idx="0">
                  <c:v>5.5123194505901182E-2</c:v>
                </c:pt>
                <c:pt idx="1">
                  <c:v>6.8029828351730978E-2</c:v>
                </c:pt>
                <c:pt idx="2">
                  <c:v>0.23703658611445275</c:v>
                </c:pt>
                <c:pt idx="3">
                  <c:v>0.05</c:v>
                </c:pt>
                <c:pt idx="4">
                  <c:v>0.23830483312257983</c:v>
                </c:pt>
                <c:pt idx="5">
                  <c:v>7.3548182890605718E-2</c:v>
                </c:pt>
                <c:pt idx="6">
                  <c:v>0.13844609241220382</c:v>
                </c:pt>
                <c:pt idx="7">
                  <c:v>0.13951147450468435</c:v>
                </c:pt>
              </c:numCache>
            </c:numRef>
          </c:val>
          <c:extLst>
            <c:ext xmlns:c16="http://schemas.microsoft.com/office/drawing/2014/chart" uri="{C3380CC4-5D6E-409C-BE32-E72D297353CC}">
              <c16:uniqueId val="{00000000-6DEA-42A9-AA58-E8D43EE3878C}"/>
            </c:ext>
          </c:extLst>
        </c:ser>
        <c:dLbls>
          <c:dLblPos val="outEnd"/>
          <c:showLegendKey val="0"/>
          <c:showVal val="1"/>
          <c:showCatName val="0"/>
          <c:showSerName val="0"/>
          <c:showPercent val="0"/>
          <c:showBubbleSize val="0"/>
        </c:dLbls>
        <c:gapWidth val="150"/>
        <c:axId val="1518943007"/>
        <c:axId val="300245615"/>
      </c:barChart>
      <c:valAx>
        <c:axId val="300245615"/>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18943007"/>
        <c:crosses val="autoZero"/>
        <c:crossBetween val="between"/>
      </c:valAx>
      <c:catAx>
        <c:axId val="151894300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245615"/>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747806385830294"/>
          <c:y val="6.0606060606060608E-2"/>
          <c:w val="0.76567007790287422"/>
          <c:h val="0.77182707533459149"/>
        </c:manualLayout>
      </c:layout>
      <c:scatterChart>
        <c:scatterStyle val="smoothMarker"/>
        <c:varyColors val="0"/>
        <c:ser>
          <c:idx val="0"/>
          <c:order val="0"/>
          <c:tx>
            <c:v>Dash Efficient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'03_Efficient Frontier'!$L$5:$L$16</c:f>
              <c:numCache>
                <c:formatCode>0.00%</c:formatCode>
                <c:ptCount val="12"/>
                <c:pt idx="0">
                  <c:v>0.12804446889547938</c:v>
                </c:pt>
                <c:pt idx="1">
                  <c:v>0.11068044146339515</c:v>
                </c:pt>
                <c:pt idx="2">
                  <c:v>0.10698116969721588</c:v>
                </c:pt>
                <c:pt idx="3">
                  <c:v>0.10740986141519734</c:v>
                </c:pt>
                <c:pt idx="4">
                  <c:v>0.10908414203478439</c:v>
                </c:pt>
                <c:pt idx="5">
                  <c:v>0.11175264742853804</c:v>
                </c:pt>
                <c:pt idx="6">
                  <c:v>0.11534645713250945</c:v>
                </c:pt>
                <c:pt idx="7">
                  <c:v>0.11990104884162102</c:v>
                </c:pt>
                <c:pt idx="8">
                  <c:v>0.12545223561854385</c:v>
                </c:pt>
                <c:pt idx="9">
                  <c:v>0.13222161177263569</c:v>
                </c:pt>
                <c:pt idx="10">
                  <c:v>0.14081140579981521</c:v>
                </c:pt>
                <c:pt idx="11">
                  <c:v>0.16559843031376983</c:v>
                </c:pt>
              </c:numCache>
            </c:numRef>
          </c:xVal>
          <c:yVal>
            <c:numRef>
              <c:f>'03_Efficient Frontier'!$K$5:$K$16</c:f>
              <c:numCache>
                <c:formatCode>0.00%</c:formatCode>
                <c:ptCount val="12"/>
                <c:pt idx="0">
                  <c:v>0.1842293761933306</c:v>
                </c:pt>
                <c:pt idx="1">
                  <c:v>0.19151493470765182</c:v>
                </c:pt>
                <c:pt idx="2">
                  <c:v>0.19880055407645847</c:v>
                </c:pt>
                <c:pt idx="3">
                  <c:v>0.20608617089524234</c:v>
                </c:pt>
                <c:pt idx="4">
                  <c:v>0.21337178799058196</c:v>
                </c:pt>
                <c:pt idx="5">
                  <c:v>0.2206576192067054</c:v>
                </c:pt>
                <c:pt idx="6">
                  <c:v>0.22794324413047123</c:v>
                </c:pt>
                <c:pt idx="7">
                  <c:v>0.23522864165341231</c:v>
                </c:pt>
                <c:pt idx="8">
                  <c:v>0.24251425967047652</c:v>
                </c:pt>
                <c:pt idx="9">
                  <c:v>0.2497998769704847</c:v>
                </c:pt>
                <c:pt idx="10">
                  <c:v>0.25708549442166667</c:v>
                </c:pt>
                <c:pt idx="11">
                  <c:v>0.26437120496178834</c:v>
                </c:pt>
              </c:numCache>
            </c:numRef>
          </c:yVal>
          <c:smooth val="1"/>
          <c:extLst>
            <c:ext xmlns:c16="http://schemas.microsoft.com/office/drawing/2014/chart" uri="{C3380CC4-5D6E-409C-BE32-E72D297353CC}">
              <c16:uniqueId val="{00000000-B12A-453E-B07A-5BC2CA854A99}"/>
            </c:ext>
          </c:extLst>
        </c:ser>
        <c:ser>
          <c:idx val="1"/>
          <c:order val="1"/>
          <c:tx>
            <c:v>Selected Portfolio</c:v>
          </c:tx>
          <c:spPr>
            <a:ln w="19050"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circle"/>
              <c:size val="6"/>
              <c:spPr>
                <a:solidFill>
                  <a:schemeClr val="accent6"/>
                </a:solidFill>
                <a:ln w="9525">
                  <a:noFill/>
                </a:ln>
                <a:effectLst/>
              </c:spPr>
            </c:marker>
            <c:bubble3D val="0"/>
            <c:extLst>
              <c:ext xmlns:c16="http://schemas.microsoft.com/office/drawing/2014/chart" uri="{C3380CC4-5D6E-409C-BE32-E72D297353CC}">
                <c16:uniqueId val="{00000003-B12A-453E-B07A-5BC2CA854A99}"/>
              </c:ext>
            </c:extLst>
          </c:dPt>
          <c:dLbls>
            <c:dLbl>
              <c:idx val="0"/>
              <c:layout>
                <c:manualLayout>
                  <c:x val="-0.32884878914635224"/>
                  <c:y val="0.27118197002234223"/>
                </c:manualLayout>
              </c:layout>
              <c:tx>
                <c:rich>
                  <a:bodyPr rot="0" spcFirstLastPara="1" vertOverflow="clip" horzOverflow="clip" vert="horz" wrap="square" lIns="36576" tIns="18288" rIns="36576" bIns="18288" anchor="ctr" anchorCtr="1">
                    <a:spAutoFit/>
                  </a:bodyPr>
                  <a:lstStyle/>
                  <a:p>
                    <a:pPr>
                      <a:defRPr sz="900" b="0" i="0" u="none" strike="noStrike" kern="1200" baseline="0">
                        <a:solidFill>
                          <a:schemeClr val="tx1">
                            <a:lumMod val="65000"/>
                            <a:lumOff val="35000"/>
                          </a:schemeClr>
                        </a:solidFill>
                        <a:latin typeface="+mn-lt"/>
                        <a:ea typeface="+mn-ea"/>
                        <a:cs typeface="+mn-cs"/>
                      </a:defRPr>
                    </a:pPr>
                    <a:fld id="{3001D5A1-291B-4E6E-A375-C22844D0368B}" type="SERIESNAME">
                      <a:rPr lang="en-US" sz="800" b="1">
                        <a:solidFill>
                          <a:schemeClr val="tx1">
                            <a:lumMod val="65000"/>
                            <a:lumOff val="35000"/>
                          </a:schemeClr>
                        </a:solidFill>
                        <a:latin typeface="+mn-lt"/>
                        <a:ea typeface="+mn-ea"/>
                        <a:cs typeface="+mn-cs"/>
                      </a:rPr>
                      <a:pPr>
                        <a:defRPr>
                          <a:solidFill>
                            <a:schemeClr val="tx1">
                              <a:lumMod val="65000"/>
                              <a:lumOff val="35000"/>
                            </a:schemeClr>
                          </a:solidFill>
                        </a:defRPr>
                      </a:pPr>
                      <a:t>[NOM DE SÉRIE]</a:t>
                    </a:fld>
                    <a:r>
                      <a:rPr lang="en-US" sz="800" baseline="0">
                        <a:solidFill>
                          <a:schemeClr val="tx1">
                            <a:lumMod val="65000"/>
                            <a:lumOff val="35000"/>
                          </a:schemeClr>
                        </a:solidFill>
                        <a:latin typeface="+mn-lt"/>
                        <a:ea typeface="+mn-ea"/>
                        <a:cs typeface="+mn-cs"/>
                      </a:rPr>
                      <a:t> </a:t>
                    </a:r>
                    <a:fld id="{F62D9EA8-98EC-49F0-A3E8-23B572E0A21C}" type="XVALUE">
                      <a:rPr lang="en-US" sz="800" b="1" baseline="0">
                        <a:solidFill>
                          <a:schemeClr val="tx1">
                            <a:lumMod val="65000"/>
                            <a:lumOff val="35000"/>
                          </a:schemeClr>
                        </a:solidFill>
                        <a:latin typeface="+mn-lt"/>
                        <a:ea typeface="+mn-ea"/>
                        <a:cs typeface="+mn-cs"/>
                      </a:rPr>
                      <a:pPr>
                        <a:defRPr>
                          <a:solidFill>
                            <a:schemeClr val="tx1">
                              <a:lumMod val="65000"/>
                              <a:lumOff val="35000"/>
                            </a:schemeClr>
                          </a:solidFill>
                        </a:defRPr>
                      </a:pPr>
                      <a:t>[VALEUR X]</a:t>
                    </a:fld>
                    <a:r>
                      <a:rPr lang="en-US" sz="800" b="1" baseline="0">
                        <a:solidFill>
                          <a:schemeClr val="tx1">
                            <a:lumMod val="65000"/>
                            <a:lumOff val="35000"/>
                          </a:schemeClr>
                        </a:solidFill>
                        <a:latin typeface="+mn-lt"/>
                        <a:ea typeface="+mn-ea"/>
                        <a:cs typeface="+mn-cs"/>
                      </a:rPr>
                      <a:t>; </a:t>
                    </a:r>
                    <a:fld id="{AB8C82E2-241E-49B1-BD18-3007E55409C1}" type="YVALUE">
                      <a:rPr lang="en-US" sz="800" b="1" baseline="0">
                        <a:solidFill>
                          <a:schemeClr val="tx1">
                            <a:lumMod val="65000"/>
                            <a:lumOff val="35000"/>
                          </a:schemeClr>
                        </a:solidFill>
                        <a:latin typeface="+mn-lt"/>
                        <a:ea typeface="+mn-ea"/>
                        <a:cs typeface="+mn-cs"/>
                      </a:rPr>
                      <a:pPr>
                        <a:defRPr>
                          <a:solidFill>
                            <a:schemeClr val="tx1">
                              <a:lumMod val="65000"/>
                              <a:lumOff val="35000"/>
                            </a:schemeClr>
                          </a:solidFill>
                        </a:defRPr>
                      </a:pPr>
                      <a:t>[VALEUR Y]</a:t>
                    </a:fld>
                    <a:endParaRPr lang="en-US" sz="800" b="1" baseline="0">
                      <a:solidFill>
                        <a:schemeClr val="tx1">
                          <a:lumMod val="65000"/>
                          <a:lumOff val="35000"/>
                        </a:schemeClr>
                      </a:solidFill>
                      <a:latin typeface="+mn-lt"/>
                      <a:ea typeface="+mn-ea"/>
                      <a:cs typeface="+mn-cs"/>
                    </a:endParaRPr>
                  </a:p>
                </c:rich>
              </c:tx>
              <c:spPr>
                <a:no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1"/>
              <c:showSerName val="1"/>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3351115739955863"/>
                      <c:h val="0.15411769809765516"/>
                    </c:manualLayout>
                  </c15:layout>
                  <c15:dlblFieldTable/>
                  <c15:showDataLabelsRange val="0"/>
                </c:ext>
                <c:ext xmlns:c16="http://schemas.microsoft.com/office/drawing/2014/chart" uri="{C3380CC4-5D6E-409C-BE32-E72D297353CC}">
                  <c16:uniqueId val="{00000003-B12A-453E-B07A-5BC2CA854A99}"/>
                </c:ext>
              </c:extLst>
            </c:dLbl>
            <c:spPr>
              <a:noFill/>
              <a:ln>
                <a:solidFill>
                  <a:schemeClr val="dk1">
                    <a:lumMod val="25000"/>
                    <a:lumOff val="75000"/>
                  </a:scheme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1"/>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'04_Dashboard'!$C$9</c:f>
              <c:numCache>
                <c:formatCode>0.00%</c:formatCode>
                <c:ptCount val="1"/>
                <c:pt idx="0">
                  <c:v>0.11782782810199348</c:v>
                </c:pt>
              </c:numCache>
            </c:numRef>
          </c:xVal>
          <c:yVal>
            <c:numRef>
              <c:f>'04_Dashboard'!$C$8</c:f>
              <c:numCache>
                <c:formatCode>0.00%</c:formatCode>
                <c:ptCount val="1"/>
                <c:pt idx="0">
                  <c:v>0.23211063991706524</c:v>
                </c:pt>
              </c:numCache>
            </c:numRef>
          </c:yVal>
          <c:smooth val="1"/>
          <c:extLst>
            <c:ext xmlns:c16="http://schemas.microsoft.com/office/drawing/2014/chart" uri="{C3380CC4-5D6E-409C-BE32-E72D297353CC}">
              <c16:uniqueId val="{00000001-B12A-453E-B07A-5BC2CA854A99}"/>
            </c:ext>
          </c:extLst>
        </c:ser>
        <c:ser>
          <c:idx val="2"/>
          <c:order val="2"/>
          <c:tx>
            <c:v>Optimal Portfolio</c:v>
          </c:tx>
          <c:spPr>
            <a:ln w="19050" cap="rnd">
              <a:solidFill>
                <a:schemeClr val="accent3"/>
              </a:solidFill>
              <a:round/>
            </a:ln>
            <a:effectLst/>
          </c:spPr>
          <c:marker>
            <c:symbol val="circle"/>
            <c:size val="5"/>
            <c:spPr>
              <a:solidFill>
                <a:schemeClr val="accent3"/>
              </a:solidFill>
              <a:ln w="9525">
                <a:solidFill>
                  <a:schemeClr val="accent3"/>
                </a:solidFill>
              </a:ln>
              <a:effectLst/>
            </c:spPr>
          </c:marker>
          <c:dPt>
            <c:idx val="0"/>
            <c:marker>
              <c:symbol val="circle"/>
              <c:size val="6"/>
              <c:spPr>
                <a:solidFill>
                  <a:schemeClr val="accent2"/>
                </a:solidFill>
                <a:ln w="9525">
                  <a:noFill/>
                </a:ln>
                <a:effectLst/>
              </c:spPr>
            </c:marker>
            <c:bubble3D val="0"/>
            <c:extLst>
              <c:ext xmlns:c16="http://schemas.microsoft.com/office/drawing/2014/chart" uri="{C3380CC4-5D6E-409C-BE32-E72D297353CC}">
                <c16:uniqueId val="{00000003-32C9-43DA-8457-C45CC11F4065}"/>
              </c:ext>
            </c:extLst>
          </c:dPt>
          <c:dLbls>
            <c:dLbl>
              <c:idx val="0"/>
              <c:layout>
                <c:manualLayout>
                  <c:x val="-0.31183883718411015"/>
                  <c:y val="-8.5426563415110318E-2"/>
                </c:manualLayout>
              </c:layout>
              <c:tx>
                <c:rich>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mn-lt"/>
                        <a:ea typeface="+mn-ea"/>
                        <a:cs typeface="+mn-cs"/>
                      </a:defRPr>
                    </a:pPr>
                    <a:fld id="{BFE39866-C182-4958-B9D8-ABB6E1CDEA08}" type="SERIESNAME">
                      <a:rPr lang="en-US" sz="800"/>
                      <a:pPr>
                        <a:defRPr sz="800" b="1"/>
                      </a:pPr>
                      <a:t>[NOM DE SÉRIE]</a:t>
                    </a:fld>
                    <a:br>
                      <a:rPr lang="en-US" sz="800" baseline="0"/>
                    </a:br>
                    <a:fld id="{EA16DA62-6533-4F79-A95E-265C5E498A7B}" type="XVALUE">
                      <a:rPr lang="en-US" sz="800" baseline="0"/>
                      <a:pPr>
                        <a:defRPr sz="800" b="1"/>
                      </a:pPr>
                      <a:t>[VALEUR X]</a:t>
                    </a:fld>
                    <a:r>
                      <a:rPr lang="en-US" sz="800" baseline="0"/>
                      <a:t>; </a:t>
                    </a:r>
                    <a:fld id="{265043C2-36EE-49D5-9C27-B45D80A3309E}" type="YVALUE">
                      <a:rPr lang="en-US" sz="800" baseline="0"/>
                      <a:pPr>
                        <a:defRPr sz="800" b="1"/>
                      </a:pPr>
                      <a:t>[VALEUR Y]</a:t>
                    </a:fld>
                    <a:endParaRPr lang="en-US" sz="800" baseline="0"/>
                  </a:p>
                </c:rich>
              </c:tx>
              <c:spPr>
                <a:noFill/>
                <a:ln>
                  <a:noFill/>
                </a:ln>
                <a:effectLst/>
              </c:spPr>
              <c:txPr>
                <a:bodyPr rot="0" spcFirstLastPara="1" vertOverflow="ellipsis" vert="horz" wrap="square" lIns="38100" tIns="19050" rIns="38100" bIns="19050" anchor="ctr" anchorCtr="1">
                  <a:no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1"/>
              <c:showPercent val="0"/>
              <c:showBubbleSize val="0"/>
              <c:separator>; </c:separator>
              <c:extLst>
                <c:ext xmlns:c15="http://schemas.microsoft.com/office/drawing/2012/chart" uri="{CE6537A1-D6FC-4f65-9D91-7224C49458BB}">
                  <c15:layout>
                    <c:manualLayout>
                      <c:w val="0.24235679270050478"/>
                      <c:h val="0.13236268095905293"/>
                    </c:manualLayout>
                  </c15:layout>
                  <c15:dlblFieldTable/>
                  <c15:showDataLabelsRange val="0"/>
                </c:ext>
                <c:ext xmlns:c16="http://schemas.microsoft.com/office/drawing/2014/chart" uri="{C3380CC4-5D6E-409C-BE32-E72D297353CC}">
                  <c16:uniqueId val="{00000003-32C9-43DA-8457-C45CC11F4065}"/>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'03_Efficient Frontier'!$L$17</c:f>
              <c:numCache>
                <c:formatCode>0.00%</c:formatCode>
                <c:ptCount val="1"/>
                <c:pt idx="0">
                  <c:v>0.11782782810199348</c:v>
                </c:pt>
              </c:numCache>
            </c:numRef>
          </c:xVal>
          <c:yVal>
            <c:numRef>
              <c:f>'03_Efficient Frontier'!$K$17</c:f>
              <c:numCache>
                <c:formatCode>0.00%</c:formatCode>
                <c:ptCount val="1"/>
                <c:pt idx="0">
                  <c:v>0.23211063991706524</c:v>
                </c:pt>
              </c:numCache>
            </c:numRef>
          </c:yVal>
          <c:smooth val="1"/>
          <c:extLst>
            <c:ext xmlns:c16="http://schemas.microsoft.com/office/drawing/2014/chart" uri="{C3380CC4-5D6E-409C-BE32-E72D297353CC}">
              <c16:uniqueId val="{00000002-32C9-43DA-8457-C45CC11F4065}"/>
            </c:ext>
          </c:extLst>
        </c:ser>
        <c:dLbls>
          <c:showLegendKey val="0"/>
          <c:showVal val="0"/>
          <c:showCatName val="0"/>
          <c:showSerName val="0"/>
          <c:showPercent val="0"/>
          <c:showBubbleSize val="0"/>
        </c:dLbls>
        <c:axId val="299821023"/>
        <c:axId val="1610564367"/>
      </c:scatterChart>
      <c:valAx>
        <c:axId val="29982102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900"/>
                  <a:t>Volatility</a:t>
                </a:r>
              </a:p>
            </c:rich>
          </c:tx>
          <c:layout>
            <c:manualLayout>
              <c:xMode val="edge"/>
              <c:yMode val="edge"/>
              <c:x val="0.47575693836895078"/>
              <c:y val="0.9099780915815277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610564367"/>
        <c:crosses val="autoZero"/>
        <c:crossBetween val="midCat"/>
        <c:majorUnit val="2.0000000000000004E-2"/>
      </c:valAx>
      <c:valAx>
        <c:axId val="16105643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US" sz="900"/>
                  <a:t>Expected</a:t>
                </a:r>
                <a:r>
                  <a:rPr lang="en-US" sz="900" baseline="0"/>
                  <a:t> Return</a:t>
                </a:r>
                <a:endParaRPr lang="en-US" sz="900"/>
              </a:p>
            </c:rich>
          </c:tx>
          <c:layout>
            <c:manualLayout>
              <c:xMode val="edge"/>
              <c:yMode val="edge"/>
              <c:x val="2.2222222222222223E-2"/>
              <c:y val="0.25756160688247304"/>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299821023"/>
        <c:crosses val="autoZero"/>
        <c:crossBetween val="midCat"/>
        <c:majorUnit val="3.0000000000000006E-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900" b="0" i="0" u="none" strike="noStrike" kern="1200" spc="0" baseline="0">
                <a:solidFill>
                  <a:sysClr val="windowText" lastClr="000000">
                    <a:lumMod val="65000"/>
                    <a:lumOff val="35000"/>
                  </a:sysClr>
                </a:solidFill>
              </a:rPr>
              <a:t>Cumulative Performance: S&amp;P500 vs Portfolio</a:t>
            </a:r>
          </a:p>
        </c:rich>
      </c:tx>
      <c:layout>
        <c:manualLayout>
          <c:xMode val="edge"/>
          <c:yMode val="edge"/>
          <c:x val="0.24321180909884516"/>
          <c:y val="4.064942454195070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3046351271590603"/>
          <c:y val="8.1292531290728873E-2"/>
          <c:w val="0.83244586561240419"/>
          <c:h val="0.68481793420798842"/>
        </c:manualLayout>
      </c:layout>
      <c:lineChart>
        <c:grouping val="standard"/>
        <c:varyColors val="0"/>
        <c:ser>
          <c:idx val="0"/>
          <c:order val="0"/>
          <c:tx>
            <c:v>Cumul Portfolio</c:v>
          </c:tx>
          <c:spPr>
            <a:ln w="12700" cap="rnd">
              <a:solidFill>
                <a:schemeClr val="accent1"/>
              </a:solidFill>
              <a:round/>
            </a:ln>
            <a:effectLst/>
          </c:spPr>
          <c:marker>
            <c:symbol val="none"/>
          </c:marker>
          <c:cat>
            <c:numRef>
              <c:f>'01_Data_Raw'!$A$3:$A$754</c:f>
              <c:numCache>
                <c:formatCode>m/d/yyyy</c:formatCode>
                <c:ptCount val="752"/>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'01_Data_Raw'!$Y$4:$Y$754</c:f>
              <c:numCache>
                <c:formatCode>_(* #,##0.00_);_(* \(#,##0.00\);_(* "-"??_);_(@_)</c:formatCode>
                <c:ptCount val="751"/>
                <c:pt idx="0">
                  <c:v>0.99134557405885748</c:v>
                </c:pt>
                <c:pt idx="1">
                  <c:v>0.99582041442165858</c:v>
                </c:pt>
                <c:pt idx="2">
                  <c:v>0.98799123698078006</c:v>
                </c:pt>
                <c:pt idx="3">
                  <c:v>0.9948120131888788</c:v>
                </c:pt>
                <c:pt idx="4">
                  <c:v>0.99735444153619168</c:v>
                </c:pt>
                <c:pt idx="5">
                  <c:v>1.0030859350976724</c:v>
                </c:pt>
                <c:pt idx="6">
                  <c:v>1.001163729015665</c:v>
                </c:pt>
                <c:pt idx="7">
                  <c:v>0.99944483003862861</c:v>
                </c:pt>
                <c:pt idx="8">
                  <c:v>1.0037080176604694</c:v>
                </c:pt>
                <c:pt idx="9">
                  <c:v>1.0097206963150169</c:v>
                </c:pt>
                <c:pt idx="10">
                  <c:v>1.0083084910646671</c:v>
                </c:pt>
                <c:pt idx="11">
                  <c:v>0.99857276886135371</c:v>
                </c:pt>
                <c:pt idx="12">
                  <c:v>0.99733864077892476</c:v>
                </c:pt>
                <c:pt idx="13">
                  <c:v>0.98894968930270344</c:v>
                </c:pt>
                <c:pt idx="14">
                  <c:v>0.98466370644486234</c:v>
                </c:pt>
                <c:pt idx="15">
                  <c:v>0.99160098081589998</c:v>
                </c:pt>
                <c:pt idx="16">
                  <c:v>0.98895844878568762</c:v>
                </c:pt>
                <c:pt idx="17">
                  <c:v>0.97848808511020191</c:v>
                </c:pt>
                <c:pt idx="18">
                  <c:v>0.96780017138919316</c:v>
                </c:pt>
                <c:pt idx="19">
                  <c:v>0.98183006279933871</c:v>
                </c:pt>
                <c:pt idx="20">
                  <c:v>0.98834677777825597</c:v>
                </c:pt>
                <c:pt idx="21">
                  <c:v>0.99446096366752901</c:v>
                </c:pt>
                <c:pt idx="22">
                  <c:v>1.0070333625568595</c:v>
                </c:pt>
                <c:pt idx="23">
                  <c:v>1.010153612496657</c:v>
                </c:pt>
                <c:pt idx="24">
                  <c:v>1.014537074717166</c:v>
                </c:pt>
                <c:pt idx="25">
                  <c:v>1.0167055981906132</c:v>
                </c:pt>
                <c:pt idx="26">
                  <c:v>1.0155207602770493</c:v>
                </c:pt>
                <c:pt idx="27">
                  <c:v>1.0073065940409158</c:v>
                </c:pt>
                <c:pt idx="28">
                  <c:v>1.0175401701774631</c:v>
                </c:pt>
                <c:pt idx="29">
                  <c:v>1.0178599385707607</c:v>
                </c:pt>
                <c:pt idx="30">
                  <c:v>1.0256047877783157</c:v>
                </c:pt>
                <c:pt idx="31">
                  <c:v>1.0301162453463102</c:v>
                </c:pt>
                <c:pt idx="32">
                  <c:v>1.0242222847563607</c:v>
                </c:pt>
                <c:pt idx="33">
                  <c:v>1.0268677213874873</c:v>
                </c:pt>
                <c:pt idx="34">
                  <c:v>1.0303602641106784</c:v>
                </c:pt>
                <c:pt idx="35">
                  <c:v>1.0316697224996254</c:v>
                </c:pt>
                <c:pt idx="36">
                  <c:v>1.0339951630038808</c:v>
                </c:pt>
                <c:pt idx="37">
                  <c:v>1.0385466226040343</c:v>
                </c:pt>
                <c:pt idx="38">
                  <c:v>1.0367830196067778</c:v>
                </c:pt>
                <c:pt idx="39">
                  <c:v>1.0404811653048134</c:v>
                </c:pt>
                <c:pt idx="40">
                  <c:v>1.0371520193521089</c:v>
                </c:pt>
                <c:pt idx="41">
                  <c:v>1.0445246067908307</c:v>
                </c:pt>
                <c:pt idx="42">
                  <c:v>1.0511359670473535</c:v>
                </c:pt>
                <c:pt idx="43">
                  <c:v>1.0505119127206848</c:v>
                </c:pt>
                <c:pt idx="44">
                  <c:v>1.0534935911269718</c:v>
                </c:pt>
                <c:pt idx="45">
                  <c:v>1.0430903332554518</c:v>
                </c:pt>
                <c:pt idx="46">
                  <c:v>1.0426427117336026</c:v>
                </c:pt>
                <c:pt idx="47">
                  <c:v>1.0438999695709443</c:v>
                </c:pt>
                <c:pt idx="48">
                  <c:v>1.0451841539553837</c:v>
                </c:pt>
                <c:pt idx="49">
                  <c:v>1.0495187745104138</c:v>
                </c:pt>
                <c:pt idx="50">
                  <c:v>1.0575172733803659</c:v>
                </c:pt>
                <c:pt idx="51">
                  <c:v>1.0589422252263643</c:v>
                </c:pt>
                <c:pt idx="52">
                  <c:v>1.0593288205061082</c:v>
                </c:pt>
                <c:pt idx="53">
                  <c:v>1.0669328297800458</c:v>
                </c:pt>
                <c:pt idx="54">
                  <c:v>1.0730165680142811</c:v>
                </c:pt>
                <c:pt idx="55">
                  <c:v>1.0572179861162354</c:v>
                </c:pt>
                <c:pt idx="56">
                  <c:v>1.0648709061209118</c:v>
                </c:pt>
                <c:pt idx="57">
                  <c:v>1.0681167595389627</c:v>
                </c:pt>
                <c:pt idx="58">
                  <c:v>1.0710713738902373</c:v>
                </c:pt>
                <c:pt idx="59">
                  <c:v>1.0743497776204951</c:v>
                </c:pt>
                <c:pt idx="60">
                  <c:v>1.0754795671011619</c:v>
                </c:pt>
                <c:pt idx="61">
                  <c:v>1.0749552413529537</c:v>
                </c:pt>
                <c:pt idx="62">
                  <c:v>1.0841249838029816</c:v>
                </c:pt>
                <c:pt idx="63">
                  <c:v>1.0841490546500701</c:v>
                </c:pt>
                <c:pt idx="64">
                  <c:v>1.0779144588812062</c:v>
                </c:pt>
                <c:pt idx="65">
                  <c:v>1.0790247734948766</c:v>
                </c:pt>
                <c:pt idx="66">
                  <c:v>1.0858965203448037</c:v>
                </c:pt>
                <c:pt idx="67">
                  <c:v>1.0853766123360677</c:v>
                </c:pt>
                <c:pt idx="68">
                  <c:v>1.0911081456439498</c:v>
                </c:pt>
                <c:pt idx="69">
                  <c:v>1.0886269611056607</c:v>
                </c:pt>
                <c:pt idx="70">
                  <c:v>1.0916518973526863</c:v>
                </c:pt>
                <c:pt idx="71">
                  <c:v>1.0841247282968978</c:v>
                </c:pt>
                <c:pt idx="72">
                  <c:v>1.0802929416728475</c:v>
                </c:pt>
                <c:pt idx="73">
                  <c:v>1.0881022979984838</c:v>
                </c:pt>
                <c:pt idx="74">
                  <c:v>1.0945803260199987</c:v>
                </c:pt>
                <c:pt idx="75">
                  <c:v>1.094858474509468</c:v>
                </c:pt>
                <c:pt idx="76">
                  <c:v>1.0920975369053032</c:v>
                </c:pt>
                <c:pt idx="77">
                  <c:v>1.0903420341368157</c:v>
                </c:pt>
                <c:pt idx="78">
                  <c:v>1.1000381530082266</c:v>
                </c:pt>
                <c:pt idx="79">
                  <c:v>1.1012931093872851</c:v>
                </c:pt>
                <c:pt idx="80">
                  <c:v>1.1053856550094141</c:v>
                </c:pt>
                <c:pt idx="81">
                  <c:v>1.1091507953889166</c:v>
                </c:pt>
                <c:pt idx="82">
                  <c:v>1.0988855872886523</c:v>
                </c:pt>
                <c:pt idx="83">
                  <c:v>1.1075780641429587</c:v>
                </c:pt>
                <c:pt idx="84">
                  <c:v>1.1134622963994971</c:v>
                </c:pt>
                <c:pt idx="85">
                  <c:v>1.1082788719619394</c:v>
                </c:pt>
                <c:pt idx="86">
                  <c:v>1.1141271494967342</c:v>
                </c:pt>
                <c:pt idx="87">
                  <c:v>1.1165225745065022</c:v>
                </c:pt>
                <c:pt idx="88">
                  <c:v>1.1127791025543639</c:v>
                </c:pt>
                <c:pt idx="89">
                  <c:v>1.1153227178285434</c:v>
                </c:pt>
                <c:pt idx="90">
                  <c:v>1.1179166963582046</c:v>
                </c:pt>
                <c:pt idx="91">
                  <c:v>1.1062137898071802</c:v>
                </c:pt>
                <c:pt idx="92">
                  <c:v>1.1081495885352435</c:v>
                </c:pt>
                <c:pt idx="93">
                  <c:v>1.1188832968964322</c:v>
                </c:pt>
                <c:pt idx="94">
                  <c:v>1.1151727913319862</c:v>
                </c:pt>
                <c:pt idx="95">
                  <c:v>1.1246551106662261</c:v>
                </c:pt>
                <c:pt idx="96">
                  <c:v>1.1292811872430366</c:v>
                </c:pt>
                <c:pt idx="97">
                  <c:v>1.1422266562809964</c:v>
                </c:pt>
                <c:pt idx="98">
                  <c:v>1.1450276188570254</c:v>
                </c:pt>
                <c:pt idx="99">
                  <c:v>1.1431059266505026</c:v>
                </c:pt>
                <c:pt idx="100">
                  <c:v>1.1423761990199495</c:v>
                </c:pt>
                <c:pt idx="101">
                  <c:v>1.1445541857904229</c:v>
                </c:pt>
                <c:pt idx="102">
                  <c:v>1.1457945585284579</c:v>
                </c:pt>
                <c:pt idx="103">
                  <c:v>1.1464258869635187</c:v>
                </c:pt>
                <c:pt idx="104">
                  <c:v>1.1440214765882963</c:v>
                </c:pt>
                <c:pt idx="105">
                  <c:v>1.1431504459399235</c:v>
                </c:pt>
                <c:pt idx="106">
                  <c:v>1.1448118478726459</c:v>
                </c:pt>
                <c:pt idx="107">
                  <c:v>1.144032549132427</c:v>
                </c:pt>
                <c:pt idx="108">
                  <c:v>1.1451604031710372</c:v>
                </c:pt>
                <c:pt idx="109">
                  <c:v>1.1506702401724347</c:v>
                </c:pt>
                <c:pt idx="110">
                  <c:v>1.1617331213530246</c:v>
                </c:pt>
                <c:pt idx="111">
                  <c:v>1.1628904992697733</c:v>
                </c:pt>
                <c:pt idx="112">
                  <c:v>1.1571262725282914</c:v>
                </c:pt>
                <c:pt idx="113">
                  <c:v>1.152266434652506</c:v>
                </c:pt>
                <c:pt idx="114">
                  <c:v>1.1554681307045735</c:v>
                </c:pt>
                <c:pt idx="115">
                  <c:v>1.159134706446858</c:v>
                </c:pt>
                <c:pt idx="116">
                  <c:v>1.1670291457897983</c:v>
                </c:pt>
                <c:pt idx="117">
                  <c:v>1.1690476066990738</c:v>
                </c:pt>
                <c:pt idx="118">
                  <c:v>1.1638079552109759</c:v>
                </c:pt>
                <c:pt idx="119">
                  <c:v>1.1596030868036893</c:v>
                </c:pt>
                <c:pt idx="120">
                  <c:v>1.1603217016841219</c:v>
                </c:pt>
                <c:pt idx="121">
                  <c:v>1.1740464221802016</c:v>
                </c:pt>
                <c:pt idx="122">
                  <c:v>1.1745522404592232</c:v>
                </c:pt>
                <c:pt idx="123">
                  <c:v>1.1709897005497736</c:v>
                </c:pt>
                <c:pt idx="124">
                  <c:v>1.1670602869155027</c:v>
                </c:pt>
                <c:pt idx="125">
                  <c:v>1.1609952972090474</c:v>
                </c:pt>
                <c:pt idx="126">
                  <c:v>1.1512082764176628</c:v>
                </c:pt>
                <c:pt idx="127">
                  <c:v>1.159925743010269</c:v>
                </c:pt>
                <c:pt idx="128">
                  <c:v>1.1581369556179815</c:v>
                </c:pt>
                <c:pt idx="129">
                  <c:v>1.1601156047912677</c:v>
                </c:pt>
                <c:pt idx="130">
                  <c:v>1.1534188668308174</c:v>
                </c:pt>
                <c:pt idx="131">
                  <c:v>1.1545657546384591</c:v>
                </c:pt>
                <c:pt idx="132">
                  <c:v>1.1300238845671147</c:v>
                </c:pt>
                <c:pt idx="133">
                  <c:v>1.1250602759196373</c:v>
                </c:pt>
                <c:pt idx="134">
                  <c:v>1.1142434039523736</c:v>
                </c:pt>
                <c:pt idx="135">
                  <c:v>1.1125403810848236</c:v>
                </c:pt>
                <c:pt idx="136">
                  <c:v>1.1133453236996245</c:v>
                </c:pt>
                <c:pt idx="137">
                  <c:v>1.1247523872569254</c:v>
                </c:pt>
                <c:pt idx="138">
                  <c:v>1.1369354854559004</c:v>
                </c:pt>
                <c:pt idx="139">
                  <c:v>1.1420710174773647</c:v>
                </c:pt>
                <c:pt idx="140">
                  <c:v>1.145710054063851</c:v>
                </c:pt>
                <c:pt idx="141">
                  <c:v>1.1415270060399809</c:v>
                </c:pt>
                <c:pt idx="142">
                  <c:v>1.1427920830133866</c:v>
                </c:pt>
                <c:pt idx="143">
                  <c:v>1.1469709081683521</c:v>
                </c:pt>
                <c:pt idx="144">
                  <c:v>1.1305015688151276</c:v>
                </c:pt>
                <c:pt idx="145">
                  <c:v>1.1435859191766247</c:v>
                </c:pt>
                <c:pt idx="146">
                  <c:v>1.1482682113413913</c:v>
                </c:pt>
                <c:pt idx="147">
                  <c:v>1.1522860377413546</c:v>
                </c:pt>
                <c:pt idx="148">
                  <c:v>1.1560027299902884</c:v>
                </c:pt>
                <c:pt idx="149">
                  <c:v>1.1578020385594519</c:v>
                </c:pt>
                <c:pt idx="150">
                  <c:v>1.1635437337234837</c:v>
                </c:pt>
                <c:pt idx="151">
                  <c:v>1.1710960968509239</c:v>
                </c:pt>
                <c:pt idx="152">
                  <c:v>1.1728613381389963</c:v>
                </c:pt>
                <c:pt idx="153">
                  <c:v>1.1763808348670255</c:v>
                </c:pt>
                <c:pt idx="154">
                  <c:v>1.1789162361463872</c:v>
                </c:pt>
                <c:pt idx="155">
                  <c:v>1.1841421115721047</c:v>
                </c:pt>
                <c:pt idx="156">
                  <c:v>1.197836784626777</c:v>
                </c:pt>
                <c:pt idx="157">
                  <c:v>1.2039397948657824</c:v>
                </c:pt>
                <c:pt idx="158">
                  <c:v>1.1827802792999835</c:v>
                </c:pt>
                <c:pt idx="159">
                  <c:v>1.1923096275597749</c:v>
                </c:pt>
                <c:pt idx="160">
                  <c:v>1.1939088616531961</c:v>
                </c:pt>
                <c:pt idx="161">
                  <c:v>1.1773820734249549</c:v>
                </c:pt>
                <c:pt idx="162">
                  <c:v>1.1802475770133032</c:v>
                </c:pt>
                <c:pt idx="163">
                  <c:v>1.1737286815938814</c:v>
                </c:pt>
                <c:pt idx="164">
                  <c:v>1.1704876273397438</c:v>
                </c:pt>
                <c:pt idx="165">
                  <c:v>1.1710092090950939</c:v>
                </c:pt>
                <c:pt idx="166">
                  <c:v>1.183685017332476</c:v>
                </c:pt>
                <c:pt idx="167">
                  <c:v>1.184582964465998</c:v>
                </c:pt>
                <c:pt idx="168">
                  <c:v>1.1857593730493874</c:v>
                </c:pt>
                <c:pt idx="169">
                  <c:v>1.1839758052495148</c:v>
                </c:pt>
                <c:pt idx="170">
                  <c:v>1.1869506869379531</c:v>
                </c:pt>
                <c:pt idx="171">
                  <c:v>1.1885404307529528</c:v>
                </c:pt>
                <c:pt idx="172">
                  <c:v>1.191047452994894</c:v>
                </c:pt>
                <c:pt idx="173">
                  <c:v>1.1875147475139514</c:v>
                </c:pt>
                <c:pt idx="174">
                  <c:v>1.1806573447346824</c:v>
                </c:pt>
                <c:pt idx="175">
                  <c:v>1.1836584264627834</c:v>
                </c:pt>
                <c:pt idx="176">
                  <c:v>1.1827212501944842</c:v>
                </c:pt>
                <c:pt idx="177">
                  <c:v>1.1885392791121083</c:v>
                </c:pt>
                <c:pt idx="178">
                  <c:v>1.1902247683633798</c:v>
                </c:pt>
                <c:pt idx="179">
                  <c:v>1.197919370904996</c:v>
                </c:pt>
                <c:pt idx="180">
                  <c:v>1.1986755527204751</c:v>
                </c:pt>
                <c:pt idx="181">
                  <c:v>1.208699034040335</c:v>
                </c:pt>
                <c:pt idx="182">
                  <c:v>1.2012805328690137</c:v>
                </c:pt>
                <c:pt idx="183">
                  <c:v>1.2073618106293356</c:v>
                </c:pt>
                <c:pt idx="184">
                  <c:v>1.209102384082019</c:v>
                </c:pt>
                <c:pt idx="185">
                  <c:v>1.2090500222724103</c:v>
                </c:pt>
                <c:pt idx="186">
                  <c:v>1.2180490799104582</c:v>
                </c:pt>
                <c:pt idx="187">
                  <c:v>1.2255375138419207</c:v>
                </c:pt>
                <c:pt idx="188">
                  <c:v>1.2254615849592227</c:v>
                </c:pt>
                <c:pt idx="189">
                  <c:v>1.2303244480516262</c:v>
                </c:pt>
                <c:pt idx="190">
                  <c:v>1.2250847998809729</c:v>
                </c:pt>
                <c:pt idx="191">
                  <c:v>1.2299322674792021</c:v>
                </c:pt>
                <c:pt idx="192">
                  <c:v>1.2397910034058248</c:v>
                </c:pt>
                <c:pt idx="193">
                  <c:v>1.2339659967552048</c:v>
                </c:pt>
                <c:pt idx="194">
                  <c:v>1.2314496162230322</c:v>
                </c:pt>
                <c:pt idx="195">
                  <c:v>1.2390592401595089</c:v>
                </c:pt>
                <c:pt idx="196">
                  <c:v>1.2507093082185048</c:v>
                </c:pt>
                <c:pt idx="197">
                  <c:v>1.2668954238796122</c:v>
                </c:pt>
                <c:pt idx="198">
                  <c:v>1.2510477891861689</c:v>
                </c:pt>
                <c:pt idx="199">
                  <c:v>1.2471202470172311</c:v>
                </c:pt>
                <c:pt idx="200">
                  <c:v>1.2449792681220746</c:v>
                </c:pt>
                <c:pt idx="201">
                  <c:v>1.2442045833362334</c:v>
                </c:pt>
                <c:pt idx="202">
                  <c:v>1.2446758421047011</c:v>
                </c:pt>
                <c:pt idx="203">
                  <c:v>1.2488311492788682</c:v>
                </c:pt>
                <c:pt idx="204">
                  <c:v>1.2605710190585697</c:v>
                </c:pt>
                <c:pt idx="205">
                  <c:v>1.253827141574881</c:v>
                </c:pt>
                <c:pt idx="206">
                  <c:v>1.2660753613325491</c:v>
                </c:pt>
                <c:pt idx="207">
                  <c:v>1.2554366609719059</c:v>
                </c:pt>
                <c:pt idx="208">
                  <c:v>1.2565778874129316</c:v>
                </c:pt>
                <c:pt idx="209">
                  <c:v>1.240960213954853</c:v>
                </c:pt>
                <c:pt idx="210">
                  <c:v>1.2133302448164629</c:v>
                </c:pt>
                <c:pt idx="211">
                  <c:v>1.2179833041727977</c:v>
                </c:pt>
                <c:pt idx="212">
                  <c:v>1.2187458950216046</c:v>
                </c:pt>
                <c:pt idx="213">
                  <c:v>1.2338426732350289</c:v>
                </c:pt>
                <c:pt idx="214">
                  <c:v>1.2404387579327538</c:v>
                </c:pt>
                <c:pt idx="215">
                  <c:v>1.2408427945700233</c:v>
                </c:pt>
                <c:pt idx="216">
                  <c:v>1.2438301968781609</c:v>
                </c:pt>
                <c:pt idx="217">
                  <c:v>1.2501387457764046</c:v>
                </c:pt>
                <c:pt idx="218">
                  <c:v>1.2705063087860322</c:v>
                </c:pt>
                <c:pt idx="219">
                  <c:v>1.2758447013021057</c:v>
                </c:pt>
                <c:pt idx="220">
                  <c:v>1.2799319672352183</c:v>
                </c:pt>
                <c:pt idx="221">
                  <c:v>1.2817338855647122</c:v>
                </c:pt>
                <c:pt idx="222">
                  <c:v>1.2865045512527449</c:v>
                </c:pt>
                <c:pt idx="223">
                  <c:v>1.2873810760851543</c:v>
                </c:pt>
                <c:pt idx="224">
                  <c:v>1.2969516648763622</c:v>
                </c:pt>
                <c:pt idx="225">
                  <c:v>1.3025238257954745</c:v>
                </c:pt>
                <c:pt idx="226">
                  <c:v>1.3011606084872687</c:v>
                </c:pt>
                <c:pt idx="227">
                  <c:v>1.3019707386177497</c:v>
                </c:pt>
                <c:pt idx="228">
                  <c:v>1.3086347903553242</c:v>
                </c:pt>
                <c:pt idx="229">
                  <c:v>1.3224174134752555</c:v>
                </c:pt>
                <c:pt idx="230">
                  <c:v>1.3135789951427208</c:v>
                </c:pt>
                <c:pt idx="231">
                  <c:v>1.3084833539919885</c:v>
                </c:pt>
                <c:pt idx="232">
                  <c:v>1.2999415996207562</c:v>
                </c:pt>
                <c:pt idx="233">
                  <c:v>1.2848970993765989</c:v>
                </c:pt>
                <c:pt idx="234">
                  <c:v>1.3031659520134407</c:v>
                </c:pt>
                <c:pt idx="235">
                  <c:v>1.292761867172973</c:v>
                </c:pt>
                <c:pt idx="236">
                  <c:v>1.2941253385495262</c:v>
                </c:pt>
                <c:pt idx="237">
                  <c:v>1.2981410063571412</c:v>
                </c:pt>
                <c:pt idx="238">
                  <c:v>1.2993386214454381</c:v>
                </c:pt>
                <c:pt idx="239">
                  <c:v>1.3073294578484005</c:v>
                </c:pt>
                <c:pt idx="240">
                  <c:v>1.307190019386516</c:v>
                </c:pt>
                <c:pt idx="241">
                  <c:v>1.3042061818028317</c:v>
                </c:pt>
                <c:pt idx="242">
                  <c:v>1.3078554446423947</c:v>
                </c:pt>
                <c:pt idx="243">
                  <c:v>1.3120661502711708</c:v>
                </c:pt>
                <c:pt idx="244">
                  <c:v>1.3153886552034333</c:v>
                </c:pt>
                <c:pt idx="245">
                  <c:v>1.3137844951576336</c:v>
                </c:pt>
                <c:pt idx="246">
                  <c:v>1.3077975348756767</c:v>
                </c:pt>
                <c:pt idx="247">
                  <c:v>1.3036765438533324</c:v>
                </c:pt>
                <c:pt idx="248">
                  <c:v>1.3049775385613009</c:v>
                </c:pt>
                <c:pt idx="249">
                  <c:v>1.3112374532898068</c:v>
                </c:pt>
                <c:pt idx="250">
                  <c:v>1.3030669096291805</c:v>
                </c:pt>
                <c:pt idx="251">
                  <c:v>1.2983310301573836</c:v>
                </c:pt>
                <c:pt idx="252">
                  <c:v>1.2913900151177564</c:v>
                </c:pt>
                <c:pt idx="253">
                  <c:v>1.3039920922457973</c:v>
                </c:pt>
                <c:pt idx="254">
                  <c:v>1.2893104793761776</c:v>
                </c:pt>
                <c:pt idx="255">
                  <c:v>1.2928946659945495</c:v>
                </c:pt>
                <c:pt idx="256">
                  <c:v>1.3042747513482968</c:v>
                </c:pt>
                <c:pt idx="257">
                  <c:v>1.3013718282152946</c:v>
                </c:pt>
                <c:pt idx="258">
                  <c:v>1.3198500616193085</c:v>
                </c:pt>
                <c:pt idx="259">
                  <c:v>1.3228420443391344</c:v>
                </c:pt>
                <c:pt idx="260">
                  <c:v>1.3309408097405901</c:v>
                </c:pt>
                <c:pt idx="261">
                  <c:v>1.3312248366164026</c:v>
                </c:pt>
                <c:pt idx="262">
                  <c:v>1.3305999128197308</c:v>
                </c:pt>
                <c:pt idx="263">
                  <c:v>1.3373623927700928</c:v>
                </c:pt>
                <c:pt idx="264">
                  <c:v>1.3265390747587646</c:v>
                </c:pt>
                <c:pt idx="265">
                  <c:v>1.3344501793788692</c:v>
                </c:pt>
                <c:pt idx="266">
                  <c:v>1.3321156756667007</c:v>
                </c:pt>
                <c:pt idx="267">
                  <c:v>1.328180928052703</c:v>
                </c:pt>
                <c:pt idx="268">
                  <c:v>1.3185270456815377</c:v>
                </c:pt>
                <c:pt idx="269">
                  <c:v>1.3245328969385799</c:v>
                </c:pt>
                <c:pt idx="270">
                  <c:v>1.3141417869097194</c:v>
                </c:pt>
                <c:pt idx="271">
                  <c:v>1.3172176897798922</c:v>
                </c:pt>
                <c:pt idx="272">
                  <c:v>1.3019871875956468</c:v>
                </c:pt>
                <c:pt idx="273">
                  <c:v>1.3084599989160235</c:v>
                </c:pt>
                <c:pt idx="274">
                  <c:v>1.3015718526395923</c:v>
                </c:pt>
                <c:pt idx="275">
                  <c:v>1.3107430434141694</c:v>
                </c:pt>
                <c:pt idx="276">
                  <c:v>1.3469689814524708</c:v>
                </c:pt>
                <c:pt idx="277">
                  <c:v>1.3358664566286211</c:v>
                </c:pt>
                <c:pt idx="278">
                  <c:v>1.3353620664036063</c:v>
                </c:pt>
                <c:pt idx="279">
                  <c:v>1.3317416994190825</c:v>
                </c:pt>
                <c:pt idx="280">
                  <c:v>1.3304424323359074</c:v>
                </c:pt>
                <c:pt idx="281">
                  <c:v>1.3381312875694291</c:v>
                </c:pt>
                <c:pt idx="282">
                  <c:v>1.3323139635347434</c:v>
                </c:pt>
                <c:pt idx="283">
                  <c:v>1.3300244839180719</c:v>
                </c:pt>
                <c:pt idx="284">
                  <c:v>1.3325006607456951</c:v>
                </c:pt>
                <c:pt idx="285">
                  <c:v>1.335127054878485</c:v>
                </c:pt>
                <c:pt idx="286">
                  <c:v>1.3346301108374037</c:v>
                </c:pt>
                <c:pt idx="287">
                  <c:v>1.3476559441079894</c:v>
                </c:pt>
                <c:pt idx="288">
                  <c:v>1.3573986210311009</c:v>
                </c:pt>
                <c:pt idx="289">
                  <c:v>1.3628585323301958</c:v>
                </c:pt>
                <c:pt idx="290">
                  <c:v>1.368958730871155</c:v>
                </c:pt>
                <c:pt idx="291">
                  <c:v>1.369086357183168</c:v>
                </c:pt>
                <c:pt idx="292">
                  <c:v>1.3705370966653709</c:v>
                </c:pt>
                <c:pt idx="293">
                  <c:v>1.3682751562100102</c:v>
                </c:pt>
                <c:pt idx="294">
                  <c:v>1.3648681207902669</c:v>
                </c:pt>
                <c:pt idx="295">
                  <c:v>1.3586788266651635</c:v>
                </c:pt>
                <c:pt idx="296">
                  <c:v>1.3657394950617385</c:v>
                </c:pt>
                <c:pt idx="297">
                  <c:v>1.3697582540541213</c:v>
                </c:pt>
                <c:pt idx="298">
                  <c:v>1.3631200148834912</c:v>
                </c:pt>
                <c:pt idx="299">
                  <c:v>1.3625983094213012</c:v>
                </c:pt>
                <c:pt idx="300">
                  <c:v>1.3605349302826037</c:v>
                </c:pt>
                <c:pt idx="301">
                  <c:v>1.3588148438985135</c:v>
                </c:pt>
                <c:pt idx="302">
                  <c:v>1.3540625871785501</c:v>
                </c:pt>
                <c:pt idx="303">
                  <c:v>1.3497470013909285</c:v>
                </c:pt>
                <c:pt idx="304">
                  <c:v>1.3577349553562299</c:v>
                </c:pt>
                <c:pt idx="305">
                  <c:v>1.3272713093147468</c:v>
                </c:pt>
                <c:pt idx="306">
                  <c:v>1.3278830810194355</c:v>
                </c:pt>
                <c:pt idx="307">
                  <c:v>1.336335201131474</c:v>
                </c:pt>
                <c:pt idx="308">
                  <c:v>1.3351062067976436</c:v>
                </c:pt>
                <c:pt idx="309">
                  <c:v>1.351246676641717</c:v>
                </c:pt>
                <c:pt idx="310">
                  <c:v>1.350338304209227</c:v>
                </c:pt>
                <c:pt idx="311">
                  <c:v>1.3398957893466152</c:v>
                </c:pt>
                <c:pt idx="312">
                  <c:v>1.3265061489295882</c:v>
                </c:pt>
                <c:pt idx="313">
                  <c:v>1.3291424303360422</c:v>
                </c:pt>
                <c:pt idx="314">
                  <c:v>1.3239103966067765</c:v>
                </c:pt>
                <c:pt idx="315">
                  <c:v>1.3328799332400616</c:v>
                </c:pt>
                <c:pt idx="316">
                  <c:v>1.3299592887291931</c:v>
                </c:pt>
                <c:pt idx="317">
                  <c:v>1.3337644182080002</c:v>
                </c:pt>
                <c:pt idx="318">
                  <c:v>1.3292861017719462</c:v>
                </c:pt>
                <c:pt idx="319">
                  <c:v>1.3205016509018794</c:v>
                </c:pt>
                <c:pt idx="320">
                  <c:v>1.3306887084152692</c:v>
                </c:pt>
                <c:pt idx="321">
                  <c:v>1.3344463176352701</c:v>
                </c:pt>
                <c:pt idx="322">
                  <c:v>1.3488700563592566</c:v>
                </c:pt>
                <c:pt idx="323">
                  <c:v>1.3541938659915245</c:v>
                </c:pt>
                <c:pt idx="324">
                  <c:v>1.3659802612081118</c:v>
                </c:pt>
                <c:pt idx="325">
                  <c:v>1.3738695448546534</c:v>
                </c:pt>
                <c:pt idx="326">
                  <c:v>1.3705816688129122</c:v>
                </c:pt>
                <c:pt idx="327">
                  <c:v>1.3785406216128775</c:v>
                </c:pt>
                <c:pt idx="328">
                  <c:v>1.3787041834793998</c:v>
                </c:pt>
                <c:pt idx="329">
                  <c:v>1.4066845498782061</c:v>
                </c:pt>
                <c:pt idx="330">
                  <c:v>1.4032647508158285</c:v>
                </c:pt>
                <c:pt idx="331">
                  <c:v>1.4054251739802217</c:v>
                </c:pt>
                <c:pt idx="332">
                  <c:v>1.4104291127885278</c:v>
                </c:pt>
                <c:pt idx="333">
                  <c:v>1.4040481335566859</c:v>
                </c:pt>
                <c:pt idx="334">
                  <c:v>1.4016629057578065</c:v>
                </c:pt>
                <c:pt idx="335">
                  <c:v>1.4128190148905375</c:v>
                </c:pt>
                <c:pt idx="336">
                  <c:v>1.4207977166476597</c:v>
                </c:pt>
                <c:pt idx="337">
                  <c:v>1.4288586720780847</c:v>
                </c:pt>
                <c:pt idx="338">
                  <c:v>1.4175887257682704</c:v>
                </c:pt>
                <c:pt idx="339">
                  <c:v>1.4236613520014745</c:v>
                </c:pt>
                <c:pt idx="340">
                  <c:v>1.4429895466607916</c:v>
                </c:pt>
                <c:pt idx="341">
                  <c:v>1.4435087340381663</c:v>
                </c:pt>
                <c:pt idx="342">
                  <c:v>1.4572129621028265</c:v>
                </c:pt>
                <c:pt idx="343">
                  <c:v>1.451137302323422</c:v>
                </c:pt>
                <c:pt idx="344">
                  <c:v>1.4533422118626749</c:v>
                </c:pt>
                <c:pt idx="345">
                  <c:v>1.4638285742973884</c:v>
                </c:pt>
                <c:pt idx="346">
                  <c:v>1.438883092300522</c:v>
                </c:pt>
                <c:pt idx="347">
                  <c:v>1.4341582852370593</c:v>
                </c:pt>
                <c:pt idx="348">
                  <c:v>1.4269853105507457</c:v>
                </c:pt>
                <c:pt idx="349">
                  <c:v>1.4354011040467012</c:v>
                </c:pt>
                <c:pt idx="350">
                  <c:v>1.424968916322517</c:v>
                </c:pt>
                <c:pt idx="351">
                  <c:v>1.4230361241781571</c:v>
                </c:pt>
                <c:pt idx="352">
                  <c:v>1.4428159156485478</c:v>
                </c:pt>
                <c:pt idx="353">
                  <c:v>1.4340514021776767</c:v>
                </c:pt>
                <c:pt idx="354">
                  <c:v>1.4040661939935088</c:v>
                </c:pt>
                <c:pt idx="355">
                  <c:v>1.4108679198904395</c:v>
                </c:pt>
                <c:pt idx="356">
                  <c:v>1.4005101283744139</c:v>
                </c:pt>
                <c:pt idx="357">
                  <c:v>1.3936798968917949</c:v>
                </c:pt>
                <c:pt idx="358">
                  <c:v>1.3662213751151984</c:v>
                </c:pt>
                <c:pt idx="359">
                  <c:v>1.3537622013756612</c:v>
                </c:pt>
                <c:pt idx="360">
                  <c:v>1.3389552664369584</c:v>
                </c:pt>
                <c:pt idx="361">
                  <c:v>1.3267621366001561</c:v>
                </c:pt>
                <c:pt idx="362">
                  <c:v>1.3448632098815558</c:v>
                </c:pt>
                <c:pt idx="363">
                  <c:v>1.3544120896928229</c:v>
                </c:pt>
                <c:pt idx="364">
                  <c:v>1.3493727356832128</c:v>
                </c:pt>
                <c:pt idx="365">
                  <c:v>1.3582716872798239</c:v>
                </c:pt>
                <c:pt idx="366">
                  <c:v>1.357579236684793</c:v>
                </c:pt>
                <c:pt idx="367">
                  <c:v>1.3628123206416745</c:v>
                </c:pt>
                <c:pt idx="368">
                  <c:v>1.3798985500255867</c:v>
                </c:pt>
                <c:pt idx="369">
                  <c:v>1.3762116977727665</c:v>
                </c:pt>
                <c:pt idx="370">
                  <c:v>1.3786329373384565</c:v>
                </c:pt>
                <c:pt idx="371">
                  <c:v>1.381456869734444</c:v>
                </c:pt>
                <c:pt idx="372">
                  <c:v>1.3642796319614447</c:v>
                </c:pt>
                <c:pt idx="373">
                  <c:v>1.3810671864024719</c:v>
                </c:pt>
                <c:pt idx="374">
                  <c:v>1.3599919765147885</c:v>
                </c:pt>
                <c:pt idx="375">
                  <c:v>1.3698940369830861</c:v>
                </c:pt>
                <c:pt idx="376">
                  <c:v>1.3344015698642355</c:v>
                </c:pt>
                <c:pt idx="377">
                  <c:v>1.2614915443136894</c:v>
                </c:pt>
                <c:pt idx="378">
                  <c:v>1.2581636159099348</c:v>
                </c:pt>
                <c:pt idx="379">
                  <c:v>1.2481655955941495</c:v>
                </c:pt>
                <c:pt idx="380">
                  <c:v>1.3276756925133155</c:v>
                </c:pt>
                <c:pt idx="381">
                  <c:v>1.3034559844510327</c:v>
                </c:pt>
                <c:pt idx="382">
                  <c:v>1.336868881396897</c:v>
                </c:pt>
                <c:pt idx="383">
                  <c:v>1.3471020635995341</c:v>
                </c:pt>
                <c:pt idx="384">
                  <c:v>1.3381773556125542</c:v>
                </c:pt>
                <c:pt idx="385">
                  <c:v>1.31962330334365</c:v>
                </c:pt>
                <c:pt idx="386">
                  <c:v>1.3384220689420399</c:v>
                </c:pt>
                <c:pt idx="387">
                  <c:v>1.3234653728764392</c:v>
                </c:pt>
                <c:pt idx="388">
                  <c:v>1.3515734973035038</c:v>
                </c:pt>
                <c:pt idx="389">
                  <c:v>1.3595662481894926</c:v>
                </c:pt>
                <c:pt idx="390">
                  <c:v>1.3725269598909213</c:v>
                </c:pt>
                <c:pt idx="391">
                  <c:v>1.369956967241057</c:v>
                </c:pt>
                <c:pt idx="392">
                  <c:v>1.3705842886004307</c:v>
                </c:pt>
                <c:pt idx="393">
                  <c:v>1.377492900813331</c:v>
                </c:pt>
                <c:pt idx="394">
                  <c:v>1.3786964476387189</c:v>
                </c:pt>
                <c:pt idx="395">
                  <c:v>1.3855632060719516</c:v>
                </c:pt>
                <c:pt idx="396">
                  <c:v>1.3997150301260342</c:v>
                </c:pt>
                <c:pt idx="397">
                  <c:v>1.3925331154296401</c:v>
                </c:pt>
                <c:pt idx="398">
                  <c:v>1.3850672226421106</c:v>
                </c:pt>
                <c:pt idx="399">
                  <c:v>1.3947764470679149</c:v>
                </c:pt>
                <c:pt idx="400">
                  <c:v>1.3950292323850668</c:v>
                </c:pt>
                <c:pt idx="401">
                  <c:v>1.3901279943541271</c:v>
                </c:pt>
                <c:pt idx="402">
                  <c:v>1.4128405084849089</c:v>
                </c:pt>
                <c:pt idx="403">
                  <c:v>1.4031447873019505</c:v>
                </c:pt>
                <c:pt idx="404">
                  <c:v>1.4037029160673686</c:v>
                </c:pt>
                <c:pt idx="405">
                  <c:v>1.4166513589339251</c:v>
                </c:pt>
                <c:pt idx="406">
                  <c:v>1.425696620738635</c:v>
                </c:pt>
                <c:pt idx="407">
                  <c:v>1.4236981006315435</c:v>
                </c:pt>
                <c:pt idx="408">
                  <c:v>1.4230677849748936</c:v>
                </c:pt>
                <c:pt idx="409">
                  <c:v>1.4083961782687648</c:v>
                </c:pt>
                <c:pt idx="410">
                  <c:v>1.4044838843276444</c:v>
                </c:pt>
                <c:pt idx="411">
                  <c:v>1.4034613077526723</c:v>
                </c:pt>
                <c:pt idx="412">
                  <c:v>1.4196337931212675</c:v>
                </c:pt>
                <c:pt idx="413">
                  <c:v>1.410883643456043</c:v>
                </c:pt>
                <c:pt idx="414">
                  <c:v>1.4161792717581747</c:v>
                </c:pt>
                <c:pt idx="415">
                  <c:v>1.4243464564786035</c:v>
                </c:pt>
                <c:pt idx="416">
                  <c:v>1.429477354416629</c:v>
                </c:pt>
                <c:pt idx="417">
                  <c:v>1.4283670216416171</c:v>
                </c:pt>
                <c:pt idx="418">
                  <c:v>1.4222018887372541</c:v>
                </c:pt>
                <c:pt idx="419">
                  <c:v>1.4161985429221475</c:v>
                </c:pt>
                <c:pt idx="420">
                  <c:v>1.4306485403572347</c:v>
                </c:pt>
                <c:pt idx="421">
                  <c:v>1.4351976768462862</c:v>
                </c:pt>
                <c:pt idx="422">
                  <c:v>1.4435423194743593</c:v>
                </c:pt>
                <c:pt idx="423">
                  <c:v>1.4345161356839555</c:v>
                </c:pt>
                <c:pt idx="424">
                  <c:v>1.4379078795645304</c:v>
                </c:pt>
                <c:pt idx="425">
                  <c:v>1.4296105100282768</c:v>
                </c:pt>
                <c:pt idx="426">
                  <c:v>1.434601365625273</c:v>
                </c:pt>
                <c:pt idx="427">
                  <c:v>1.4236823640208971</c:v>
                </c:pt>
                <c:pt idx="428">
                  <c:v>1.4253733438801226</c:v>
                </c:pt>
                <c:pt idx="429">
                  <c:v>1.4263845697375073</c:v>
                </c:pt>
                <c:pt idx="430">
                  <c:v>1.4395745052128301</c:v>
                </c:pt>
                <c:pt idx="431">
                  <c:v>1.4471727107078034</c:v>
                </c:pt>
                <c:pt idx="432">
                  <c:v>1.4481775156795209</c:v>
                </c:pt>
                <c:pt idx="433">
                  <c:v>1.4546714877481621</c:v>
                </c:pt>
                <c:pt idx="434">
                  <c:v>1.4611337680006984</c:v>
                </c:pt>
                <c:pt idx="435">
                  <c:v>1.4665608746383252</c:v>
                </c:pt>
                <c:pt idx="436">
                  <c:v>1.4794907211514043</c:v>
                </c:pt>
                <c:pt idx="437">
                  <c:v>1.4796768332996413</c:v>
                </c:pt>
                <c:pt idx="438">
                  <c:v>1.4928667062870009</c:v>
                </c:pt>
                <c:pt idx="439">
                  <c:v>1.4851618803458608</c:v>
                </c:pt>
                <c:pt idx="440">
                  <c:v>1.4681732070432116</c:v>
                </c:pt>
                <c:pt idx="441">
                  <c:v>1.4700871161736921</c:v>
                </c:pt>
                <c:pt idx="442">
                  <c:v>1.4768343694564463</c:v>
                </c:pt>
                <c:pt idx="443">
                  <c:v>1.4743092325918634</c:v>
                </c:pt>
                <c:pt idx="444">
                  <c:v>1.4765311473454705</c:v>
                </c:pt>
                <c:pt idx="445">
                  <c:v>1.4694734006238732</c:v>
                </c:pt>
                <c:pt idx="446">
                  <c:v>1.4879096778218313</c:v>
                </c:pt>
                <c:pt idx="447">
                  <c:v>1.4939884860374137</c:v>
                </c:pt>
                <c:pt idx="448">
                  <c:v>1.4936079363980088</c:v>
                </c:pt>
                <c:pt idx="449">
                  <c:v>1.4989316360635527</c:v>
                </c:pt>
                <c:pt idx="450">
                  <c:v>1.5056802202677269</c:v>
                </c:pt>
                <c:pt idx="451">
                  <c:v>1.5142269099977235</c:v>
                </c:pt>
                <c:pt idx="452">
                  <c:v>1.5201865068816667</c:v>
                </c:pt>
                <c:pt idx="453">
                  <c:v>1.5221050508843745</c:v>
                </c:pt>
                <c:pt idx="454">
                  <c:v>1.5154188464732103</c:v>
                </c:pt>
                <c:pt idx="455">
                  <c:v>1.5226221337168908</c:v>
                </c:pt>
                <c:pt idx="456">
                  <c:v>1.5186166607618183</c:v>
                </c:pt>
                <c:pt idx="457">
                  <c:v>1.5125194152604553</c:v>
                </c:pt>
                <c:pt idx="458">
                  <c:v>1.4995121402609712</c:v>
                </c:pt>
                <c:pt idx="459">
                  <c:v>1.5155754796273375</c:v>
                </c:pt>
                <c:pt idx="460">
                  <c:v>1.5104119681023662</c:v>
                </c:pt>
                <c:pt idx="461">
                  <c:v>1.5276836479077591</c:v>
                </c:pt>
                <c:pt idx="462">
                  <c:v>1.5283914656977131</c:v>
                </c:pt>
                <c:pt idx="463">
                  <c:v>1.5397020049141605</c:v>
                </c:pt>
                <c:pt idx="464">
                  <c:v>1.5411645225959834</c:v>
                </c:pt>
                <c:pt idx="465">
                  <c:v>1.5450654117340072</c:v>
                </c:pt>
                <c:pt idx="466">
                  <c:v>1.5417319394092504</c:v>
                </c:pt>
                <c:pt idx="467">
                  <c:v>1.5471416867599166</c:v>
                </c:pt>
                <c:pt idx="468">
                  <c:v>1.5444202947557157</c:v>
                </c:pt>
                <c:pt idx="469">
                  <c:v>1.5435262614347485</c:v>
                </c:pt>
                <c:pt idx="470">
                  <c:v>1.5472116255047743</c:v>
                </c:pt>
                <c:pt idx="471">
                  <c:v>1.5520145631550331</c:v>
                </c:pt>
                <c:pt idx="472">
                  <c:v>1.5402008766958872</c:v>
                </c:pt>
                <c:pt idx="473">
                  <c:v>1.549498788476543</c:v>
                </c:pt>
                <c:pt idx="474">
                  <c:v>1.5396874499895912</c:v>
                </c:pt>
                <c:pt idx="475">
                  <c:v>1.5401699696557136</c:v>
                </c:pt>
                <c:pt idx="476">
                  <c:v>1.5445305227740878</c:v>
                </c:pt>
                <c:pt idx="477">
                  <c:v>1.5455440389584123</c:v>
                </c:pt>
                <c:pt idx="478">
                  <c:v>1.5521066828194714</c:v>
                </c:pt>
                <c:pt idx="479">
                  <c:v>1.5512539352039403</c:v>
                </c:pt>
                <c:pt idx="480">
                  <c:v>1.5559493759157936</c:v>
                </c:pt>
                <c:pt idx="481">
                  <c:v>1.5700493034755194</c:v>
                </c:pt>
                <c:pt idx="482">
                  <c:v>1.549345098281415</c:v>
                </c:pt>
                <c:pt idx="483">
                  <c:v>1.5512218021903832</c:v>
                </c:pt>
                <c:pt idx="484">
                  <c:v>1.5568871974227882</c:v>
                </c:pt>
                <c:pt idx="485">
                  <c:v>1.5487957347595911</c:v>
                </c:pt>
                <c:pt idx="486">
                  <c:v>1.5657244216728998</c:v>
                </c:pt>
                <c:pt idx="487">
                  <c:v>1.5687948267890479</c:v>
                </c:pt>
                <c:pt idx="488">
                  <c:v>1.5715563764662839</c:v>
                </c:pt>
                <c:pt idx="489">
                  <c:v>1.5716070585640547</c:v>
                </c:pt>
                <c:pt idx="490">
                  <c:v>1.5804212304254848</c:v>
                </c:pt>
                <c:pt idx="491">
                  <c:v>1.5705652311474889</c:v>
                </c:pt>
                <c:pt idx="492">
                  <c:v>1.5781109393711386</c:v>
                </c:pt>
                <c:pt idx="493">
                  <c:v>1.5719722431513077</c:v>
                </c:pt>
                <c:pt idx="494">
                  <c:v>1.5746259363578772</c:v>
                </c:pt>
                <c:pt idx="495">
                  <c:v>1.574900984069816</c:v>
                </c:pt>
                <c:pt idx="496">
                  <c:v>1.5768261525965557</c:v>
                </c:pt>
                <c:pt idx="497">
                  <c:v>1.58577218314001</c:v>
                </c:pt>
                <c:pt idx="498">
                  <c:v>1.5899628604929215</c:v>
                </c:pt>
                <c:pt idx="499">
                  <c:v>1.5968516841258267</c:v>
                </c:pt>
                <c:pt idx="500">
                  <c:v>1.5923176931454359</c:v>
                </c:pt>
                <c:pt idx="501">
                  <c:v>1.5857220017093991</c:v>
                </c:pt>
                <c:pt idx="502">
                  <c:v>1.5973113554604899</c:v>
                </c:pt>
                <c:pt idx="503">
                  <c:v>1.5981648587389152</c:v>
                </c:pt>
                <c:pt idx="504">
                  <c:v>1.6007928581108111</c:v>
                </c:pt>
                <c:pt idx="505">
                  <c:v>1.5973187388486194</c:v>
                </c:pt>
                <c:pt idx="506">
                  <c:v>1.5990231476118795</c:v>
                </c:pt>
                <c:pt idx="507">
                  <c:v>1.5820970721257752</c:v>
                </c:pt>
                <c:pt idx="508">
                  <c:v>1.59566902088134</c:v>
                </c:pt>
                <c:pt idx="509">
                  <c:v>1.599790298547596</c:v>
                </c:pt>
                <c:pt idx="510">
                  <c:v>1.6069382352765789</c:v>
                </c:pt>
                <c:pt idx="511">
                  <c:v>1.5939992825179894</c:v>
                </c:pt>
                <c:pt idx="512">
                  <c:v>1.6028479545209886</c:v>
                </c:pt>
                <c:pt idx="513">
                  <c:v>1.6149517846999342</c:v>
                </c:pt>
                <c:pt idx="514">
                  <c:v>1.6153764633426326</c:v>
                </c:pt>
                <c:pt idx="515">
                  <c:v>1.6127242427569819</c:v>
                </c:pt>
                <c:pt idx="516">
                  <c:v>1.6120102018734008</c:v>
                </c:pt>
                <c:pt idx="517">
                  <c:v>1.6163614081159674</c:v>
                </c:pt>
                <c:pt idx="518">
                  <c:v>1.6239435446206452</c:v>
                </c:pt>
                <c:pt idx="519">
                  <c:v>1.6189419561265814</c:v>
                </c:pt>
                <c:pt idx="520">
                  <c:v>1.6127839297974849</c:v>
                </c:pt>
                <c:pt idx="521">
                  <c:v>1.6166113264982997</c:v>
                </c:pt>
                <c:pt idx="522">
                  <c:v>1.6249110253505554</c:v>
                </c:pt>
                <c:pt idx="523">
                  <c:v>1.6190065954205204</c:v>
                </c:pt>
                <c:pt idx="524">
                  <c:v>1.6217423096188885</c:v>
                </c:pt>
                <c:pt idx="525">
                  <c:v>1.6193131892987414</c:v>
                </c:pt>
                <c:pt idx="526">
                  <c:v>1.6206041577434873</c:v>
                </c:pt>
                <c:pt idx="527">
                  <c:v>1.6297146506352338</c:v>
                </c:pt>
                <c:pt idx="528">
                  <c:v>1.6413887668577891</c:v>
                </c:pt>
                <c:pt idx="529">
                  <c:v>1.6608437302514936</c:v>
                </c:pt>
                <c:pt idx="530">
                  <c:v>1.6640414738493847</c:v>
                </c:pt>
                <c:pt idx="531">
                  <c:v>1.6441442802592017</c:v>
                </c:pt>
                <c:pt idx="532">
                  <c:v>1.6384978811286999</c:v>
                </c:pt>
                <c:pt idx="533">
                  <c:v>1.636876229610847</c:v>
                </c:pt>
                <c:pt idx="534">
                  <c:v>1.6273188207217786</c:v>
                </c:pt>
                <c:pt idx="535">
                  <c:v>1.6328712056598329</c:v>
                </c:pt>
                <c:pt idx="536">
                  <c:v>1.6367632079200978</c:v>
                </c:pt>
                <c:pt idx="537">
                  <c:v>1.641927405888544</c:v>
                </c:pt>
                <c:pt idx="538">
                  <c:v>1.6463669815621591</c:v>
                </c:pt>
                <c:pt idx="539">
                  <c:v>1.6624770399762172</c:v>
                </c:pt>
                <c:pt idx="540">
                  <c:v>1.6777524603831246</c:v>
                </c:pt>
                <c:pt idx="541">
                  <c:v>1.6923323077314034</c:v>
                </c:pt>
                <c:pt idx="542">
                  <c:v>1.6834120331281763</c:v>
                </c:pt>
                <c:pt idx="543">
                  <c:v>1.6810954587999609</c:v>
                </c:pt>
                <c:pt idx="544">
                  <c:v>1.6882171528389516</c:v>
                </c:pt>
                <c:pt idx="545">
                  <c:v>1.6848173722787116</c:v>
                </c:pt>
                <c:pt idx="546">
                  <c:v>1.6811636963438352</c:v>
                </c:pt>
                <c:pt idx="547">
                  <c:v>1.6781753765388066</c:v>
                </c:pt>
                <c:pt idx="548">
                  <c:v>1.6610937361419371</c:v>
                </c:pt>
                <c:pt idx="549">
                  <c:v>1.6837174753820745</c:v>
                </c:pt>
                <c:pt idx="550">
                  <c:v>1.7011433174721675</c:v>
                </c:pt>
                <c:pt idx="551">
                  <c:v>1.70901897698328</c:v>
                </c:pt>
                <c:pt idx="552">
                  <c:v>1.7125021645018266</c:v>
                </c:pt>
                <c:pt idx="553">
                  <c:v>1.6910747604847431</c:v>
                </c:pt>
                <c:pt idx="554">
                  <c:v>1.6941089892164856</c:v>
                </c:pt>
                <c:pt idx="555">
                  <c:v>1.6894691515557705</c:v>
                </c:pt>
                <c:pt idx="556">
                  <c:v>1.690543186578249</c:v>
                </c:pt>
                <c:pt idx="557">
                  <c:v>1.6971892679398213</c:v>
                </c:pt>
                <c:pt idx="558">
                  <c:v>1.6968874682228716</c:v>
                </c:pt>
                <c:pt idx="559">
                  <c:v>1.7079009975917103</c:v>
                </c:pt>
                <c:pt idx="560">
                  <c:v>1.7053077650656503</c:v>
                </c:pt>
                <c:pt idx="561">
                  <c:v>1.7034570512731124</c:v>
                </c:pt>
                <c:pt idx="562">
                  <c:v>1.7007387144009918</c:v>
                </c:pt>
                <c:pt idx="563">
                  <c:v>1.6948665681310193</c:v>
                </c:pt>
                <c:pt idx="564">
                  <c:v>1.6963807588685342</c:v>
                </c:pt>
                <c:pt idx="565">
                  <c:v>1.7010864691996574</c:v>
                </c:pt>
                <c:pt idx="566">
                  <c:v>1.7067789422590629</c:v>
                </c:pt>
                <c:pt idx="567">
                  <c:v>1.6975086950400058</c:v>
                </c:pt>
                <c:pt idx="568">
                  <c:v>1.708531703406784</c:v>
                </c:pt>
                <c:pt idx="569">
                  <c:v>1.7142107268492224</c:v>
                </c:pt>
                <c:pt idx="570">
                  <c:v>1.7251585472482203</c:v>
                </c:pt>
                <c:pt idx="571">
                  <c:v>1.7215637900985976</c:v>
                </c:pt>
                <c:pt idx="572">
                  <c:v>1.7232051559890476</c:v>
                </c:pt>
                <c:pt idx="573">
                  <c:v>1.7209615946417172</c:v>
                </c:pt>
                <c:pt idx="574">
                  <c:v>1.7251031122550831</c:v>
                </c:pt>
                <c:pt idx="575">
                  <c:v>1.7053963221600481</c:v>
                </c:pt>
                <c:pt idx="576">
                  <c:v>1.7061794727918336</c:v>
                </c:pt>
                <c:pt idx="577">
                  <c:v>1.7094593618266334</c:v>
                </c:pt>
                <c:pt idx="578">
                  <c:v>1.7149089383812712</c:v>
                </c:pt>
                <c:pt idx="579">
                  <c:v>1.7241428415368589</c:v>
                </c:pt>
                <c:pt idx="580">
                  <c:v>1.7386845977561463</c:v>
                </c:pt>
                <c:pt idx="581">
                  <c:v>1.7421829591193252</c:v>
                </c:pt>
                <c:pt idx="582">
                  <c:v>1.7421548380306739</c:v>
                </c:pt>
                <c:pt idx="583">
                  <c:v>1.7483139117229596</c:v>
                </c:pt>
                <c:pt idx="584">
                  <c:v>1.7716440428177445</c:v>
                </c:pt>
                <c:pt idx="585">
                  <c:v>1.7948701318333218</c:v>
                </c:pt>
                <c:pt idx="586">
                  <c:v>1.8054634405791989</c:v>
                </c:pt>
                <c:pt idx="587">
                  <c:v>1.7905399791671761</c:v>
                </c:pt>
                <c:pt idx="588">
                  <c:v>1.818829550632074</c:v>
                </c:pt>
                <c:pt idx="589">
                  <c:v>1.8113164827894084</c:v>
                </c:pt>
                <c:pt idx="590">
                  <c:v>1.7960360619052147</c:v>
                </c:pt>
                <c:pt idx="591">
                  <c:v>1.799046267502993</c:v>
                </c:pt>
                <c:pt idx="592">
                  <c:v>1.7932686532603772</c:v>
                </c:pt>
                <c:pt idx="593">
                  <c:v>1.7868569833365717</c:v>
                </c:pt>
                <c:pt idx="594">
                  <c:v>1.7884101009132485</c:v>
                </c:pt>
                <c:pt idx="595">
                  <c:v>1.7952012219864013</c:v>
                </c:pt>
                <c:pt idx="596">
                  <c:v>1.7907312274658447</c:v>
                </c:pt>
                <c:pt idx="597">
                  <c:v>1.7883540960047972</c:v>
                </c:pt>
                <c:pt idx="598">
                  <c:v>1.7800709281786229</c:v>
                </c:pt>
                <c:pt idx="599">
                  <c:v>1.7874873449124049</c:v>
                </c:pt>
                <c:pt idx="600">
                  <c:v>1.7969588202427886</c:v>
                </c:pt>
                <c:pt idx="601">
                  <c:v>1.7932645112536783</c:v>
                </c:pt>
                <c:pt idx="602">
                  <c:v>1.8020491166226547</c:v>
                </c:pt>
                <c:pt idx="603">
                  <c:v>1.7946240388916652</c:v>
                </c:pt>
                <c:pt idx="604">
                  <c:v>1.7943500772227385</c:v>
                </c:pt>
                <c:pt idx="605">
                  <c:v>1.7903764486180198</c:v>
                </c:pt>
                <c:pt idx="606">
                  <c:v>1.7627041410447644</c:v>
                </c:pt>
                <c:pt idx="607">
                  <c:v>1.7545811885370852</c:v>
                </c:pt>
                <c:pt idx="608">
                  <c:v>1.7632496395949608</c:v>
                </c:pt>
                <c:pt idx="609">
                  <c:v>1.7637106409275776</c:v>
                </c:pt>
                <c:pt idx="610">
                  <c:v>1.7574969982011839</c:v>
                </c:pt>
                <c:pt idx="611">
                  <c:v>1.7492080614215553</c:v>
                </c:pt>
                <c:pt idx="612">
                  <c:v>1.7469318214241094</c:v>
                </c:pt>
                <c:pt idx="613">
                  <c:v>1.7597647865412518</c:v>
                </c:pt>
                <c:pt idx="614">
                  <c:v>1.7529227420239897</c:v>
                </c:pt>
                <c:pt idx="615">
                  <c:v>1.7338281930057773</c:v>
                </c:pt>
                <c:pt idx="616">
                  <c:v>1.7300524004080617</c:v>
                </c:pt>
                <c:pt idx="617">
                  <c:v>1.7137375952545422</c:v>
                </c:pt>
                <c:pt idx="618">
                  <c:v>1.7285200622113481</c:v>
                </c:pt>
                <c:pt idx="619">
                  <c:v>1.7304634781213097</c:v>
                </c:pt>
                <c:pt idx="620">
                  <c:v>1.7481972857070796</c:v>
                </c:pt>
                <c:pt idx="621">
                  <c:v>1.7353217082474386</c:v>
                </c:pt>
                <c:pt idx="622">
                  <c:v>1.722985919392231</c:v>
                </c:pt>
                <c:pt idx="623">
                  <c:v>1.7319263850490902</c:v>
                </c:pt>
                <c:pt idx="624">
                  <c:v>1.7612880420498995</c:v>
                </c:pt>
                <c:pt idx="625">
                  <c:v>1.7607419590227946</c:v>
                </c:pt>
                <c:pt idx="626">
                  <c:v>1.7627970547547189</c:v>
                </c:pt>
                <c:pt idx="627">
                  <c:v>1.7682369838535155</c:v>
                </c:pt>
                <c:pt idx="628">
                  <c:v>1.7526899884485385</c:v>
                </c:pt>
                <c:pt idx="629">
                  <c:v>1.7895626616483367</c:v>
                </c:pt>
                <c:pt idx="630">
                  <c:v>1.8062493377145834</c:v>
                </c:pt>
                <c:pt idx="631">
                  <c:v>1.7941416636702558</c:v>
                </c:pt>
                <c:pt idx="632">
                  <c:v>1.7956009157658215</c:v>
                </c:pt>
                <c:pt idx="633">
                  <c:v>1.8009442131669771</c:v>
                </c:pt>
                <c:pt idx="634">
                  <c:v>1.796889866763224</c:v>
                </c:pt>
                <c:pt idx="635">
                  <c:v>1.7987577716241854</c:v>
                </c:pt>
                <c:pt idx="636">
                  <c:v>1.8062955257091289</c:v>
                </c:pt>
                <c:pt idx="637">
                  <c:v>1.8083203466965359</c:v>
                </c:pt>
                <c:pt idx="638">
                  <c:v>1.7957589296149536</c:v>
                </c:pt>
                <c:pt idx="639">
                  <c:v>1.8048707078453861</c:v>
                </c:pt>
                <c:pt idx="640">
                  <c:v>1.8169053610909935</c:v>
                </c:pt>
                <c:pt idx="641">
                  <c:v>1.8088427486882648</c:v>
                </c:pt>
                <c:pt idx="642">
                  <c:v>1.7978999062035759</c:v>
                </c:pt>
                <c:pt idx="643">
                  <c:v>1.8150555911261248</c:v>
                </c:pt>
                <c:pt idx="644">
                  <c:v>1.8163176107597125</c:v>
                </c:pt>
                <c:pt idx="645">
                  <c:v>1.8304163112502014</c:v>
                </c:pt>
                <c:pt idx="646">
                  <c:v>1.8290881883733845</c:v>
                </c:pt>
                <c:pt idx="647">
                  <c:v>1.813970266470802</c:v>
                </c:pt>
                <c:pt idx="648">
                  <c:v>1.8243452063725989</c:v>
                </c:pt>
                <c:pt idx="649">
                  <c:v>1.8300194310574223</c:v>
                </c:pt>
                <c:pt idx="650">
                  <c:v>1.8107575548247989</c:v>
                </c:pt>
                <c:pt idx="651">
                  <c:v>1.8029079604144806</c:v>
                </c:pt>
                <c:pt idx="652">
                  <c:v>1.7958861687691094</c:v>
                </c:pt>
                <c:pt idx="653">
                  <c:v>1.8163132011338416</c:v>
                </c:pt>
                <c:pt idx="654">
                  <c:v>1.8279033552258392</c:v>
                </c:pt>
                <c:pt idx="655">
                  <c:v>1.8310043790167989</c:v>
                </c:pt>
                <c:pt idx="656">
                  <c:v>1.8254625680865921</c:v>
                </c:pt>
                <c:pt idx="657">
                  <c:v>1.8403228982210724</c:v>
                </c:pt>
                <c:pt idx="658">
                  <c:v>1.8359467885676852</c:v>
                </c:pt>
                <c:pt idx="659">
                  <c:v>1.8379645429767271</c:v>
                </c:pt>
                <c:pt idx="660">
                  <c:v>1.8257284801904174</c:v>
                </c:pt>
                <c:pt idx="661">
                  <c:v>1.8339974443480698</c:v>
                </c:pt>
                <c:pt idx="662">
                  <c:v>1.8154906887756366</c:v>
                </c:pt>
                <c:pt idx="663">
                  <c:v>1.8126355982880731</c:v>
                </c:pt>
                <c:pt idx="664">
                  <c:v>1.8103982435373982</c:v>
                </c:pt>
                <c:pt idx="665">
                  <c:v>1.796731949908646</c:v>
                </c:pt>
                <c:pt idx="666">
                  <c:v>1.7846676741485767</c:v>
                </c:pt>
                <c:pt idx="667">
                  <c:v>1.7811837477142094</c:v>
                </c:pt>
                <c:pt idx="668">
                  <c:v>1.7842891063358286</c:v>
                </c:pt>
                <c:pt idx="669">
                  <c:v>1.8057205300180492</c:v>
                </c:pt>
                <c:pt idx="670">
                  <c:v>1.817699335469614</c:v>
                </c:pt>
                <c:pt idx="671">
                  <c:v>1.8143579490830481</c:v>
                </c:pt>
                <c:pt idx="672">
                  <c:v>1.820847039310695</c:v>
                </c:pt>
                <c:pt idx="673">
                  <c:v>1.8254373530504624</c:v>
                </c:pt>
                <c:pt idx="674">
                  <c:v>1.8265869787509028</c:v>
                </c:pt>
                <c:pt idx="675">
                  <c:v>1.8398328795676513</c:v>
                </c:pt>
                <c:pt idx="676">
                  <c:v>1.8279746975782631</c:v>
                </c:pt>
                <c:pt idx="677">
                  <c:v>1.8411992318488357</c:v>
                </c:pt>
                <c:pt idx="678">
                  <c:v>1.8238954255237325</c:v>
                </c:pt>
                <c:pt idx="679">
                  <c:v>1.8015307880938489</c:v>
                </c:pt>
                <c:pt idx="680">
                  <c:v>1.8055548442059115</c:v>
                </c:pt>
                <c:pt idx="681">
                  <c:v>1.833621208169139</c:v>
                </c:pt>
                <c:pt idx="682">
                  <c:v>1.8312373335182968</c:v>
                </c:pt>
                <c:pt idx="683">
                  <c:v>1.8187378976752886</c:v>
                </c:pt>
                <c:pt idx="684">
                  <c:v>1.8478475053714101</c:v>
                </c:pt>
                <c:pt idx="685">
                  <c:v>1.8544016709129554</c:v>
                </c:pt>
                <c:pt idx="686">
                  <c:v>1.8402952560765637</c:v>
                </c:pt>
                <c:pt idx="687">
                  <c:v>1.8464435490681035</c:v>
                </c:pt>
                <c:pt idx="688">
                  <c:v>1.886825891773019</c:v>
                </c:pt>
                <c:pt idx="689">
                  <c:v>1.8788957151161949</c:v>
                </c:pt>
                <c:pt idx="690">
                  <c:v>1.9047335925017357</c:v>
                </c:pt>
                <c:pt idx="691">
                  <c:v>1.8858115648331868</c:v>
                </c:pt>
                <c:pt idx="692">
                  <c:v>1.8813268629723541</c:v>
                </c:pt>
                <c:pt idx="693">
                  <c:v>1.8856225472660448</c:v>
                </c:pt>
                <c:pt idx="694">
                  <c:v>1.8963892876285453</c:v>
                </c:pt>
                <c:pt idx="695">
                  <c:v>1.8922901988001064</c:v>
                </c:pt>
                <c:pt idx="696">
                  <c:v>1.8923011286446689</c:v>
                </c:pt>
                <c:pt idx="697">
                  <c:v>1.9081402847301248</c:v>
                </c:pt>
                <c:pt idx="698">
                  <c:v>1.8961493419422824</c:v>
                </c:pt>
                <c:pt idx="699">
                  <c:v>1.8854890833836697</c:v>
                </c:pt>
                <c:pt idx="700">
                  <c:v>1.8920829353233877</c:v>
                </c:pt>
                <c:pt idx="701">
                  <c:v>1.9003905972381421</c:v>
                </c:pt>
                <c:pt idx="702">
                  <c:v>1.8943257647119642</c:v>
                </c:pt>
                <c:pt idx="703">
                  <c:v>1.9146968951659904</c:v>
                </c:pt>
                <c:pt idx="704">
                  <c:v>1.9363585244665169</c:v>
                </c:pt>
                <c:pt idx="705">
                  <c:v>1.9568577758986987</c:v>
                </c:pt>
                <c:pt idx="706">
                  <c:v>1.9417892924445461</c:v>
                </c:pt>
                <c:pt idx="707">
                  <c:v>1.948576301339831</c:v>
                </c:pt>
                <c:pt idx="708">
                  <c:v>1.9653871824117994</c:v>
                </c:pt>
                <c:pt idx="709">
                  <c:v>1.9705452310912275</c:v>
                </c:pt>
                <c:pt idx="710">
                  <c:v>1.9785978334458627</c:v>
                </c:pt>
                <c:pt idx="711">
                  <c:v>1.9836938587414013</c:v>
                </c:pt>
                <c:pt idx="712">
                  <c:v>1.9839440241186117</c:v>
                </c:pt>
                <c:pt idx="713">
                  <c:v>1.990195091455137</c:v>
                </c:pt>
                <c:pt idx="714">
                  <c:v>2.005515787958366</c:v>
                </c:pt>
                <c:pt idx="715">
                  <c:v>2.0001743298825532</c:v>
                </c:pt>
                <c:pt idx="716">
                  <c:v>2.0069801422542968</c:v>
                </c:pt>
                <c:pt idx="717">
                  <c:v>2.0085276443474585</c:v>
                </c:pt>
                <c:pt idx="718">
                  <c:v>2.0042445304131826</c:v>
                </c:pt>
                <c:pt idx="719">
                  <c:v>1.9967333489156824</c:v>
                </c:pt>
                <c:pt idx="720">
                  <c:v>2.027005487560908</c:v>
                </c:pt>
                <c:pt idx="721">
                  <c:v>2.0322114317891624</c:v>
                </c:pt>
                <c:pt idx="722">
                  <c:v>1.9831074300293097</c:v>
                </c:pt>
                <c:pt idx="723">
                  <c:v>1.9881182997605191</c:v>
                </c:pt>
                <c:pt idx="724">
                  <c:v>2.0124224608734238</c:v>
                </c:pt>
                <c:pt idx="725">
                  <c:v>2.0074300173200816</c:v>
                </c:pt>
                <c:pt idx="726">
                  <c:v>1.994772017284306</c:v>
                </c:pt>
                <c:pt idx="727">
                  <c:v>1.9760154926271667</c:v>
                </c:pt>
                <c:pt idx="728">
                  <c:v>1.9975774555151291</c:v>
                </c:pt>
                <c:pt idx="729">
                  <c:v>1.9897247882977527</c:v>
                </c:pt>
                <c:pt idx="730">
                  <c:v>1.9992155551499928</c:v>
                </c:pt>
                <c:pt idx="731">
                  <c:v>2.0077697715315468</c:v>
                </c:pt>
                <c:pt idx="732">
                  <c:v>2.0349647420658448</c:v>
                </c:pt>
                <c:pt idx="733">
                  <c:v>2.0115475176885895</c:v>
                </c:pt>
                <c:pt idx="734">
                  <c:v>1.9891425195229919</c:v>
                </c:pt>
                <c:pt idx="735">
                  <c:v>1.9827226310574912</c:v>
                </c:pt>
                <c:pt idx="736">
                  <c:v>1.9849419414039171</c:v>
                </c:pt>
                <c:pt idx="737">
                  <c:v>1.9983611981158751</c:v>
                </c:pt>
                <c:pt idx="738">
                  <c:v>2.000468978146249</c:v>
                </c:pt>
                <c:pt idx="739">
                  <c:v>1.9975131777836137</c:v>
                </c:pt>
                <c:pt idx="740">
                  <c:v>1.9822177931860963</c:v>
                </c:pt>
                <c:pt idx="741">
                  <c:v>1.9933332923438609</c:v>
                </c:pt>
                <c:pt idx="742">
                  <c:v>1.9941254806747657</c:v>
                </c:pt>
                <c:pt idx="743">
                  <c:v>1.9973582131818797</c:v>
                </c:pt>
                <c:pt idx="744">
                  <c:v>1.9899101383042521</c:v>
                </c:pt>
                <c:pt idx="745">
                  <c:v>1.9839901794444146</c:v>
                </c:pt>
                <c:pt idx="746">
                  <c:v>1.9802965359440754</c:v>
                </c:pt>
                <c:pt idx="747">
                  <c:v>1.9934074414804117</c:v>
                </c:pt>
                <c:pt idx="748">
                  <c:v>1.9821709231962479</c:v>
                </c:pt>
                <c:pt idx="749">
                  <c:v>1.9629565440679266</c:v>
                </c:pt>
                <c:pt idx="750">
                  <c:v>1.9557250233216188</c:v>
                </c:pt>
              </c:numCache>
            </c:numRef>
          </c:val>
          <c:smooth val="0"/>
          <c:extLst>
            <c:ext xmlns:c16="http://schemas.microsoft.com/office/drawing/2014/chart" uri="{C3380CC4-5D6E-409C-BE32-E72D297353CC}">
              <c16:uniqueId val="{00000001-B6DC-4E14-8329-6FFEDE90870C}"/>
            </c:ext>
          </c:extLst>
        </c:ser>
        <c:ser>
          <c:idx val="1"/>
          <c:order val="1"/>
          <c:tx>
            <c:v>S&amp;P500</c:v>
          </c:tx>
          <c:spPr>
            <a:ln w="12700" cap="rnd">
              <a:solidFill>
                <a:schemeClr val="accent2"/>
              </a:solidFill>
              <a:round/>
            </a:ln>
            <a:effectLst/>
          </c:spPr>
          <c:marker>
            <c:symbol val="none"/>
          </c:marker>
          <c:cat>
            <c:numRef>
              <c:f>'01_Data_Raw'!$A$3:$A$754</c:f>
              <c:numCache>
                <c:formatCode>m/d/yyyy</c:formatCode>
                <c:ptCount val="752"/>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'01_Data_Raw'!$X$4:$X$754</c:f>
              <c:numCache>
                <c:formatCode>_(* #,##0.00_);_(* \(#,##0.00\);_(* "-"??_);_(@_)</c:formatCode>
                <c:ptCount val="751"/>
                <c:pt idx="0">
                  <c:v>0.98661393367812589</c:v>
                </c:pt>
                <c:pt idx="1">
                  <c:v>0.99379841332990104</c:v>
                </c:pt>
                <c:pt idx="2">
                  <c:v>0.99342397790831005</c:v>
                </c:pt>
                <c:pt idx="3">
                  <c:v>1.0052186936884231</c:v>
                </c:pt>
                <c:pt idx="4">
                  <c:v>1.0116543024970164</c:v>
                </c:pt>
                <c:pt idx="5">
                  <c:v>1.0169198006131381</c:v>
                </c:pt>
                <c:pt idx="6">
                  <c:v>1.0210853946783367</c:v>
                </c:pt>
                <c:pt idx="7">
                  <c:v>1.0148604057943884</c:v>
                </c:pt>
                <c:pt idx="8">
                  <c:v>1.0098055276029114</c:v>
                </c:pt>
                <c:pt idx="9">
                  <c:v>1.0204301326905529</c:v>
                </c:pt>
                <c:pt idx="10">
                  <c:v>1.0203833282628541</c:v>
                </c:pt>
                <c:pt idx="11">
                  <c:v>1.0067866420163352</c:v>
                </c:pt>
                <c:pt idx="12">
                  <c:v>0.99794060518125061</c:v>
                </c:pt>
                <c:pt idx="13">
                  <c:v>0.98567784512414924</c:v>
                </c:pt>
                <c:pt idx="14">
                  <c:v>0.98396948351314073</c:v>
                </c:pt>
                <c:pt idx="15">
                  <c:v>0.99138798530340999</c:v>
                </c:pt>
                <c:pt idx="16">
                  <c:v>0.97715943928295645</c:v>
                </c:pt>
                <c:pt idx="17">
                  <c:v>0.96545833235824141</c:v>
                </c:pt>
                <c:pt idx="18">
                  <c:v>0.96108211836839796</c:v>
                </c:pt>
                <c:pt idx="19">
                  <c:v>0.97257260536846801</c:v>
                </c:pt>
                <c:pt idx="20">
                  <c:v>0.97868058318316919</c:v>
                </c:pt>
                <c:pt idx="21">
                  <c:v>0.98911797056001516</c:v>
                </c:pt>
                <c:pt idx="22">
                  <c:v>1.0080737637780535</c:v>
                </c:pt>
                <c:pt idx="23">
                  <c:v>1.0172708338208796</c:v>
                </c:pt>
                <c:pt idx="24">
                  <c:v>1.0196110552058224</c:v>
                </c:pt>
                <c:pt idx="25">
                  <c:v>1.0225129297231519</c:v>
                </c:pt>
                <c:pt idx="26">
                  <c:v>1.0232618005663336</c:v>
                </c:pt>
                <c:pt idx="27">
                  <c:v>1.015281645643678</c:v>
                </c:pt>
                <c:pt idx="28">
                  <c:v>1.0311249444197423</c:v>
                </c:pt>
                <c:pt idx="29">
                  <c:v>1.0301420514380661</c:v>
                </c:pt>
                <c:pt idx="30">
                  <c:v>1.0501275420654796</c:v>
                </c:pt>
                <c:pt idx="31">
                  <c:v>1.0523507523811755</c:v>
                </c:pt>
                <c:pt idx="32">
                  <c:v>1.053637874142894</c:v>
                </c:pt>
                <c:pt idx="33">
                  <c:v>1.054948398118462</c:v>
                </c:pt>
                <c:pt idx="34">
                  <c:v>1.0630689663242143</c:v>
                </c:pt>
                <c:pt idx="35">
                  <c:v>1.0607521471531207</c:v>
                </c:pt>
                <c:pt idx="36">
                  <c:v>1.0648475345767712</c:v>
                </c:pt>
                <c:pt idx="37">
                  <c:v>1.0655027965645554</c:v>
                </c:pt>
                <c:pt idx="38">
                  <c:v>1.0635838150289021</c:v>
                </c:pt>
                <c:pt idx="39">
                  <c:v>1.0646369146521264</c:v>
                </c:pt>
                <c:pt idx="40">
                  <c:v>1.0638880438089446</c:v>
                </c:pt>
                <c:pt idx="41">
                  <c:v>1.0680770400879926</c:v>
                </c:pt>
                <c:pt idx="42">
                  <c:v>1.0743956378273389</c:v>
                </c:pt>
                <c:pt idx="43">
                  <c:v>1.0687557042896263</c:v>
                </c:pt>
                <c:pt idx="44">
                  <c:v>1.0685450843649815</c:v>
                </c:pt>
                <c:pt idx="45">
                  <c:v>1.0642390770166863</c:v>
                </c:pt>
                <c:pt idx="46">
                  <c:v>1.0723596452224387</c:v>
                </c:pt>
                <c:pt idx="47">
                  <c:v>1.0769698813507762</c:v>
                </c:pt>
                <c:pt idx="48">
                  <c:v>1.0811588776298242</c:v>
                </c:pt>
                <c:pt idx="49">
                  <c:v>1.086096744752054</c:v>
                </c:pt>
                <c:pt idx="50">
                  <c:v>1.1010741616156892</c:v>
                </c:pt>
                <c:pt idx="51">
                  <c:v>1.104607895906953</c:v>
                </c:pt>
                <c:pt idx="52">
                  <c:v>1.0983361025953058</c:v>
                </c:pt>
                <c:pt idx="53">
                  <c:v>1.1045142870515554</c:v>
                </c:pt>
                <c:pt idx="54">
                  <c:v>1.1112307224263418</c:v>
                </c:pt>
                <c:pt idx="55">
                  <c:v>1.0958320657134166</c:v>
                </c:pt>
                <c:pt idx="56">
                  <c:v>1.1062226486625637</c:v>
                </c:pt>
                <c:pt idx="57">
                  <c:v>1.1084458589782595</c:v>
                </c:pt>
                <c:pt idx="58">
                  <c:v>1.1131263017481454</c:v>
                </c:pt>
                <c:pt idx="59">
                  <c:v>1.1151388921391963</c:v>
                </c:pt>
                <c:pt idx="60">
                  <c:v>1.1155601319884858</c:v>
                </c:pt>
                <c:pt idx="61">
                  <c:v>1.1123306264772646</c:v>
                </c:pt>
                <c:pt idx="62">
                  <c:v>1.106105637593316</c:v>
                </c:pt>
                <c:pt idx="63">
                  <c:v>1.097072383047436</c:v>
                </c:pt>
                <c:pt idx="64">
                  <c:v>1.093538648756172</c:v>
                </c:pt>
                <c:pt idx="65">
                  <c:v>1.0950363904425358</c:v>
                </c:pt>
                <c:pt idx="66">
                  <c:v>1.1106690692939551</c:v>
                </c:pt>
                <c:pt idx="67">
                  <c:v>1.1089841098967961</c:v>
                </c:pt>
                <c:pt idx="68">
                  <c:v>1.1152559032084435</c:v>
                </c:pt>
                <c:pt idx="69">
                  <c:v>1.1147644567176054</c:v>
                </c:pt>
                <c:pt idx="70">
                  <c:v>1.1155367297746364</c:v>
                </c:pt>
                <c:pt idx="71">
                  <c:v>1.1114413423509861</c:v>
                </c:pt>
                <c:pt idx="72">
                  <c:v>1.1052631578947365</c:v>
                </c:pt>
                <c:pt idx="73">
                  <c:v>1.1150920877114969</c:v>
                </c:pt>
                <c:pt idx="74">
                  <c:v>1.1289930027380584</c:v>
                </c:pt>
                <c:pt idx="75">
                  <c:v>1.1313800285507001</c:v>
                </c:pt>
                <c:pt idx="76">
                  <c:v>1.1346797407034699</c:v>
                </c:pt>
                <c:pt idx="77">
                  <c:v>1.1359200580374895</c:v>
                </c:pt>
                <c:pt idx="78">
                  <c:v>1.1420982424937391</c:v>
                </c:pt>
                <c:pt idx="79">
                  <c:v>1.1406473052350747</c:v>
                </c:pt>
                <c:pt idx="80">
                  <c:v>1.1496805597809545</c:v>
                </c:pt>
                <c:pt idx="81">
                  <c:v>1.1487912756546761</c:v>
                </c:pt>
                <c:pt idx="82">
                  <c:v>1.1300461023612827</c:v>
                </c:pt>
                <c:pt idx="83">
                  <c:v>1.1448363015141225</c:v>
                </c:pt>
                <c:pt idx="84">
                  <c:v>1.1568884416465792</c:v>
                </c:pt>
                <c:pt idx="85">
                  <c:v>1.1526760431536818</c:v>
                </c:pt>
                <c:pt idx="86">
                  <c:v>1.1560225597341505</c:v>
                </c:pt>
                <c:pt idx="87">
                  <c:v>1.1656642718401158</c:v>
                </c:pt>
                <c:pt idx="88">
                  <c:v>1.1661791205448033</c:v>
                </c:pt>
                <c:pt idx="89">
                  <c:v>1.1729189581334392</c:v>
                </c:pt>
                <c:pt idx="90">
                  <c:v>1.1724041094287516</c:v>
                </c:pt>
                <c:pt idx="91">
                  <c:v>1.1562565818726447</c:v>
                </c:pt>
                <c:pt idx="92">
                  <c:v>1.1667641758910388</c:v>
                </c:pt>
                <c:pt idx="93">
                  <c:v>1.1748145374552428</c:v>
                </c:pt>
                <c:pt idx="94">
                  <c:v>1.1689639839928854</c:v>
                </c:pt>
                <c:pt idx="95">
                  <c:v>1.1625283751842921</c:v>
                </c:pt>
                <c:pt idx="96">
                  <c:v>1.1635814748075164</c:v>
                </c:pt>
                <c:pt idx="97">
                  <c:v>1.1876623528585801</c:v>
                </c:pt>
                <c:pt idx="98">
                  <c:v>1.1884814303433102</c:v>
                </c:pt>
                <c:pt idx="99">
                  <c:v>1.1841286185673161</c:v>
                </c:pt>
                <c:pt idx="100">
                  <c:v>1.1863284266691625</c:v>
                </c:pt>
                <c:pt idx="101">
                  <c:v>1.1847604783412506</c:v>
                </c:pt>
                <c:pt idx="102">
                  <c:v>1.1890196812618468</c:v>
                </c:pt>
                <c:pt idx="103">
                  <c:v>1.2001825372680253</c:v>
                </c:pt>
                <c:pt idx="104">
                  <c:v>1.1988954155063065</c:v>
                </c:pt>
                <c:pt idx="105">
                  <c:v>1.1869134820153984</c:v>
                </c:pt>
                <c:pt idx="106">
                  <c:v>1.1929278509747019</c:v>
                </c:pt>
                <c:pt idx="107">
                  <c:v>1.2047693711825134</c:v>
                </c:pt>
                <c:pt idx="108">
                  <c:v>1.1975380871030397</c:v>
                </c:pt>
                <c:pt idx="109">
                  <c:v>1.1965083896936646</c:v>
                </c:pt>
                <c:pt idx="110">
                  <c:v>1.2093796073108511</c:v>
                </c:pt>
                <c:pt idx="111">
                  <c:v>1.2074840279890475</c:v>
                </c:pt>
                <c:pt idx="112">
                  <c:v>1.2050970021764056</c:v>
                </c:pt>
                <c:pt idx="113">
                  <c:v>1.1931150686854972</c:v>
                </c:pt>
                <c:pt idx="114">
                  <c:v>1.2002059394818745</c:v>
                </c:pt>
                <c:pt idx="115">
                  <c:v>1.206875570428962</c:v>
                </c:pt>
                <c:pt idx="116">
                  <c:v>1.21803842643514</c:v>
                </c:pt>
                <c:pt idx="117">
                  <c:v>1.2220636072172422</c:v>
                </c:pt>
                <c:pt idx="118">
                  <c:v>1.2197467880461486</c:v>
                </c:pt>
                <c:pt idx="119">
                  <c:v>1.2163768692518304</c:v>
                </c:pt>
                <c:pt idx="120">
                  <c:v>1.2141302567222849</c:v>
                </c:pt>
                <c:pt idx="121">
                  <c:v>1.2243336219606367</c:v>
                </c:pt>
                <c:pt idx="122">
                  <c:v>1.2240995998221424</c:v>
                </c:pt>
                <c:pt idx="123">
                  <c:v>1.2219699983618442</c:v>
                </c:pt>
                <c:pt idx="124">
                  <c:v>1.2142004633638335</c:v>
                </c:pt>
                <c:pt idx="125">
                  <c:v>1.2155343895532509</c:v>
                </c:pt>
                <c:pt idx="126">
                  <c:v>1.2006973859727124</c:v>
                </c:pt>
                <c:pt idx="127">
                  <c:v>1.2132409725960067</c:v>
                </c:pt>
                <c:pt idx="128">
                  <c:v>1.2139196367976404</c:v>
                </c:pt>
                <c:pt idx="129">
                  <c:v>1.2153237696286063</c:v>
                </c:pt>
                <c:pt idx="130">
                  <c:v>1.2031546184269026</c:v>
                </c:pt>
                <c:pt idx="131">
                  <c:v>1.2122346774004815</c:v>
                </c:pt>
                <c:pt idx="132">
                  <c:v>1.1955020944981389</c:v>
                </c:pt>
                <c:pt idx="133">
                  <c:v>1.1805246776345035</c:v>
                </c:pt>
                <c:pt idx="134">
                  <c:v>1.178371673960356</c:v>
                </c:pt>
                <c:pt idx="135">
                  <c:v>1.171397814233226</c:v>
                </c:pt>
                <c:pt idx="136">
                  <c:v>1.1689873862067346</c:v>
                </c:pt>
                <c:pt idx="137">
                  <c:v>1.1587840209683831</c:v>
                </c:pt>
                <c:pt idx="138">
                  <c:v>1.169455430483723</c:v>
                </c:pt>
                <c:pt idx="139">
                  <c:v>1.183332943296435</c:v>
                </c:pt>
                <c:pt idx="140">
                  <c:v>1.1827712901640488</c:v>
                </c:pt>
                <c:pt idx="141">
                  <c:v>1.1782780651049582</c:v>
                </c:pt>
                <c:pt idx="142">
                  <c:v>1.1894409211111363</c:v>
                </c:pt>
                <c:pt idx="143">
                  <c:v>1.1936533196040338</c:v>
                </c:pt>
                <c:pt idx="144">
                  <c:v>1.1747443308136942</c:v>
                </c:pt>
                <c:pt idx="145">
                  <c:v>1.1709297699562371</c:v>
                </c:pt>
                <c:pt idx="146">
                  <c:v>1.1818820060377704</c:v>
                </c:pt>
                <c:pt idx="147">
                  <c:v>1.1965317919075138</c:v>
                </c:pt>
                <c:pt idx="148">
                  <c:v>1.2088881608200128</c:v>
                </c:pt>
                <c:pt idx="149">
                  <c:v>1.2102220870094302</c:v>
                </c:pt>
                <c:pt idx="150">
                  <c:v>1.2103390980786775</c:v>
                </c:pt>
                <c:pt idx="151">
                  <c:v>1.2173129578058075</c:v>
                </c:pt>
                <c:pt idx="152">
                  <c:v>1.2188809061337196</c:v>
                </c:pt>
                <c:pt idx="153">
                  <c:v>1.2190447216306655</c:v>
                </c:pt>
                <c:pt idx="154">
                  <c:v>1.2246378507406794</c:v>
                </c:pt>
                <c:pt idx="155">
                  <c:v>1.2398024853151102</c:v>
                </c:pt>
                <c:pt idx="156">
                  <c:v>1.2372516440055223</c:v>
                </c:pt>
                <c:pt idx="157">
                  <c:v>1.239030212258079</c:v>
                </c:pt>
                <c:pt idx="158">
                  <c:v>1.2404577473028939</c:v>
                </c:pt>
                <c:pt idx="159">
                  <c:v>1.2435000351033199</c:v>
                </c:pt>
                <c:pt idx="160">
                  <c:v>1.2399194963843572</c:v>
                </c:pt>
                <c:pt idx="161">
                  <c:v>1.2308628396246277</c:v>
                </c:pt>
                <c:pt idx="162">
                  <c:v>1.2390068100442295</c:v>
                </c:pt>
                <c:pt idx="163">
                  <c:v>1.2398726919566583</c:v>
                </c:pt>
                <c:pt idx="164">
                  <c:v>1.2311904706185199</c:v>
                </c:pt>
                <c:pt idx="165">
                  <c:v>1.2230230979850689</c:v>
                </c:pt>
                <c:pt idx="166">
                  <c:v>1.2341625517773978</c:v>
                </c:pt>
                <c:pt idx="167">
                  <c:v>1.235168846972923</c:v>
                </c:pt>
                <c:pt idx="168">
                  <c:v>1.2365495775900395</c:v>
                </c:pt>
                <c:pt idx="169">
                  <c:v>1.2512461678874816</c:v>
                </c:pt>
                <c:pt idx="170">
                  <c:v>1.2512227656736321</c:v>
                </c:pt>
                <c:pt idx="171">
                  <c:v>1.2497016217734191</c:v>
                </c:pt>
                <c:pt idx="172">
                  <c:v>1.2535629870585749</c:v>
                </c:pt>
                <c:pt idx="173">
                  <c:v>1.2565818726451514</c:v>
                </c:pt>
                <c:pt idx="174">
                  <c:v>1.2669022489527499</c:v>
                </c:pt>
                <c:pt idx="175">
                  <c:v>1.269453090262338</c:v>
                </c:pt>
                <c:pt idx="176">
                  <c:v>1.270225363319369</c:v>
                </c:pt>
                <c:pt idx="177">
                  <c:v>1.2803351197023229</c:v>
                </c:pt>
                <c:pt idx="178">
                  <c:v>1.2835880274273936</c:v>
                </c:pt>
                <c:pt idx="179">
                  <c:v>1.2801010975638285</c:v>
                </c:pt>
                <c:pt idx="180">
                  <c:v>1.2742739463153203</c:v>
                </c:pt>
                <c:pt idx="181">
                  <c:v>1.2701317544639712</c:v>
                </c:pt>
                <c:pt idx="182">
                  <c:v>1.2750228171585023</c:v>
                </c:pt>
                <c:pt idx="183">
                  <c:v>1.2766141677002634</c:v>
                </c:pt>
                <c:pt idx="184">
                  <c:v>1.2786267580913144</c:v>
                </c:pt>
                <c:pt idx="185">
                  <c:v>1.2735952821136871</c:v>
                </c:pt>
                <c:pt idx="186">
                  <c:v>1.2762163300648233</c:v>
                </c:pt>
                <c:pt idx="187">
                  <c:v>1.2848049425475641</c:v>
                </c:pt>
                <c:pt idx="188">
                  <c:v>1.2905384849406747</c:v>
                </c:pt>
                <c:pt idx="189">
                  <c:v>1.2979803889447934</c:v>
                </c:pt>
                <c:pt idx="190">
                  <c:v>1.2994781306311569</c:v>
                </c:pt>
                <c:pt idx="191">
                  <c:v>1.3007418501790262</c:v>
                </c:pt>
                <c:pt idx="192">
                  <c:v>1.3136130677962128</c:v>
                </c:pt>
                <c:pt idx="193">
                  <c:v>1.3022863962930886</c:v>
                </c:pt>
                <c:pt idx="194">
                  <c:v>1.3105005733542385</c:v>
                </c:pt>
                <c:pt idx="195">
                  <c:v>1.3141045142870507</c:v>
                </c:pt>
                <c:pt idx="196">
                  <c:v>1.321897451498911</c:v>
                </c:pt>
                <c:pt idx="197">
                  <c:v>1.3033628981301626</c:v>
                </c:pt>
                <c:pt idx="198">
                  <c:v>1.2933467506026064</c:v>
                </c:pt>
                <c:pt idx="199">
                  <c:v>1.2847581381198656</c:v>
                </c:pt>
                <c:pt idx="200">
                  <c:v>1.2980037911586428</c:v>
                </c:pt>
                <c:pt idx="201">
                  <c:v>1.2959677985537423</c:v>
                </c:pt>
                <c:pt idx="202">
                  <c:v>1.2665980201727076</c:v>
                </c:pt>
                <c:pt idx="203">
                  <c:v>1.2599985958671682</c:v>
                </c:pt>
                <c:pt idx="204">
                  <c:v>1.2741101308183747</c:v>
                </c:pt>
                <c:pt idx="205">
                  <c:v>1.2748590016615564</c:v>
                </c:pt>
                <c:pt idx="206">
                  <c:v>1.2683999906391137</c:v>
                </c:pt>
                <c:pt idx="207">
                  <c:v>1.2890173410404615</c:v>
                </c:pt>
                <c:pt idx="208">
                  <c:v>1.2707636142379062</c:v>
                </c:pt>
                <c:pt idx="209">
                  <c:v>1.2471039760361322</c:v>
                </c:pt>
                <c:pt idx="210">
                  <c:v>1.2107837401418167</c:v>
                </c:pt>
                <c:pt idx="211">
                  <c:v>1.2219465961479947</c:v>
                </c:pt>
                <c:pt idx="212">
                  <c:v>1.2137792235145437</c:v>
                </c:pt>
                <c:pt idx="213">
                  <c:v>1.2418384779200105</c:v>
                </c:pt>
                <c:pt idx="214">
                  <c:v>1.2473145959607772</c:v>
                </c:pt>
                <c:pt idx="215">
                  <c:v>1.247969857948561</c:v>
                </c:pt>
                <c:pt idx="216">
                  <c:v>1.268493599494511</c:v>
                </c:pt>
                <c:pt idx="217">
                  <c:v>1.2724953780627637</c:v>
                </c:pt>
                <c:pt idx="218">
                  <c:v>1.2943062413704327</c:v>
                </c:pt>
                <c:pt idx="219">
                  <c:v>1.297208115887762</c:v>
                </c:pt>
                <c:pt idx="220">
                  <c:v>1.3096112892279601</c:v>
                </c:pt>
                <c:pt idx="221">
                  <c:v>1.307481687767662</c:v>
                </c:pt>
                <c:pt idx="222">
                  <c:v>1.3119749128267526</c:v>
                </c:pt>
                <c:pt idx="223">
                  <c:v>1.3016779387330035</c:v>
                </c:pt>
                <c:pt idx="224">
                  <c:v>1.3155086471180166</c:v>
                </c:pt>
                <c:pt idx="225">
                  <c:v>1.3123727504621929</c:v>
                </c:pt>
                <c:pt idx="226">
                  <c:v>1.314174720928599</c:v>
                </c:pt>
                <c:pt idx="227">
                  <c:v>1.3065455992136847</c:v>
                </c:pt>
                <c:pt idx="228">
                  <c:v>1.306662610282932</c:v>
                </c:pt>
                <c:pt idx="229">
                  <c:v>1.319135990264678</c:v>
                </c:pt>
                <c:pt idx="230">
                  <c:v>1.2919894221993391</c:v>
                </c:pt>
                <c:pt idx="231">
                  <c:v>1.2893449720343535</c:v>
                </c:pt>
                <c:pt idx="232">
                  <c:v>1.2862090753785298</c:v>
                </c:pt>
                <c:pt idx="233">
                  <c:v>1.2645620275678069</c:v>
                </c:pt>
                <c:pt idx="234">
                  <c:v>1.2787203669467122</c:v>
                </c:pt>
                <c:pt idx="235">
                  <c:v>1.2842900938428765</c:v>
                </c:pt>
                <c:pt idx="236">
                  <c:v>1.2974655402401059</c:v>
                </c:pt>
                <c:pt idx="237">
                  <c:v>1.3083943741077899</c:v>
                </c:pt>
                <c:pt idx="238">
                  <c:v>1.3152278205518235</c:v>
                </c:pt>
                <c:pt idx="239">
                  <c:v>1.3171702043013263</c:v>
                </c:pt>
                <c:pt idx="240">
                  <c:v>1.3177084552198632</c:v>
                </c:pt>
                <c:pt idx="241">
                  <c:v>1.3138002855070083</c:v>
                </c:pt>
                <c:pt idx="242">
                  <c:v>1.3362196063747624</c:v>
                </c:pt>
                <c:pt idx="243">
                  <c:v>1.3298308019938681</c:v>
                </c:pt>
                <c:pt idx="244">
                  <c:v>1.3331539163604871</c:v>
                </c:pt>
                <c:pt idx="245">
                  <c:v>1.3369684772179442</c:v>
                </c:pt>
                <c:pt idx="246">
                  <c:v>1.3340197982729161</c:v>
                </c:pt>
                <c:pt idx="247">
                  <c:v>1.3393086986028875</c:v>
                </c:pt>
                <c:pt idx="248">
                  <c:v>1.337366314853385</c:v>
                </c:pt>
                <c:pt idx="249">
                  <c:v>1.3427254218249045</c:v>
                </c:pt>
                <c:pt idx="250">
                  <c:v>1.3306966839062975</c:v>
                </c:pt>
                <c:pt idx="251">
                  <c:v>1.3312583370386837</c:v>
                </c:pt>
                <c:pt idx="252">
                  <c:v>1.3288245067983431</c:v>
                </c:pt>
                <c:pt idx="253">
                  <c:v>1.3409000491446488</c:v>
                </c:pt>
                <c:pt idx="254">
                  <c:v>1.3287777023706437</c:v>
                </c:pt>
                <c:pt idx="255">
                  <c:v>1.3413446912077875</c:v>
                </c:pt>
                <c:pt idx="256">
                  <c:v>1.3506353701060112</c:v>
                </c:pt>
                <c:pt idx="257">
                  <c:v>1.3482717465072187</c:v>
                </c:pt>
                <c:pt idx="258">
                  <c:v>1.3563455102852722</c:v>
                </c:pt>
                <c:pt idx="259">
                  <c:v>1.3674381596499021</c:v>
                </c:pt>
                <c:pt idx="260">
                  <c:v>1.3568135545622606</c:v>
                </c:pt>
                <c:pt idx="261">
                  <c:v>1.3627109124523169</c:v>
                </c:pt>
                <c:pt idx="262">
                  <c:v>1.3628279235215641</c:v>
                </c:pt>
                <c:pt idx="263">
                  <c:v>1.3680700194238364</c:v>
                </c:pt>
                <c:pt idx="264">
                  <c:v>1.3658234068942909</c:v>
                </c:pt>
                <c:pt idx="265">
                  <c:v>1.3650979382649586</c:v>
                </c:pt>
                <c:pt idx="266">
                  <c:v>1.3526245582832122</c:v>
                </c:pt>
                <c:pt idx="267">
                  <c:v>1.3555498350143909</c:v>
                </c:pt>
                <c:pt idx="268">
                  <c:v>1.3550817907374022</c:v>
                </c:pt>
                <c:pt idx="269">
                  <c:v>1.3592707870164504</c:v>
                </c:pt>
                <c:pt idx="270">
                  <c:v>1.3614705951182968</c:v>
                </c:pt>
                <c:pt idx="271">
                  <c:v>1.3573518054807971</c:v>
                </c:pt>
                <c:pt idx="272">
                  <c:v>1.330743488333995</c:v>
                </c:pt>
                <c:pt idx="273">
                  <c:v>1.3363600196578584</c:v>
                </c:pt>
                <c:pt idx="274">
                  <c:v>1.3334815473543786</c:v>
                </c:pt>
                <c:pt idx="275">
                  <c:v>1.3496056726966361</c:v>
                </c:pt>
                <c:pt idx="276">
                  <c:v>1.3831644473567188</c:v>
                </c:pt>
                <c:pt idx="277">
                  <c:v>1.3938592590859085</c:v>
                </c:pt>
                <c:pt idx="278">
                  <c:v>1.3998970302590616</c:v>
                </c:pt>
                <c:pt idx="279">
                  <c:v>1.4012309564484791</c:v>
                </c:pt>
                <c:pt idx="280">
                  <c:v>1.3968781446724849</c:v>
                </c:pt>
                <c:pt idx="281">
                  <c:v>1.3975568088741186</c:v>
                </c:pt>
                <c:pt idx="282">
                  <c:v>1.3885703587559373</c:v>
                </c:pt>
                <c:pt idx="283">
                  <c:v>1.3707846762303704</c:v>
                </c:pt>
                <c:pt idx="284">
                  <c:v>1.3764012075542336</c:v>
                </c:pt>
                <c:pt idx="285">
                  <c:v>1.3814326835318609</c:v>
                </c:pt>
                <c:pt idx="286">
                  <c:v>1.3819007278088495</c:v>
                </c:pt>
                <c:pt idx="287">
                  <c:v>1.3893192295991188</c:v>
                </c:pt>
                <c:pt idx="288">
                  <c:v>1.3936252369474138</c:v>
                </c:pt>
                <c:pt idx="289">
                  <c:v>1.3983524841449986</c:v>
                </c:pt>
                <c:pt idx="290">
                  <c:v>1.4056539748660206</c:v>
                </c:pt>
                <c:pt idx="291">
                  <c:v>1.4013947719454245</c:v>
                </c:pt>
                <c:pt idx="292">
                  <c:v>1.4101003954974123</c:v>
                </c:pt>
                <c:pt idx="293">
                  <c:v>1.4126278345931507</c:v>
                </c:pt>
                <c:pt idx="294">
                  <c:v>1.4132830965809347</c:v>
                </c:pt>
                <c:pt idx="295">
                  <c:v>1.4220589267744708</c:v>
                </c:pt>
                <c:pt idx="296">
                  <c:v>1.4197187053895277</c:v>
                </c:pt>
                <c:pt idx="297">
                  <c:v>1.4224099599822122</c:v>
                </c:pt>
                <c:pt idx="298">
                  <c:v>1.4150850670473405</c:v>
                </c:pt>
                <c:pt idx="299">
                  <c:v>1.4106854508436475</c:v>
                </c:pt>
                <c:pt idx="300">
                  <c:v>1.4215908824974821</c:v>
                </c:pt>
                <c:pt idx="301">
                  <c:v>1.4142659895626104</c:v>
                </c:pt>
                <c:pt idx="302">
                  <c:v>1.4139851629964173</c:v>
                </c:pt>
                <c:pt idx="303">
                  <c:v>1.42002293416957</c:v>
                </c:pt>
                <c:pt idx="304">
                  <c:v>1.4141723807072124</c:v>
                </c:pt>
                <c:pt idx="305">
                  <c:v>1.3720249935643889</c:v>
                </c:pt>
                <c:pt idx="306">
                  <c:v>1.3716037537150993</c:v>
                </c:pt>
                <c:pt idx="307">
                  <c:v>1.3834218717090614</c:v>
                </c:pt>
                <c:pt idx="308">
                  <c:v>1.3917062554117599</c:v>
                </c:pt>
                <c:pt idx="309">
                  <c:v>1.4071751187662329</c:v>
                </c:pt>
                <c:pt idx="310">
                  <c:v>1.4072687276216307</c:v>
                </c:pt>
                <c:pt idx="311">
                  <c:v>1.3924551262549412</c:v>
                </c:pt>
                <c:pt idx="312">
                  <c:v>1.3765650230511783</c:v>
                </c:pt>
                <c:pt idx="313">
                  <c:v>1.3715569492874005</c:v>
                </c:pt>
                <c:pt idx="314">
                  <c:v>1.3681870304930823</c:v>
                </c:pt>
                <c:pt idx="315">
                  <c:v>1.385294048817016</c:v>
                </c:pt>
                <c:pt idx="316">
                  <c:v>1.3932742037396715</c:v>
                </c:pt>
                <c:pt idx="317">
                  <c:v>1.3775245138190049</c:v>
                </c:pt>
                <c:pt idx="318">
                  <c:v>1.3795371042100557</c:v>
                </c:pt>
                <c:pt idx="319">
                  <c:v>1.3584751117455685</c:v>
                </c:pt>
                <c:pt idx="320">
                  <c:v>1.3605813109920171</c:v>
                </c:pt>
                <c:pt idx="321">
                  <c:v>1.3624534880999715</c:v>
                </c:pt>
                <c:pt idx="322">
                  <c:v>1.3872364325665176</c:v>
                </c:pt>
                <c:pt idx="323">
                  <c:v>1.3845685801876826</c:v>
                </c:pt>
                <c:pt idx="324">
                  <c:v>1.398469495214244</c:v>
                </c:pt>
                <c:pt idx="325">
                  <c:v>1.411270506189882</c:v>
                </c:pt>
                <c:pt idx="326">
                  <c:v>1.4192038566848391</c:v>
                </c:pt>
                <c:pt idx="327">
                  <c:v>1.4269499894690005</c:v>
                </c:pt>
                <c:pt idx="328">
                  <c:v>1.422784395403802</c:v>
                </c:pt>
                <c:pt idx="329">
                  <c:v>1.402658491493292</c:v>
                </c:pt>
                <c:pt idx="330">
                  <c:v>1.4147106316257485</c:v>
                </c:pt>
                <c:pt idx="331">
                  <c:v>1.408368631672553</c:v>
                </c:pt>
                <c:pt idx="332">
                  <c:v>1.4159275467459189</c:v>
                </c:pt>
                <c:pt idx="333">
                  <c:v>1.4083920338864027</c:v>
                </c:pt>
                <c:pt idx="334">
                  <c:v>1.3989141372773835</c:v>
                </c:pt>
                <c:pt idx="335">
                  <c:v>1.4082984250310049</c:v>
                </c:pt>
                <c:pt idx="336">
                  <c:v>1.4140085652102659</c:v>
                </c:pt>
                <c:pt idx="337">
                  <c:v>1.4189230301186462</c:v>
                </c:pt>
                <c:pt idx="338">
                  <c:v>1.4059348014322122</c:v>
                </c:pt>
                <c:pt idx="339">
                  <c:v>1.4154829046827797</c:v>
                </c:pt>
                <c:pt idx="340">
                  <c:v>1.4165594065198532</c:v>
                </c:pt>
                <c:pt idx="341">
                  <c:v>1.4119959748192146</c:v>
                </c:pt>
                <c:pt idx="342">
                  <c:v>1.4269031850413014</c:v>
                </c:pt>
                <c:pt idx="343">
                  <c:v>1.4268329783997531</c:v>
                </c:pt>
                <c:pt idx="344">
                  <c:v>1.4310219746788011</c:v>
                </c:pt>
                <c:pt idx="345">
                  <c:v>1.4343918934731188</c:v>
                </c:pt>
                <c:pt idx="346">
                  <c:v>1.4284243289415142</c:v>
                </c:pt>
                <c:pt idx="347">
                  <c:v>1.4039924176827092</c:v>
                </c:pt>
                <c:pt idx="348">
                  <c:v>1.3976036133018148</c:v>
                </c:pt>
                <c:pt idx="349">
                  <c:v>1.390653155788534</c:v>
                </c:pt>
                <c:pt idx="350">
                  <c:v>1.3913552222040166</c:v>
                </c:pt>
                <c:pt idx="351">
                  <c:v>1.3691465212609075</c:v>
                </c:pt>
                <c:pt idx="352">
                  <c:v>1.3905127425054373</c:v>
                </c:pt>
                <c:pt idx="353">
                  <c:v>1.3661510378881807</c:v>
                </c:pt>
                <c:pt idx="354">
                  <c:v>1.3499801081182246</c:v>
                </c:pt>
                <c:pt idx="355">
                  <c:v>1.3644894807048711</c:v>
                </c:pt>
                <c:pt idx="356">
                  <c:v>1.3402681893707111</c:v>
                </c:pt>
                <c:pt idx="357">
                  <c:v>1.3477803000163779</c:v>
                </c:pt>
                <c:pt idx="358">
                  <c:v>1.3118813039713524</c:v>
                </c:pt>
                <c:pt idx="359">
                  <c:v>1.3009758723175178</c:v>
                </c:pt>
                <c:pt idx="360">
                  <c:v>1.3078795254030997</c:v>
                </c:pt>
                <c:pt idx="361">
                  <c:v>1.290444876085274</c:v>
                </c:pt>
                <c:pt idx="362">
                  <c:v>1.3170999976597748</c:v>
                </c:pt>
                <c:pt idx="363">
                  <c:v>1.3272565584704277</c:v>
                </c:pt>
                <c:pt idx="364">
                  <c:v>1.312911001380727</c:v>
                </c:pt>
                <c:pt idx="365">
                  <c:v>1.3272097540427288</c:v>
                </c:pt>
                <c:pt idx="366">
                  <c:v>1.3233717909714224</c:v>
                </c:pt>
                <c:pt idx="367">
                  <c:v>1.3198380566801586</c:v>
                </c:pt>
                <c:pt idx="368">
                  <c:v>1.3434742926680832</c:v>
                </c:pt>
                <c:pt idx="369">
                  <c:v>1.3467037981793046</c:v>
                </c:pt>
                <c:pt idx="370">
                  <c:v>1.3306264772647463</c:v>
                </c:pt>
                <c:pt idx="371">
                  <c:v>1.3270927429734822</c:v>
                </c:pt>
                <c:pt idx="372">
                  <c:v>1.3003674147574329</c:v>
                </c:pt>
                <c:pt idx="373">
                  <c:v>1.3090964405232703</c:v>
                </c:pt>
                <c:pt idx="374">
                  <c:v>1.3127939903114805</c:v>
                </c:pt>
                <c:pt idx="375">
                  <c:v>1.3211017762280282</c:v>
                </c:pt>
                <c:pt idx="376">
                  <c:v>1.2559968172989138</c:v>
                </c:pt>
                <c:pt idx="377">
                  <c:v>1.1824670613840043</c:v>
                </c:pt>
                <c:pt idx="378">
                  <c:v>1.1803608621375556</c:v>
                </c:pt>
                <c:pt idx="379">
                  <c:v>1.1618731131965059</c:v>
                </c:pt>
                <c:pt idx="380">
                  <c:v>1.2838922562074344</c:v>
                </c:pt>
                <c:pt idx="381">
                  <c:v>1.2276333341134045</c:v>
                </c:pt>
                <c:pt idx="382">
                  <c:v>1.249537806276471</c:v>
                </c:pt>
                <c:pt idx="383">
                  <c:v>1.2616601530504759</c:v>
                </c:pt>
                <c:pt idx="384">
                  <c:v>1.2581264187592118</c:v>
                </c:pt>
                <c:pt idx="385">
                  <c:v>1.2301607732091426</c:v>
                </c:pt>
                <c:pt idx="386">
                  <c:v>1.23191593924785</c:v>
                </c:pt>
                <c:pt idx="387">
                  <c:v>1.2025929652945142</c:v>
                </c:pt>
                <c:pt idx="388">
                  <c:v>1.2338817252112022</c:v>
                </c:pt>
                <c:pt idx="389">
                  <c:v>1.2530013339261865</c:v>
                </c:pt>
                <c:pt idx="390">
                  <c:v>1.2793756289344944</c:v>
                </c:pt>
                <c:pt idx="391">
                  <c:v>1.2886195034050192</c:v>
                </c:pt>
                <c:pt idx="392">
                  <c:v>1.2891109498958575</c:v>
                </c:pt>
                <c:pt idx="393">
                  <c:v>1.2972315181016096</c:v>
                </c:pt>
                <c:pt idx="394">
                  <c:v>1.2977463668062967</c:v>
                </c:pt>
                <c:pt idx="395">
                  <c:v>1.3069434368491228</c:v>
                </c:pt>
                <c:pt idx="396">
                  <c:v>1.3263438721303005</c:v>
                </c:pt>
                <c:pt idx="397">
                  <c:v>1.3187381526292357</c:v>
                </c:pt>
                <c:pt idx="398">
                  <c:v>1.307715709906154</c:v>
                </c:pt>
                <c:pt idx="399">
                  <c:v>1.3132152301607702</c:v>
                </c:pt>
                <c:pt idx="400">
                  <c:v>1.3223654957758972</c:v>
                </c:pt>
                <c:pt idx="401">
                  <c:v>1.3206805363787384</c:v>
                </c:pt>
                <c:pt idx="402">
                  <c:v>1.3643256652079254</c:v>
                </c:pt>
                <c:pt idx="403">
                  <c:v>1.3733355175399562</c:v>
                </c:pt>
                <c:pt idx="404">
                  <c:v>1.3750906835786634</c:v>
                </c:pt>
                <c:pt idx="405">
                  <c:v>1.38180711895345</c:v>
                </c:pt>
                <c:pt idx="406">
                  <c:v>1.3905595469331369</c:v>
                </c:pt>
                <c:pt idx="407">
                  <c:v>1.3920806908333498</c:v>
                </c:pt>
                <c:pt idx="408">
                  <c:v>1.3874002480634637</c:v>
                </c:pt>
                <c:pt idx="409">
                  <c:v>1.3640214364278831</c:v>
                </c:pt>
                <c:pt idx="410">
                  <c:v>1.3645596873464201</c:v>
                </c:pt>
                <c:pt idx="411">
                  <c:v>1.3552456062343468</c:v>
                </c:pt>
                <c:pt idx="412">
                  <c:v>1.3834218717090607</c:v>
                </c:pt>
                <c:pt idx="413">
                  <c:v>1.3754183145725556</c:v>
                </c:pt>
                <c:pt idx="414">
                  <c:v>1.3808476281856232</c:v>
                </c:pt>
                <c:pt idx="415">
                  <c:v>1.379303082071561</c:v>
                </c:pt>
                <c:pt idx="416">
                  <c:v>1.387072617069572</c:v>
                </c:pt>
                <c:pt idx="417">
                  <c:v>1.3949825653506793</c:v>
                </c:pt>
                <c:pt idx="418">
                  <c:v>1.3946081299290882</c:v>
                </c:pt>
                <c:pt idx="419">
                  <c:v>1.3878682923404524</c:v>
                </c:pt>
                <c:pt idx="420">
                  <c:v>1.4021202405747553</c:v>
                </c:pt>
                <c:pt idx="421">
                  <c:v>1.4033839601226243</c:v>
                </c:pt>
                <c:pt idx="422">
                  <c:v>1.4113407128314306</c:v>
                </c:pt>
                <c:pt idx="423">
                  <c:v>1.4073155320493287</c:v>
                </c:pt>
                <c:pt idx="424">
                  <c:v>1.4129086611593424</c:v>
                </c:pt>
                <c:pt idx="425">
                  <c:v>1.3971121668109772</c:v>
                </c:pt>
                <c:pt idx="426">
                  <c:v>1.4104046242774533</c:v>
                </c:pt>
                <c:pt idx="427">
                  <c:v>1.3983524841449968</c:v>
                </c:pt>
                <c:pt idx="428">
                  <c:v>1.3981418642203522</c:v>
                </c:pt>
                <c:pt idx="429">
                  <c:v>1.390746764643932</c:v>
                </c:pt>
                <c:pt idx="430">
                  <c:v>1.4044838641735473</c:v>
                </c:pt>
                <c:pt idx="431">
                  <c:v>1.4199995319557193</c:v>
                </c:pt>
                <c:pt idx="432">
                  <c:v>1.4207952072265999</c:v>
                </c:pt>
                <c:pt idx="433">
                  <c:v>1.4319112588050791</c:v>
                </c:pt>
                <c:pt idx="434">
                  <c:v>1.4390255318153058</c:v>
                </c:pt>
                <c:pt idx="435">
                  <c:v>1.4459057826870383</c:v>
                </c:pt>
                <c:pt idx="436">
                  <c:v>1.4454377384100496</c:v>
                </c:pt>
                <c:pt idx="437">
                  <c:v>1.4519903582878901</c:v>
                </c:pt>
                <c:pt idx="438">
                  <c:v>1.4634340408602613</c:v>
                </c:pt>
                <c:pt idx="439">
                  <c:v>1.4525286092064267</c:v>
                </c:pt>
                <c:pt idx="440">
                  <c:v>1.4517329339355463</c:v>
                </c:pt>
                <c:pt idx="441">
                  <c:v>1.4604385574875338</c:v>
                </c:pt>
                <c:pt idx="442">
                  <c:v>1.4645573471250339</c:v>
                </c:pt>
                <c:pt idx="443">
                  <c:v>1.4594088600781592</c:v>
                </c:pt>
                <c:pt idx="444">
                  <c:v>1.4621937235262412</c:v>
                </c:pt>
                <c:pt idx="445">
                  <c:v>1.4559453324284435</c:v>
                </c:pt>
                <c:pt idx="446">
                  <c:v>1.4608129929091251</c:v>
                </c:pt>
                <c:pt idx="447">
                  <c:v>1.4697526385996074</c:v>
                </c:pt>
                <c:pt idx="448">
                  <c:v>1.4686761367625336</c:v>
                </c:pt>
                <c:pt idx="449">
                  <c:v>1.4714610002106154</c:v>
                </c:pt>
                <c:pt idx="450">
                  <c:v>1.4716716201352602</c:v>
                </c:pt>
                <c:pt idx="451">
                  <c:v>1.4841918045447056</c:v>
                </c:pt>
                <c:pt idx="452">
                  <c:v>1.4846832510355432</c:v>
                </c:pt>
                <c:pt idx="453">
                  <c:v>1.4909550443471906</c:v>
                </c:pt>
                <c:pt idx="454">
                  <c:v>1.4905806089255997</c:v>
                </c:pt>
                <c:pt idx="455">
                  <c:v>1.4866490369988952</c:v>
                </c:pt>
                <c:pt idx="456">
                  <c:v>1.4847768598909408</c:v>
                </c:pt>
                <c:pt idx="457">
                  <c:v>1.4792071329947765</c:v>
                </c:pt>
                <c:pt idx="458">
                  <c:v>1.4549624394467668</c:v>
                </c:pt>
                <c:pt idx="459">
                  <c:v>1.477077531534478</c:v>
                </c:pt>
                <c:pt idx="460">
                  <c:v>1.4695888231026604</c:v>
                </c:pt>
                <c:pt idx="461">
                  <c:v>1.480845287964236</c:v>
                </c:pt>
                <c:pt idx="462">
                  <c:v>1.4796049706302161</c:v>
                </c:pt>
                <c:pt idx="463">
                  <c:v>1.4911422620579853</c:v>
                </c:pt>
                <c:pt idx="464">
                  <c:v>1.4881935831129571</c:v>
                </c:pt>
                <c:pt idx="465">
                  <c:v>1.5040368818890217</c:v>
                </c:pt>
                <c:pt idx="466">
                  <c:v>1.5091853689358963</c:v>
                </c:pt>
                <c:pt idx="467">
                  <c:v>1.5093257822189929</c:v>
                </c:pt>
                <c:pt idx="468">
                  <c:v>1.5057920479277291</c:v>
                </c:pt>
                <c:pt idx="469">
                  <c:v>1.5054644169338369</c:v>
                </c:pt>
                <c:pt idx="470">
                  <c:v>1.4972970443003859</c:v>
                </c:pt>
                <c:pt idx="471">
                  <c:v>1.4933186679459829</c:v>
                </c:pt>
                <c:pt idx="472">
                  <c:v>1.4873277012005286</c:v>
                </c:pt>
                <c:pt idx="473">
                  <c:v>1.5101682619175725</c:v>
                </c:pt>
                <c:pt idx="474">
                  <c:v>1.5035220331843346</c:v>
                </c:pt>
                <c:pt idx="475">
                  <c:v>1.5098172287098313</c:v>
                </c:pt>
                <c:pt idx="476">
                  <c:v>1.5132573541456975</c:v>
                </c:pt>
                <c:pt idx="477">
                  <c:v>1.5186164611172168</c:v>
                </c:pt>
                <c:pt idx="478">
                  <c:v>1.5095598043574874</c:v>
                </c:pt>
                <c:pt idx="479">
                  <c:v>1.4983735461374599</c:v>
                </c:pt>
                <c:pt idx="480">
                  <c:v>1.5064941143432122</c:v>
                </c:pt>
                <c:pt idx="481">
                  <c:v>1.5190845053942057</c:v>
                </c:pt>
                <c:pt idx="482">
                  <c:v>1.5146848891905129</c:v>
                </c:pt>
                <c:pt idx="483">
                  <c:v>1.5184058411925725</c:v>
                </c:pt>
                <c:pt idx="484">
                  <c:v>1.5219161732699868</c:v>
                </c:pt>
                <c:pt idx="485">
                  <c:v>1.5263157894736796</c:v>
                </c:pt>
                <c:pt idx="486">
                  <c:v>1.5389997893800706</c:v>
                </c:pt>
                <c:pt idx="487">
                  <c:v>1.5384849406753831</c:v>
                </c:pt>
                <c:pt idx="488">
                  <c:v>1.5466757155226838</c:v>
                </c:pt>
                <c:pt idx="489">
                  <c:v>1.5445461140623857</c:v>
                </c:pt>
                <c:pt idx="490">
                  <c:v>1.5426271325267324</c:v>
                </c:pt>
                <c:pt idx="491">
                  <c:v>1.5498350143923569</c:v>
                </c:pt>
                <c:pt idx="492">
                  <c:v>1.5532049331866751</c:v>
                </c:pt>
                <c:pt idx="493">
                  <c:v>1.560553228335396</c:v>
                </c:pt>
                <c:pt idx="494">
                  <c:v>1.5520582247080528</c:v>
                </c:pt>
                <c:pt idx="495">
                  <c:v>1.547120357585823</c:v>
                </c:pt>
                <c:pt idx="496">
                  <c:v>1.5399826823617466</c:v>
                </c:pt>
                <c:pt idx="497">
                  <c:v>1.5488053169829821</c:v>
                </c:pt>
                <c:pt idx="498">
                  <c:v>1.5531581287589757</c:v>
                </c:pt>
                <c:pt idx="499">
                  <c:v>1.5590086822213332</c:v>
                </c:pt>
                <c:pt idx="500">
                  <c:v>1.564320984765154</c:v>
                </c:pt>
                <c:pt idx="501">
                  <c:v>1.5661229552315601</c:v>
                </c:pt>
                <c:pt idx="502">
                  <c:v>1.5660995530177106</c:v>
                </c:pt>
                <c:pt idx="503">
                  <c:v>1.5717160843415741</c:v>
                </c:pt>
                <c:pt idx="504">
                  <c:v>1.5658889330930659</c:v>
                </c:pt>
                <c:pt idx="505">
                  <c:v>1.5752264164189884</c:v>
                </c:pt>
                <c:pt idx="506">
                  <c:v>1.5706629847183495</c:v>
                </c:pt>
                <c:pt idx="507">
                  <c:v>1.5282113687954835</c:v>
                </c:pt>
                <c:pt idx="508">
                  <c:v>1.5516603870726122</c:v>
                </c:pt>
                <c:pt idx="509">
                  <c:v>1.5497648077508086</c:v>
                </c:pt>
                <c:pt idx="510">
                  <c:v>1.5566450586225411</c:v>
                </c:pt>
                <c:pt idx="511">
                  <c:v>1.5460438557487495</c:v>
                </c:pt>
                <c:pt idx="512">
                  <c:v>1.5548196859422858</c:v>
                </c:pt>
                <c:pt idx="513">
                  <c:v>1.570990615712242</c:v>
                </c:pt>
                <c:pt idx="514">
                  <c:v>1.5709672134983925</c:v>
                </c:pt>
                <c:pt idx="515">
                  <c:v>1.5627998408649415</c:v>
                </c:pt>
                <c:pt idx="516">
                  <c:v>1.5720671175493159</c:v>
                </c:pt>
                <c:pt idx="517">
                  <c:v>1.5849149329526531</c:v>
                </c:pt>
                <c:pt idx="518">
                  <c:v>1.6036133018183478</c:v>
                </c:pt>
                <c:pt idx="519">
                  <c:v>1.6078725047389442</c:v>
                </c:pt>
                <c:pt idx="520">
                  <c:v>1.6086447777959754</c:v>
                </c:pt>
                <c:pt idx="521">
                  <c:v>1.5909527041258065</c:v>
                </c:pt>
                <c:pt idx="522">
                  <c:v>1.5961713978142293</c:v>
                </c:pt>
                <c:pt idx="523">
                  <c:v>1.5991668811869564</c:v>
                </c:pt>
                <c:pt idx="524">
                  <c:v>1.580211087968918</c:v>
                </c:pt>
                <c:pt idx="525">
                  <c:v>1.5856872060096845</c:v>
                </c:pt>
                <c:pt idx="526">
                  <c:v>1.5686737965411486</c:v>
                </c:pt>
                <c:pt idx="527">
                  <c:v>1.570218342655211</c:v>
                </c:pt>
                <c:pt idx="528">
                  <c:v>1.5947204605555643</c:v>
                </c:pt>
                <c:pt idx="529">
                  <c:v>1.5983712059160753</c:v>
                </c:pt>
                <c:pt idx="530">
                  <c:v>1.5992604900423537</c:v>
                </c:pt>
                <c:pt idx="531">
                  <c:v>1.5727223795370999</c:v>
                </c:pt>
                <c:pt idx="532">
                  <c:v>1.5724649551847563</c:v>
                </c:pt>
                <c:pt idx="533">
                  <c:v>1.5578151693150131</c:v>
                </c:pt>
                <c:pt idx="534">
                  <c:v>1.5447333317731817</c:v>
                </c:pt>
                <c:pt idx="535">
                  <c:v>1.5507008963047861</c:v>
                </c:pt>
                <c:pt idx="536">
                  <c:v>1.5270646603168616</c:v>
                </c:pt>
                <c:pt idx="537">
                  <c:v>1.542276099318991</c:v>
                </c:pt>
                <c:pt idx="538">
                  <c:v>1.5649762467529382</c:v>
                </c:pt>
                <c:pt idx="539">
                  <c:v>1.5796962392642295</c:v>
                </c:pt>
                <c:pt idx="540">
                  <c:v>1.5906016709180639</c:v>
                </c:pt>
                <c:pt idx="541">
                  <c:v>1.5992838922562025</c:v>
                </c:pt>
                <c:pt idx="542">
                  <c:v>1.5919824015351802</c:v>
                </c:pt>
                <c:pt idx="543">
                  <c:v>1.5949310804802084</c:v>
                </c:pt>
                <c:pt idx="544">
                  <c:v>1.600454002948674</c:v>
                </c:pt>
                <c:pt idx="545">
                  <c:v>1.6016241136411453</c:v>
                </c:pt>
                <c:pt idx="546">
                  <c:v>1.6046664014415715</c:v>
                </c:pt>
                <c:pt idx="547">
                  <c:v>1.5998455453885887</c:v>
                </c:pt>
                <c:pt idx="548">
                  <c:v>1.5984648147714722</c:v>
                </c:pt>
                <c:pt idx="549">
                  <c:v>1.6090660176452642</c:v>
                </c:pt>
                <c:pt idx="550">
                  <c:v>1.6128103718611728</c:v>
                </c:pt>
                <c:pt idx="551">
                  <c:v>1.5954693313987451</c:v>
                </c:pt>
                <c:pt idx="552">
                  <c:v>1.593058903372254</c:v>
                </c:pt>
                <c:pt idx="553">
                  <c:v>1.5887060915962599</c:v>
                </c:pt>
                <c:pt idx="554">
                  <c:v>1.5712246378507355</c:v>
                </c:pt>
                <c:pt idx="555">
                  <c:v>1.5830895602723964</c:v>
                </c:pt>
                <c:pt idx="556">
                  <c:v>1.5927312723783615</c:v>
                </c:pt>
                <c:pt idx="557">
                  <c:v>1.60265381105052</c:v>
                </c:pt>
                <c:pt idx="558">
                  <c:v>1.6099787039853917</c:v>
                </c:pt>
                <c:pt idx="559">
                  <c:v>1.6156420397369538</c:v>
                </c:pt>
                <c:pt idx="560">
                  <c:v>1.6154782242400076</c:v>
                </c:pt>
                <c:pt idx="561">
                  <c:v>1.609721279633048</c:v>
                </c:pt>
                <c:pt idx="562">
                  <c:v>1.6077554936696958</c:v>
                </c:pt>
                <c:pt idx="563">
                  <c:v>1.5958437668203358</c:v>
                </c:pt>
                <c:pt idx="564">
                  <c:v>1.5987690435515145</c:v>
                </c:pt>
                <c:pt idx="565">
                  <c:v>1.6094170508530052</c:v>
                </c:pt>
                <c:pt idx="566">
                  <c:v>1.6189885563174218</c:v>
                </c:pt>
                <c:pt idx="567">
                  <c:v>1.6137698626289991</c:v>
                </c:pt>
                <c:pt idx="568">
                  <c:v>1.613606047132053</c:v>
                </c:pt>
                <c:pt idx="569">
                  <c:v>1.6242774566473934</c:v>
                </c:pt>
                <c:pt idx="570">
                  <c:v>1.626828297956981</c:v>
                </c:pt>
                <c:pt idx="571">
                  <c:v>1.6235753902319103</c:v>
                </c:pt>
                <c:pt idx="572">
                  <c:v>1.6155952353092546</c:v>
                </c:pt>
                <c:pt idx="573">
                  <c:v>1.6199948515129476</c:v>
                </c:pt>
                <c:pt idx="574">
                  <c:v>1.6186375231096806</c:v>
                </c:pt>
                <c:pt idx="575">
                  <c:v>1.5856872060096832</c:v>
                </c:pt>
                <c:pt idx="576">
                  <c:v>1.6039877372399374</c:v>
                </c:pt>
                <c:pt idx="577">
                  <c:v>1.6123657297980336</c:v>
                </c:pt>
                <c:pt idx="578">
                  <c:v>1.6129507851442693</c:v>
                </c:pt>
                <c:pt idx="579">
                  <c:v>1.6211415599915697</c:v>
                </c:pt>
                <c:pt idx="580">
                  <c:v>1.6276005710140127</c:v>
                </c:pt>
                <c:pt idx="581">
                  <c:v>1.6274367555170666</c:v>
                </c:pt>
                <c:pt idx="582">
                  <c:v>1.6242072500058453</c:v>
                </c:pt>
                <c:pt idx="583">
                  <c:v>1.6193629917390133</c:v>
                </c:pt>
                <c:pt idx="584">
                  <c:v>1.6274133533032171</c:v>
                </c:pt>
                <c:pt idx="585">
                  <c:v>1.6136528515597524</c:v>
                </c:pt>
                <c:pt idx="586">
                  <c:v>1.605836512134043</c:v>
                </c:pt>
                <c:pt idx="587">
                  <c:v>1.5857808148650814</c:v>
                </c:pt>
                <c:pt idx="588">
                  <c:v>1.6162036928693406</c:v>
                </c:pt>
                <c:pt idx="589">
                  <c:v>1.623996630081201</c:v>
                </c:pt>
                <c:pt idx="590">
                  <c:v>1.6197140249467552</c:v>
                </c:pt>
                <c:pt idx="591">
                  <c:v>1.6193395895251643</c:v>
                </c:pt>
                <c:pt idx="592">
                  <c:v>1.5943226229201235</c:v>
                </c:pt>
                <c:pt idx="593">
                  <c:v>1.5954459291848964</c:v>
                </c:pt>
                <c:pt idx="594">
                  <c:v>1.5980201727083339</c:v>
                </c:pt>
                <c:pt idx="595">
                  <c:v>1.6060705342725377</c:v>
                </c:pt>
                <c:pt idx="596">
                  <c:v>1.601834733565791</c:v>
                </c:pt>
                <c:pt idx="597">
                  <c:v>1.6134188294212588</c:v>
                </c:pt>
                <c:pt idx="598">
                  <c:v>1.5969436708712601</c:v>
                </c:pt>
                <c:pt idx="599">
                  <c:v>1.6085511689405774</c:v>
                </c:pt>
                <c:pt idx="600">
                  <c:v>1.6221244529732468</c:v>
                </c:pt>
                <c:pt idx="601">
                  <c:v>1.613114600641216</c:v>
                </c:pt>
                <c:pt idx="602">
                  <c:v>1.6053684678570548</c:v>
                </c:pt>
                <c:pt idx="603">
                  <c:v>1.6062811541971826</c:v>
                </c:pt>
                <c:pt idx="604">
                  <c:v>1.5921228148182776</c:v>
                </c:pt>
                <c:pt idx="605">
                  <c:v>1.6033558774660039</c:v>
                </c:pt>
                <c:pt idx="606">
                  <c:v>1.5944162317755215</c:v>
                </c:pt>
                <c:pt idx="607">
                  <c:v>1.5735180548079806</c:v>
                </c:pt>
                <c:pt idx="608">
                  <c:v>1.5873019587652948</c:v>
                </c:pt>
                <c:pt idx="609">
                  <c:v>1.584751117455707</c:v>
                </c:pt>
                <c:pt idx="610">
                  <c:v>1.5827619292785056</c:v>
                </c:pt>
                <c:pt idx="611">
                  <c:v>1.5587278556551405</c:v>
                </c:pt>
                <c:pt idx="612">
                  <c:v>1.5499052210339055</c:v>
                </c:pt>
                <c:pt idx="613">
                  <c:v>1.5656783131684213</c:v>
                </c:pt>
                <c:pt idx="614">
                  <c:v>1.5697971028059212</c:v>
                </c:pt>
                <c:pt idx="615">
                  <c:v>1.5478926306428544</c:v>
                </c:pt>
                <c:pt idx="616">
                  <c:v>1.5440780697853973</c:v>
                </c:pt>
                <c:pt idx="617">
                  <c:v>1.5177973836324874</c:v>
                </c:pt>
                <c:pt idx="618">
                  <c:v>1.5337342912639491</c:v>
                </c:pt>
                <c:pt idx="619">
                  <c:v>1.5285858042170744</c:v>
                </c:pt>
                <c:pt idx="620">
                  <c:v>1.537104210058267</c:v>
                </c:pt>
                <c:pt idx="621">
                  <c:v>1.5096534132128856</c:v>
                </c:pt>
                <c:pt idx="622">
                  <c:v>1.4839109779785125</c:v>
                </c:pt>
                <c:pt idx="623">
                  <c:v>1.4789497086424332</c:v>
                </c:pt>
                <c:pt idx="624">
                  <c:v>1.5219395754838363</c:v>
                </c:pt>
                <c:pt idx="625">
                  <c:v>1.5334066602700569</c:v>
                </c:pt>
                <c:pt idx="626">
                  <c:v>1.5347873908871734</c:v>
                </c:pt>
                <c:pt idx="627">
                  <c:v>1.5420420771804964</c:v>
                </c:pt>
                <c:pt idx="628">
                  <c:v>1.54272074138213</c:v>
                </c:pt>
                <c:pt idx="629">
                  <c:v>1.5820130584353229</c:v>
                </c:pt>
                <c:pt idx="630">
                  <c:v>1.5911399218366005</c:v>
                </c:pt>
                <c:pt idx="631">
                  <c:v>1.5900868222133764</c:v>
                </c:pt>
                <c:pt idx="632">
                  <c:v>1.605625892209398</c:v>
                </c:pt>
                <c:pt idx="633">
                  <c:v>1.6251901429875217</c:v>
                </c:pt>
                <c:pt idx="634">
                  <c:v>1.6380145561770094</c:v>
                </c:pt>
                <c:pt idx="635">
                  <c:v>1.6420397369591113</c:v>
                </c:pt>
                <c:pt idx="636">
                  <c:v>1.6618848143034279</c:v>
                </c:pt>
                <c:pt idx="637">
                  <c:v>1.6585616999368089</c:v>
                </c:pt>
                <c:pt idx="638">
                  <c:v>1.6477030727106734</c:v>
                </c:pt>
                <c:pt idx="639">
                  <c:v>1.6643888511853171</c:v>
                </c:pt>
                <c:pt idx="640">
                  <c:v>1.6579298401628744</c:v>
                </c:pt>
                <c:pt idx="641">
                  <c:v>1.6707776555662115</c:v>
                </c:pt>
                <c:pt idx="642">
                  <c:v>1.6736561278696911</c:v>
                </c:pt>
                <c:pt idx="643">
                  <c:v>1.6655121574500895</c:v>
                </c:pt>
                <c:pt idx="644">
                  <c:v>1.6652547330977459</c:v>
                </c:pt>
                <c:pt idx="645">
                  <c:v>1.6818235005031421</c:v>
                </c:pt>
                <c:pt idx="646">
                  <c:v>1.6864805410591788</c:v>
                </c:pt>
                <c:pt idx="647">
                  <c:v>1.6803023566029294</c:v>
                </c:pt>
                <c:pt idx="648">
                  <c:v>1.693782031780201</c:v>
                </c:pt>
                <c:pt idx="649">
                  <c:v>1.7173246589127278</c:v>
                </c:pt>
                <c:pt idx="650">
                  <c:v>1.712059160796606</c:v>
                </c:pt>
                <c:pt idx="651">
                  <c:v>1.7261940979616617</c:v>
                </c:pt>
                <c:pt idx="652">
                  <c:v>1.7301256698883658</c:v>
                </c:pt>
                <c:pt idx="653">
                  <c:v>1.7275046219372296</c:v>
                </c:pt>
                <c:pt idx="654">
                  <c:v>1.7371697362570442</c:v>
                </c:pt>
                <c:pt idx="655">
                  <c:v>1.7508834335728101</c:v>
                </c:pt>
                <c:pt idx="656">
                  <c:v>1.729821441108323</c:v>
                </c:pt>
                <c:pt idx="657">
                  <c:v>1.7286045259881528</c:v>
                </c:pt>
                <c:pt idx="658">
                  <c:v>1.7170906367742333</c:v>
                </c:pt>
                <c:pt idx="659">
                  <c:v>1.7346891015890047</c:v>
                </c:pt>
                <c:pt idx="660">
                  <c:v>1.7381292270248707</c:v>
                </c:pt>
                <c:pt idx="661">
                  <c:v>1.7449626734689043</c:v>
                </c:pt>
                <c:pt idx="662">
                  <c:v>1.7565467693243724</c:v>
                </c:pt>
                <c:pt idx="663">
                  <c:v>1.7562425405443298</c:v>
                </c:pt>
                <c:pt idx="664">
                  <c:v>1.7659310570779938</c:v>
                </c:pt>
                <c:pt idx="665">
                  <c:v>1.7703306732816864</c:v>
                </c:pt>
                <c:pt idx="666">
                  <c:v>1.7751515293346687</c:v>
                </c:pt>
                <c:pt idx="667">
                  <c:v>1.7775619573611603</c:v>
                </c:pt>
                <c:pt idx="668">
                  <c:v>1.765088577379414</c:v>
                </c:pt>
                <c:pt idx="669">
                  <c:v>1.7717582083265018</c:v>
                </c:pt>
                <c:pt idx="670">
                  <c:v>1.7260302824647151</c:v>
                </c:pt>
                <c:pt idx="671">
                  <c:v>1.72993845217757</c:v>
                </c:pt>
                <c:pt idx="672">
                  <c:v>1.7248601717722434</c:v>
                </c:pt>
                <c:pt idx="673">
                  <c:v>1.6976667992792056</c:v>
                </c:pt>
                <c:pt idx="674">
                  <c:v>1.726521728955553</c:v>
                </c:pt>
                <c:pt idx="675">
                  <c:v>1.7358592122814755</c:v>
                </c:pt>
                <c:pt idx="676">
                  <c:v>1.7664693079965301</c:v>
                </c:pt>
                <c:pt idx="677">
                  <c:v>1.7559383117642866</c:v>
                </c:pt>
                <c:pt idx="678">
                  <c:v>1.7340104373873706</c:v>
                </c:pt>
                <c:pt idx="679">
                  <c:v>1.7475369169923411</c:v>
                </c:pt>
                <c:pt idx="680">
                  <c:v>1.742037396737725</c:v>
                </c:pt>
                <c:pt idx="681">
                  <c:v>1.7167396035664912</c:v>
                </c:pt>
                <c:pt idx="682">
                  <c:v>1.7159439282956106</c:v>
                </c:pt>
                <c:pt idx="683">
                  <c:v>1.7184245629636499</c:v>
                </c:pt>
                <c:pt idx="684">
                  <c:v>1.7059979874096025</c:v>
                </c:pt>
                <c:pt idx="685">
                  <c:v>1.7341040462427679</c:v>
                </c:pt>
                <c:pt idx="686">
                  <c:v>1.7476071236338888</c:v>
                </c:pt>
                <c:pt idx="687">
                  <c:v>1.7452435000350963</c:v>
                </c:pt>
                <c:pt idx="688">
                  <c:v>1.7429500830778522</c:v>
                </c:pt>
                <c:pt idx="689">
                  <c:v>1.7581615220799818</c:v>
                </c:pt>
                <c:pt idx="690">
                  <c:v>1.7498069317357354</c:v>
                </c:pt>
                <c:pt idx="691">
                  <c:v>1.744401020336517</c:v>
                </c:pt>
                <c:pt idx="692">
                  <c:v>1.7591678172755074</c:v>
                </c:pt>
                <c:pt idx="693">
                  <c:v>1.766750134562723</c:v>
                </c:pt>
                <c:pt idx="694">
                  <c:v>1.7532236549577522</c:v>
                </c:pt>
                <c:pt idx="695">
                  <c:v>1.759448643841701</c:v>
                </c:pt>
                <c:pt idx="696">
                  <c:v>1.7664225035688308</c:v>
                </c:pt>
                <c:pt idx="697">
                  <c:v>1.7568509981044143</c:v>
                </c:pt>
                <c:pt idx="698">
                  <c:v>1.7394631532142875</c:v>
                </c:pt>
                <c:pt idx="699">
                  <c:v>1.736654887552356</c:v>
                </c:pt>
                <c:pt idx="700">
                  <c:v>1.7511408579251531</c:v>
                </c:pt>
                <c:pt idx="701">
                  <c:v>1.7491048653202528</c:v>
                </c:pt>
                <c:pt idx="702">
                  <c:v>1.7275046219372288</c:v>
                </c:pt>
                <c:pt idx="703">
                  <c:v>1.7292597879759362</c:v>
                </c:pt>
                <c:pt idx="704">
                  <c:v>1.7296342233975275</c:v>
                </c:pt>
                <c:pt idx="705">
                  <c:v>1.7337764152488766</c:v>
                </c:pt>
                <c:pt idx="706">
                  <c:v>1.7070978914605264</c:v>
                </c:pt>
                <c:pt idx="707">
                  <c:v>1.7357187989983796</c:v>
                </c:pt>
                <c:pt idx="708">
                  <c:v>1.7482155811939748</c:v>
                </c:pt>
                <c:pt idx="709">
                  <c:v>1.7731155367297682</c:v>
                </c:pt>
                <c:pt idx="710">
                  <c:v>1.8050829608480901</c:v>
                </c:pt>
                <c:pt idx="711">
                  <c:v>1.8014790199152777</c:v>
                </c:pt>
                <c:pt idx="712">
                  <c:v>1.7986005476117977</c:v>
                </c:pt>
                <c:pt idx="713">
                  <c:v>1.8095995881210301</c:v>
                </c:pt>
                <c:pt idx="714">
                  <c:v>1.8090613372024933</c:v>
                </c:pt>
                <c:pt idx="715">
                  <c:v>1.803280990381684</c:v>
                </c:pt>
                <c:pt idx="716">
                  <c:v>1.8077976176546242</c:v>
                </c:pt>
                <c:pt idx="717">
                  <c:v>1.8204114109194671</c:v>
                </c:pt>
                <c:pt idx="718">
                  <c:v>1.816807469986655</c:v>
                </c:pt>
                <c:pt idx="719">
                  <c:v>1.808218857503914</c:v>
                </c:pt>
                <c:pt idx="720">
                  <c:v>1.7960029018745118</c:v>
                </c:pt>
                <c:pt idx="721">
                  <c:v>1.7997706583042699</c:v>
                </c:pt>
                <c:pt idx="722">
                  <c:v>1.7846528281575382</c:v>
                </c:pt>
                <c:pt idx="723">
                  <c:v>1.7919543188785605</c:v>
                </c:pt>
                <c:pt idx="724">
                  <c:v>1.7866888207624387</c:v>
                </c:pt>
                <c:pt idx="725">
                  <c:v>1.7923989609416997</c:v>
                </c:pt>
                <c:pt idx="726">
                  <c:v>1.79279679857714</c:v>
                </c:pt>
                <c:pt idx="727">
                  <c:v>1.8045447099295537</c:v>
                </c:pt>
                <c:pt idx="728">
                  <c:v>1.8004493225059035</c:v>
                </c:pt>
                <c:pt idx="729">
                  <c:v>1.7950668133205345</c:v>
                </c:pt>
                <c:pt idx="730">
                  <c:v>1.7827338466218849</c:v>
                </c:pt>
                <c:pt idx="731">
                  <c:v>1.7906437949029923</c:v>
                </c:pt>
                <c:pt idx="732">
                  <c:v>1.8093889681963857</c:v>
                </c:pt>
                <c:pt idx="733">
                  <c:v>1.8024151084692557</c:v>
                </c:pt>
                <c:pt idx="734">
                  <c:v>1.7925159720109467</c:v>
                </c:pt>
                <c:pt idx="735">
                  <c:v>1.7841847838805496</c:v>
                </c:pt>
                <c:pt idx="736">
                  <c:v>1.7734899721513602</c:v>
                </c:pt>
                <c:pt idx="737">
                  <c:v>1.788607802298092</c:v>
                </c:pt>
                <c:pt idx="738">
                  <c:v>1.7806276473754363</c:v>
                </c:pt>
                <c:pt idx="739">
                  <c:v>1.7724602747419851</c:v>
                </c:pt>
                <c:pt idx="740">
                  <c:v>1.7646439353162753</c:v>
                </c:pt>
                <c:pt idx="741">
                  <c:v>1.7846528281575382</c:v>
                </c:pt>
                <c:pt idx="742">
                  <c:v>1.7825232266972402</c:v>
                </c:pt>
                <c:pt idx="743">
                  <c:v>1.8101612412534169</c:v>
                </c:pt>
                <c:pt idx="744">
                  <c:v>1.8098804146872238</c:v>
                </c:pt>
                <c:pt idx="745">
                  <c:v>1.7968453815730911</c:v>
                </c:pt>
                <c:pt idx="746">
                  <c:v>1.7953710421005771</c:v>
                </c:pt>
                <c:pt idx="747">
                  <c:v>1.8051297652757894</c:v>
                </c:pt>
                <c:pt idx="748">
                  <c:v>1.7916968945262166</c:v>
                </c:pt>
                <c:pt idx="749">
                  <c:v>1.788397182373447</c:v>
                </c:pt>
                <c:pt idx="750">
                  <c:v>1.794107322552708</c:v>
                </c:pt>
              </c:numCache>
            </c:numRef>
          </c:val>
          <c:smooth val="0"/>
          <c:extLst>
            <c:ext xmlns:c16="http://schemas.microsoft.com/office/drawing/2014/chart" uri="{C3380CC4-5D6E-409C-BE32-E72D297353CC}">
              <c16:uniqueId val="{00000002-B6DC-4E14-8329-6FFEDE90870C}"/>
            </c:ext>
          </c:extLst>
        </c:ser>
        <c:dLbls>
          <c:showLegendKey val="0"/>
          <c:showVal val="0"/>
          <c:showCatName val="0"/>
          <c:showSerName val="0"/>
          <c:showPercent val="0"/>
          <c:showBubbleSize val="0"/>
        </c:dLbls>
        <c:smooth val="0"/>
        <c:axId val="440387824"/>
        <c:axId val="773823504"/>
      </c:lineChart>
      <c:dateAx>
        <c:axId val="440387824"/>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73823504"/>
        <c:crosses val="autoZero"/>
        <c:auto val="1"/>
        <c:lblOffset val="100"/>
        <c:baseTimeUnit val="days"/>
        <c:majorUnit val="2"/>
        <c:majorTimeUnit val="months"/>
      </c:dateAx>
      <c:valAx>
        <c:axId val="773823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Growth of $1</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n-US"/>
          </a:p>
        </c:txPr>
        <c:crossAx val="440387824"/>
        <c:crosses val="autoZero"/>
        <c:crossBetween val="between"/>
        <c:majorUnit val="0.2"/>
      </c:valAx>
      <c:spPr>
        <a:noFill/>
        <a:ln>
          <a:noFill/>
        </a:ln>
        <a:effectLst/>
      </c:spPr>
    </c:plotArea>
    <c:legend>
      <c:legendPos val="r"/>
      <c:layout>
        <c:manualLayout>
          <c:xMode val="edge"/>
          <c:yMode val="edge"/>
          <c:x val="0.7010239352539166"/>
          <c:y val="0.44959571698219097"/>
          <c:w val="0.26797355177907278"/>
          <c:h val="0.137196038283068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r>
              <a:rPr lang="en-US" sz="900"/>
              <a:t>Drawdown</a:t>
            </a:r>
          </a:p>
        </c:rich>
      </c:tx>
      <c:layout>
        <c:manualLayout>
          <c:xMode val="edge"/>
          <c:yMode val="edge"/>
          <c:x val="0.43722438758047921"/>
          <c:y val="0"/>
        </c:manualLayout>
      </c:layout>
      <c:overlay val="0"/>
      <c:spPr>
        <a:noFill/>
        <a:ln>
          <a:noFill/>
        </a:ln>
        <a:effectLst/>
      </c:spPr>
      <c:txPr>
        <a:bodyPr rot="0" spcFirstLastPara="1" vertOverflow="ellipsis" vert="horz" wrap="square" anchor="ctr" anchorCtr="1"/>
        <a:lstStyle/>
        <a:p>
          <a:pPr>
            <a:defRPr sz="9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7548267699128985E-2"/>
          <c:y val="7.435838202530827E-2"/>
          <c:w val="0.86984102455047063"/>
          <c:h val="0.72860555974767316"/>
        </c:manualLayout>
      </c:layout>
      <c:lineChart>
        <c:grouping val="standard"/>
        <c:varyColors val="0"/>
        <c:ser>
          <c:idx val="0"/>
          <c:order val="0"/>
          <c:tx>
            <c:v>Portfolio</c:v>
          </c:tx>
          <c:spPr>
            <a:ln w="9525" cap="rnd">
              <a:solidFill>
                <a:schemeClr val="accent1"/>
              </a:solidFill>
              <a:round/>
            </a:ln>
            <a:effectLst/>
          </c:spPr>
          <c:marker>
            <c:symbol val="none"/>
          </c:marker>
          <c:cat>
            <c:numRef>
              <c:f>'01_Data_Raw'!$A$3:$A$761</c:f>
              <c:numCache>
                <c:formatCode>m/d/yyyy</c:formatCode>
                <c:ptCount val="759"/>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'01_Data_Raw'!$AB$4:$AB$755</c:f>
              <c:numCache>
                <c:formatCode>0\.0%</c:formatCode>
                <c:ptCount val="752"/>
                <c:pt idx="0">
                  <c:v>0</c:v>
                </c:pt>
                <c:pt idx="1">
                  <c:v>0</c:v>
                </c:pt>
                <c:pt idx="2">
                  <c:v>-7.8620374994274878E-3</c:v>
                </c:pt>
                <c:pt idx="3">
                  <c:v>-1.012633621661041E-3</c:v>
                </c:pt>
                <c:pt idx="4">
                  <c:v>0</c:v>
                </c:pt>
                <c:pt idx="5">
                  <c:v>0</c:v>
                </c:pt>
                <c:pt idx="6">
                  <c:v>-1.9162925276390297E-3</c:v>
                </c:pt>
                <c:pt idx="7">
                  <c:v>-3.6299034127014185E-3</c:v>
                </c:pt>
                <c:pt idx="8">
                  <c:v>0</c:v>
                </c:pt>
                <c:pt idx="9">
                  <c:v>0</c:v>
                </c:pt>
                <c:pt idx="10">
                  <c:v>-1.3986097893246008E-3</c:v>
                </c:pt>
                <c:pt idx="11">
                  <c:v>-1.1040605084502775E-2</c:v>
                </c:pt>
                <c:pt idx="12">
                  <c:v>-1.2262852075114017E-2</c:v>
                </c:pt>
                <c:pt idx="13">
                  <c:v>-2.0571042158606279E-2</c:v>
                </c:pt>
                <c:pt idx="14">
                  <c:v>-2.481576337060365E-2</c:v>
                </c:pt>
                <c:pt idx="15">
                  <c:v>-1.7945274931221111E-2</c:v>
                </c:pt>
                <c:pt idx="16">
                  <c:v>-2.0562367004163917E-2</c:v>
                </c:pt>
                <c:pt idx="17">
                  <c:v>-3.0931931294266524E-2</c:v>
                </c:pt>
                <c:pt idx="18">
                  <c:v>-4.1516951250789469E-2</c:v>
                </c:pt>
                <c:pt idx="19">
                  <c:v>-2.762212720553836E-2</c:v>
                </c:pt>
                <c:pt idx="20">
                  <c:v>-2.1168149385038082E-2</c:v>
                </c:pt>
                <c:pt idx="21">
                  <c:v>-1.5112825460722346E-2</c:v>
                </c:pt>
                <c:pt idx="22">
                  <c:v>-2.6614624895427985E-3</c:v>
                </c:pt>
                <c:pt idx="23">
                  <c:v>0</c:v>
                </c:pt>
                <c:pt idx="24">
                  <c:v>0</c:v>
                </c:pt>
                <c:pt idx="25">
                  <c:v>0</c:v>
                </c:pt>
                <c:pt idx="26">
                  <c:v>-1.1653697153557463E-3</c:v>
                </c:pt>
                <c:pt idx="27">
                  <c:v>-9.2445681094157628E-3</c:v>
                </c:pt>
                <c:pt idx="28">
                  <c:v>0</c:v>
                </c:pt>
                <c:pt idx="29">
                  <c:v>0</c:v>
                </c:pt>
                <c:pt idx="30">
                  <c:v>0</c:v>
                </c:pt>
                <c:pt idx="31">
                  <c:v>0</c:v>
                </c:pt>
                <c:pt idx="32">
                  <c:v>-5.7216460924447432E-3</c:v>
                </c:pt>
                <c:pt idx="33">
                  <c:v>-3.1535508477791296E-3</c:v>
                </c:pt>
                <c:pt idx="34">
                  <c:v>0</c:v>
                </c:pt>
                <c:pt idx="35">
                  <c:v>0</c:v>
                </c:pt>
                <c:pt idx="36">
                  <c:v>0</c:v>
                </c:pt>
                <c:pt idx="37">
                  <c:v>0</c:v>
                </c:pt>
                <c:pt idx="38">
                  <c:v>-1.6981452338022951E-3</c:v>
                </c:pt>
                <c:pt idx="39">
                  <c:v>0</c:v>
                </c:pt>
                <c:pt idx="40">
                  <c:v>-3.1996215440662779E-3</c:v>
                </c:pt>
                <c:pt idx="41">
                  <c:v>0</c:v>
                </c:pt>
                <c:pt idx="42">
                  <c:v>0</c:v>
                </c:pt>
                <c:pt idx="43">
                  <c:v>-5.9369515099139125E-4</c:v>
                </c:pt>
                <c:pt idx="44">
                  <c:v>0</c:v>
                </c:pt>
                <c:pt idx="45">
                  <c:v>-9.8750082194531963E-3</c:v>
                </c:pt>
                <c:pt idx="46">
                  <c:v>-1.0299900715828314E-2</c:v>
                </c:pt>
                <c:pt idx="47">
                  <c:v>-9.1064830738692981E-3</c:v>
                </c:pt>
                <c:pt idx="48">
                  <c:v>-7.8875061429649618E-3</c:v>
                </c:pt>
                <c:pt idx="49">
                  <c:v>-3.7729860438030505E-3</c:v>
                </c:pt>
                <c:pt idx="50">
                  <c:v>0</c:v>
                </c:pt>
                <c:pt idx="51">
                  <c:v>0</c:v>
                </c:pt>
                <c:pt idx="52">
                  <c:v>0</c:v>
                </c:pt>
                <c:pt idx="53">
                  <c:v>0</c:v>
                </c:pt>
                <c:pt idx="54">
                  <c:v>0</c:v>
                </c:pt>
                <c:pt idx="55">
                  <c:v>-1.472352093060636E-2</c:v>
                </c:pt>
                <c:pt idx="56">
                  <c:v>-7.591366374187114E-3</c:v>
                </c:pt>
                <c:pt idx="57">
                  <c:v>-4.5663865977261242E-3</c:v>
                </c:pt>
                <c:pt idx="58">
                  <c:v>-1.8128276692349621E-3</c:v>
                </c:pt>
                <c:pt idx="59">
                  <c:v>0</c:v>
                </c:pt>
                <c:pt idx="60">
                  <c:v>0</c:v>
                </c:pt>
                <c:pt idx="61">
                  <c:v>-4.8752739173041348E-4</c:v>
                </c:pt>
                <c:pt idx="62">
                  <c:v>0</c:v>
                </c:pt>
                <c:pt idx="63">
                  <c:v>0</c:v>
                </c:pt>
                <c:pt idx="64">
                  <c:v>-5.7506813681410529E-3</c:v>
                </c:pt>
                <c:pt idx="65">
                  <c:v>-4.7265467171830888E-3</c:v>
                </c:pt>
                <c:pt idx="66">
                  <c:v>0</c:v>
                </c:pt>
                <c:pt idx="67">
                  <c:v>-4.7878227712783161E-4</c:v>
                </c:pt>
                <c:pt idx="68">
                  <c:v>0</c:v>
                </c:pt>
                <c:pt idx="69">
                  <c:v>-2.2740042297316743E-3</c:v>
                </c:pt>
                <c:pt idx="70">
                  <c:v>0</c:v>
                </c:pt>
                <c:pt idx="71">
                  <c:v>-6.8952099786042664E-3</c:v>
                </c:pt>
                <c:pt idx="72">
                  <c:v>-1.0405291015739393E-2</c:v>
                </c:pt>
                <c:pt idx="73">
                  <c:v>-3.2515853843249065E-3</c:v>
                </c:pt>
                <c:pt idx="74">
                  <c:v>0</c:v>
                </c:pt>
                <c:pt idx="75">
                  <c:v>0</c:v>
                </c:pt>
                <c:pt idx="76">
                  <c:v>-2.5217301308297912E-3</c:v>
                </c:pt>
                <c:pt idx="77">
                  <c:v>-4.1251362416278026E-3</c:v>
                </c:pt>
                <c:pt idx="78">
                  <c:v>0</c:v>
                </c:pt>
                <c:pt idx="79">
                  <c:v>0</c:v>
                </c:pt>
                <c:pt idx="80">
                  <c:v>0</c:v>
                </c:pt>
                <c:pt idx="81">
                  <c:v>0</c:v>
                </c:pt>
                <c:pt idx="82">
                  <c:v>-9.2550157678649159E-3</c:v>
                </c:pt>
                <c:pt idx="83">
                  <c:v>-1.417959805372071E-3</c:v>
                </c:pt>
                <c:pt idx="84">
                  <c:v>0</c:v>
                </c:pt>
                <c:pt idx="85">
                  <c:v>-4.6552312137724261E-3</c:v>
                </c:pt>
                <c:pt idx="86">
                  <c:v>0</c:v>
                </c:pt>
                <c:pt idx="87">
                  <c:v>0</c:v>
                </c:pt>
                <c:pt idx="88">
                  <c:v>-3.3527955794292463E-3</c:v>
                </c:pt>
                <c:pt idx="89">
                  <c:v>-1.074637186345373E-3</c:v>
                </c:pt>
                <c:pt idx="90">
                  <c:v>0</c:v>
                </c:pt>
                <c:pt idx="91">
                  <c:v>-1.0468496077702838E-2</c:v>
                </c:pt>
                <c:pt idx="92">
                  <c:v>-8.7368833963916703E-3</c:v>
                </c:pt>
                <c:pt idx="93">
                  <c:v>0</c:v>
                </c:pt>
                <c:pt idx="94">
                  <c:v>-3.3162578927919961E-3</c:v>
                </c:pt>
                <c:pt idx="95">
                  <c:v>0</c:v>
                </c:pt>
                <c:pt idx="96">
                  <c:v>0</c:v>
                </c:pt>
                <c:pt idx="97">
                  <c:v>0</c:v>
                </c:pt>
                <c:pt idx="98">
                  <c:v>0</c:v>
                </c:pt>
                <c:pt idx="99">
                  <c:v>-1.6782933222528884E-3</c:v>
                </c:pt>
                <c:pt idx="100">
                  <c:v>-2.3155946576403075E-3</c:v>
                </c:pt>
                <c:pt idx="101">
                  <c:v>-4.1346868739733367E-4</c:v>
                </c:pt>
                <c:pt idx="102">
                  <c:v>0</c:v>
                </c:pt>
                <c:pt idx="103">
                  <c:v>0</c:v>
                </c:pt>
                <c:pt idx="104">
                  <c:v>-2.0973099112326921E-3</c:v>
                </c:pt>
                <c:pt idx="105">
                  <c:v>-2.8570892029231576E-3</c:v>
                </c:pt>
                <c:pt idx="106">
                  <c:v>-1.4078878619426805E-3</c:v>
                </c:pt>
                <c:pt idx="107">
                  <c:v>-2.0876515946710583E-3</c:v>
                </c:pt>
                <c:pt idx="108">
                  <c:v>-1.103851375716336E-3</c:v>
                </c:pt>
                <c:pt idx="109">
                  <c:v>0</c:v>
                </c:pt>
                <c:pt idx="110">
                  <c:v>0</c:v>
                </c:pt>
                <c:pt idx="111">
                  <c:v>0</c:v>
                </c:pt>
                <c:pt idx="112">
                  <c:v>-4.956809557822961E-3</c:v>
                </c:pt>
                <c:pt idx="113">
                  <c:v>-9.1359114413082088E-3</c:v>
                </c:pt>
                <c:pt idx="114">
                  <c:v>-6.3826891438708566E-3</c:v>
                </c:pt>
                <c:pt idx="115">
                  <c:v>-3.2297046241874794E-3</c:v>
                </c:pt>
                <c:pt idx="116">
                  <c:v>0</c:v>
                </c:pt>
                <c:pt idx="117">
                  <c:v>0</c:v>
                </c:pt>
                <c:pt idx="118">
                  <c:v>-4.4819829903185449E-3</c:v>
                </c:pt>
                <c:pt idx="119">
                  <c:v>-8.0788154744630969E-3</c:v>
                </c:pt>
                <c:pt idx="120">
                  <c:v>-7.4641143482517824E-3</c:v>
                </c:pt>
                <c:pt idx="121">
                  <c:v>0</c:v>
                </c:pt>
                <c:pt idx="122">
                  <c:v>0</c:v>
                </c:pt>
                <c:pt idx="123">
                  <c:v>-3.0331046902237757E-3</c:v>
                </c:pt>
                <c:pt idx="124">
                  <c:v>-6.3785613663223106E-3</c:v>
                </c:pt>
                <c:pt idx="125">
                  <c:v>-1.1542222459918317E-2</c:v>
                </c:pt>
                <c:pt idx="126">
                  <c:v>-1.9874777159705981E-2</c:v>
                </c:pt>
                <c:pt idx="127">
                  <c:v>-1.2452828358860968E-2</c:v>
                </c:pt>
                <c:pt idx="128">
                  <c:v>-1.3975780962133921E-2</c:v>
                </c:pt>
                <c:pt idx="129">
                  <c:v>-1.2291182265601996E-2</c:v>
                </c:pt>
                <c:pt idx="130">
                  <c:v>-1.7992706412226611E-2</c:v>
                </c:pt>
                <c:pt idx="131">
                  <c:v>-1.7016259585822979E-2</c:v>
                </c:pt>
                <c:pt idx="132">
                  <c:v>-3.7910919887819583E-2</c:v>
                </c:pt>
                <c:pt idx="133">
                  <c:v>-4.2136878067028927E-2</c:v>
                </c:pt>
                <c:pt idx="134">
                  <c:v>-5.1346235977780097E-2</c:v>
                </c:pt>
                <c:pt idx="135">
                  <c:v>-5.2796169670711657E-2</c:v>
                </c:pt>
                <c:pt idx="136">
                  <c:v>-5.2110850970467082E-2</c:v>
                </c:pt>
                <c:pt idx="137">
                  <c:v>-4.2399010862920194E-2</c:v>
                </c:pt>
                <c:pt idx="138">
                  <c:v>-3.2026463964357599E-2</c:v>
                </c:pt>
                <c:pt idx="139">
                  <c:v>-2.7654132241201168E-2</c:v>
                </c:pt>
                <c:pt idx="140">
                  <c:v>-2.4555899177456486E-2</c:v>
                </c:pt>
                <c:pt idx="141">
                  <c:v>-2.8117297197722046E-2</c:v>
                </c:pt>
                <c:pt idx="142">
                  <c:v>-2.7040225501948845E-2</c:v>
                </c:pt>
                <c:pt idx="143">
                  <c:v>-2.3482422782734158E-2</c:v>
                </c:pt>
                <c:pt idx="144">
                  <c:v>-3.7504225122309442E-2</c:v>
                </c:pt>
                <c:pt idx="145">
                  <c:v>-2.6364362704285882E-2</c:v>
                </c:pt>
                <c:pt idx="146">
                  <c:v>-2.2377914078607009E-2</c:v>
                </c:pt>
                <c:pt idx="147">
                  <c:v>-1.895718381088185E-2</c:v>
                </c:pt>
                <c:pt idx="148">
                  <c:v>-1.5792835627032153E-2</c:v>
                </c:pt>
                <c:pt idx="149">
                  <c:v>-1.4260925417180603E-2</c:v>
                </c:pt>
                <c:pt idx="150">
                  <c:v>-9.372513504750879E-3</c:v>
                </c:pt>
                <c:pt idx="151">
                  <c:v>-2.9425201274556612E-3</c:v>
                </c:pt>
                <c:pt idx="152">
                  <c:v>-1.4396144011149525E-3</c:v>
                </c:pt>
                <c:pt idx="153">
                  <c:v>0</c:v>
                </c:pt>
                <c:pt idx="154">
                  <c:v>0</c:v>
                </c:pt>
                <c:pt idx="155">
                  <c:v>0</c:v>
                </c:pt>
                <c:pt idx="156">
                  <c:v>0</c:v>
                </c:pt>
                <c:pt idx="157">
                  <c:v>0</c:v>
                </c:pt>
                <c:pt idx="158">
                  <c:v>-1.7575227312888853E-2</c:v>
                </c:pt>
                <c:pt idx="159">
                  <c:v>-9.6600904427318612E-3</c:v>
                </c:pt>
                <c:pt idx="160">
                  <c:v>-8.3317565009175532E-3</c:v>
                </c:pt>
                <c:pt idx="161">
                  <c:v>-2.2059011218071856E-2</c:v>
                </c:pt>
                <c:pt idx="162">
                  <c:v>-1.9678905833593219E-2</c:v>
                </c:pt>
                <c:pt idx="163">
                  <c:v>-2.5093541554765952E-2</c:v>
                </c:pt>
                <c:pt idx="164">
                  <c:v>-2.778558169494505E-2</c:v>
                </c:pt>
                <c:pt idx="165">
                  <c:v>-2.7352352593644214E-2</c:v>
                </c:pt>
                <c:pt idx="166">
                  <c:v>-1.6823746187046185E-2</c:v>
                </c:pt>
                <c:pt idx="167">
                  <c:v>-1.6077905624792721E-2</c:v>
                </c:pt>
                <c:pt idx="168">
                  <c:v>-1.5100773222984754E-2</c:v>
                </c:pt>
                <c:pt idx="169">
                  <c:v>-1.6582215905981523E-2</c:v>
                </c:pt>
                <c:pt idx="170">
                  <c:v>-1.4111260380526902E-2</c:v>
                </c:pt>
                <c:pt idx="171">
                  <c:v>-1.2790809123928271E-2</c:v>
                </c:pt>
                <c:pt idx="172">
                  <c:v>-1.0708460610628467E-2</c:v>
                </c:pt>
                <c:pt idx="173">
                  <c:v>-1.3642748102418278E-2</c:v>
                </c:pt>
                <c:pt idx="174">
                  <c:v>-1.9338550175339586E-2</c:v>
                </c:pt>
                <c:pt idx="175">
                  <c:v>-1.6845832731411603E-2</c:v>
                </c:pt>
                <c:pt idx="176">
                  <c:v>-1.7624257260857257E-2</c:v>
                </c:pt>
                <c:pt idx="177">
                  <c:v>-1.2791765684089684E-2</c:v>
                </c:pt>
                <c:pt idx="178">
                  <c:v>-1.1391787663212471E-2</c:v>
                </c:pt>
                <c:pt idx="179">
                  <c:v>-5.000602178331981E-3</c:v>
                </c:pt>
                <c:pt idx="180">
                  <c:v>-4.37251278490558E-3</c:v>
                </c:pt>
                <c:pt idx="181">
                  <c:v>0</c:v>
                </c:pt>
                <c:pt idx="182">
                  <c:v>-6.1375917100912059E-3</c:v>
                </c:pt>
                <c:pt idx="183">
                  <c:v>-1.1063328201144085E-3</c:v>
                </c:pt>
                <c:pt idx="184">
                  <c:v>0</c:v>
                </c:pt>
                <c:pt idx="185">
                  <c:v>-4.3306348823768381E-5</c:v>
                </c:pt>
                <c:pt idx="186">
                  <c:v>0</c:v>
                </c:pt>
                <c:pt idx="187">
                  <c:v>0</c:v>
                </c:pt>
                <c:pt idx="188">
                  <c:v>-6.1955576096450748E-5</c:v>
                </c:pt>
                <c:pt idx="189">
                  <c:v>0</c:v>
                </c:pt>
                <c:pt idx="190">
                  <c:v>-4.2587531922583244E-3</c:v>
                </c:pt>
                <c:pt idx="191">
                  <c:v>-3.1876191117319319E-4</c:v>
                </c:pt>
                <c:pt idx="192">
                  <c:v>0</c:v>
                </c:pt>
                <c:pt idx="193">
                  <c:v>-4.6983778996767533E-3</c:v>
                </c:pt>
                <c:pt idx="194">
                  <c:v>-6.7280591324490047E-3</c:v>
                </c:pt>
                <c:pt idx="195">
                  <c:v>-5.9023113113887415E-4</c:v>
                </c:pt>
                <c:pt idx="196">
                  <c:v>0</c:v>
                </c:pt>
                <c:pt idx="197">
                  <c:v>0</c:v>
                </c:pt>
                <c:pt idx="198">
                  <c:v>-1.2509031443900143E-2</c:v>
                </c:pt>
                <c:pt idx="199">
                  <c:v>-1.5609162753010497E-2</c:v>
                </c:pt>
                <c:pt idx="200">
                  <c:v>-1.7299104049506964E-2</c:v>
                </c:pt>
                <c:pt idx="201">
                  <c:v>-1.7910586869035017E-2</c:v>
                </c:pt>
                <c:pt idx="202">
                  <c:v>-1.7538607651504612E-2</c:v>
                </c:pt>
                <c:pt idx="203">
                  <c:v>-1.4258694332817012E-2</c:v>
                </c:pt>
                <c:pt idx="204">
                  <c:v>-4.9920496213295973E-3</c:v>
                </c:pt>
                <c:pt idx="205">
                  <c:v>-1.0315202074621332E-2</c:v>
                </c:pt>
                <c:pt idx="206">
                  <c:v>-6.4730089919484701E-4</c:v>
                </c:pt>
                <c:pt idx="207">
                  <c:v>-9.0447583057929881E-3</c:v>
                </c:pt>
                <c:pt idx="208">
                  <c:v>-8.1439527463799122E-3</c:v>
                </c:pt>
                <c:pt idx="209">
                  <c:v>-2.0471468627882294E-2</c:v>
                </c:pt>
                <c:pt idx="210">
                  <c:v>-4.2280663465589563E-2</c:v>
                </c:pt>
                <c:pt idx="211">
                  <c:v>-3.8607858853125343E-2</c:v>
                </c:pt>
                <c:pt idx="212">
                  <c:v>-3.8005922154615845E-2</c:v>
                </c:pt>
                <c:pt idx="213">
                  <c:v>-2.6089565106617751E-2</c:v>
                </c:pt>
                <c:pt idx="214">
                  <c:v>-2.0883070100482404E-2</c:v>
                </c:pt>
                <c:pt idx="215">
                  <c:v>-2.0564151403916098E-2</c:v>
                </c:pt>
                <c:pt idx="216">
                  <c:v>-1.8206101756069737E-2</c:v>
                </c:pt>
                <c:pt idx="217">
                  <c:v>-1.3226567708243486E-2</c:v>
                </c:pt>
                <c:pt idx="218">
                  <c:v>0</c:v>
                </c:pt>
                <c:pt idx="219">
                  <c:v>0</c:v>
                </c:pt>
                <c:pt idx="220">
                  <c:v>0</c:v>
                </c:pt>
                <c:pt idx="221">
                  <c:v>0</c:v>
                </c:pt>
                <c:pt idx="222">
                  <c:v>0</c:v>
                </c:pt>
                <c:pt idx="223">
                  <c:v>0</c:v>
                </c:pt>
                <c:pt idx="224">
                  <c:v>0</c:v>
                </c:pt>
                <c:pt idx="225">
                  <c:v>0</c:v>
                </c:pt>
                <c:pt idx="226">
                  <c:v>-1.0465968308667195E-3</c:v>
                </c:pt>
                <c:pt idx="227">
                  <c:v>-4.2462730183612241E-4</c:v>
                </c:pt>
                <c:pt idx="228">
                  <c:v>0</c:v>
                </c:pt>
                <c:pt idx="229">
                  <c:v>0</c:v>
                </c:pt>
                <c:pt idx="230">
                  <c:v>-6.6835314194084727E-3</c:v>
                </c:pt>
                <c:pt idx="231">
                  <c:v>-1.0536808833036315E-2</c:v>
                </c:pt>
                <c:pt idx="232">
                  <c:v>-1.6996005667706648E-2</c:v>
                </c:pt>
                <c:pt idx="233">
                  <c:v>-2.8372519687301256E-2</c:v>
                </c:pt>
                <c:pt idx="234">
                  <c:v>-1.455777976427497E-2</c:v>
                </c:pt>
                <c:pt idx="235">
                  <c:v>-2.2425253932757183E-2</c:v>
                </c:pt>
                <c:pt idx="236">
                  <c:v>-2.1394209299905542E-2</c:v>
                </c:pt>
                <c:pt idx="237">
                  <c:v>-1.8357597889093857E-2</c:v>
                </c:pt>
                <c:pt idx="238">
                  <c:v>-1.7451972270364657E-2</c:v>
                </c:pt>
                <c:pt idx="239">
                  <c:v>-1.1409374584084309E-2</c:v>
                </c:pt>
                <c:pt idx="240">
                  <c:v>-1.1514816678587558E-2</c:v>
                </c:pt>
                <c:pt idx="241">
                  <c:v>-1.3771167474697421E-2</c:v>
                </c:pt>
                <c:pt idx="242">
                  <c:v>-1.1011628162542642E-2</c:v>
                </c:pt>
                <c:pt idx="243">
                  <c:v>-7.8275309282884731E-3</c:v>
                </c:pt>
                <c:pt idx="244">
                  <c:v>-5.3150829686603451E-3</c:v>
                </c:pt>
                <c:pt idx="245">
                  <c:v>-6.5281341803682391E-3</c:v>
                </c:pt>
                <c:pt idx="246">
                  <c:v>-1.1055419000539635E-2</c:v>
                </c:pt>
                <c:pt idx="247">
                  <c:v>-1.4171674866767625E-2</c:v>
                </c:pt>
                <c:pt idx="248">
                  <c:v>-1.3187874521497278E-2</c:v>
                </c:pt>
                <c:pt idx="249">
                  <c:v>-8.4541840356353593E-3</c:v>
                </c:pt>
                <c:pt idx="250">
                  <c:v>-1.4632674712912852E-2</c:v>
                </c:pt>
                <c:pt idx="251">
                  <c:v>-1.8213903622589123E-2</c:v>
                </c:pt>
                <c:pt idx="252">
                  <c:v>-2.3462635958460654E-2</c:v>
                </c:pt>
                <c:pt idx="253">
                  <c:v>-1.3933060047233714E-2</c:v>
                </c:pt>
                <c:pt idx="254">
                  <c:v>-2.5035161940339501E-2</c:v>
                </c:pt>
                <c:pt idx="255">
                  <c:v>-2.2324832673763395E-2</c:v>
                </c:pt>
                <c:pt idx="256">
                  <c:v>-1.3719315809129107E-2</c:v>
                </c:pt>
                <c:pt idx="257">
                  <c:v>-1.5914479834815531E-2</c:v>
                </c:pt>
                <c:pt idx="258">
                  <c:v>-1.9414080832467207E-3</c:v>
                </c:pt>
                <c:pt idx="259">
                  <c:v>0</c:v>
                </c:pt>
                <c:pt idx="260">
                  <c:v>0</c:v>
                </c:pt>
                <c:pt idx="261">
                  <c:v>0</c:v>
                </c:pt>
                <c:pt idx="262">
                  <c:v>-4.6943519943642986E-4</c:v>
                </c:pt>
                <c:pt idx="263">
                  <c:v>0</c:v>
                </c:pt>
                <c:pt idx="264">
                  <c:v>-8.0930330251844929E-3</c:v>
                </c:pt>
                <c:pt idx="265">
                  <c:v>-2.1775798444515493E-3</c:v>
                </c:pt>
                <c:pt idx="266">
                  <c:v>-3.9231827751073922E-3</c:v>
                </c:pt>
                <c:pt idx="267">
                  <c:v>-6.8653528520210561E-3</c:v>
                </c:pt>
                <c:pt idx="268">
                  <c:v>-1.4083951508118364E-2</c:v>
                </c:pt>
                <c:pt idx="269">
                  <c:v>-9.5931333951593256E-3</c:v>
                </c:pt>
                <c:pt idx="270">
                  <c:v>-1.7362987015266951E-2</c:v>
                </c:pt>
                <c:pt idx="271">
                  <c:v>-1.5063009920949444E-2</c:v>
                </c:pt>
                <c:pt idx="272">
                  <c:v>-2.6451472963265443E-2</c:v>
                </c:pt>
                <c:pt idx="273">
                  <c:v>-2.1611489907536252E-2</c:v>
                </c:pt>
                <c:pt idx="274">
                  <c:v>-2.6762035723441602E-2</c:v>
                </c:pt>
                <c:pt idx="275">
                  <c:v>-1.9904365114369993E-2</c:v>
                </c:pt>
                <c:pt idx="276">
                  <c:v>0</c:v>
                </c:pt>
                <c:pt idx="277">
                  <c:v>-8.2425987359244779E-3</c:v>
                </c:pt>
                <c:pt idx="278">
                  <c:v>-8.6170618690479817E-3</c:v>
                </c:pt>
                <c:pt idx="279">
                  <c:v>-1.1304849809509632E-2</c:v>
                </c:pt>
                <c:pt idx="280">
                  <c:v>-1.2269435558005526E-2</c:v>
                </c:pt>
                <c:pt idx="281">
                  <c:v>-6.5611710475409479E-3</c:v>
                </c:pt>
                <c:pt idx="282">
                  <c:v>-1.087999658457206E-2</c:v>
                </c:pt>
                <c:pt idx="283">
                  <c:v>-1.2579723637085705E-2</c:v>
                </c:pt>
                <c:pt idx="284">
                  <c:v>-1.0741391157481739E-2</c:v>
                </c:pt>
                <c:pt idx="285">
                  <c:v>-8.7915362098511807E-3</c:v>
                </c:pt>
                <c:pt idx="286">
                  <c:v>-9.1604712394800503E-3</c:v>
                </c:pt>
                <c:pt idx="287">
                  <c:v>0</c:v>
                </c:pt>
                <c:pt idx="288">
                  <c:v>0</c:v>
                </c:pt>
                <c:pt idx="289">
                  <c:v>0</c:v>
                </c:pt>
                <c:pt idx="290">
                  <c:v>0</c:v>
                </c:pt>
                <c:pt idx="291">
                  <c:v>0</c:v>
                </c:pt>
                <c:pt idx="292">
                  <c:v>0</c:v>
                </c:pt>
                <c:pt idx="293">
                  <c:v>-1.6504044004822527E-3</c:v>
                </c:pt>
                <c:pt idx="294">
                  <c:v>-4.1363169876227346E-3</c:v>
                </c:pt>
                <c:pt idx="295">
                  <c:v>-8.6522794815693249E-3</c:v>
                </c:pt>
                <c:pt idx="296">
                  <c:v>-3.5005266295274895E-3</c:v>
                </c:pt>
                <c:pt idx="297">
                  <c:v>-5.6827546889803848E-4</c:v>
                </c:pt>
                <c:pt idx="298">
                  <c:v>-5.4118066558913602E-3</c:v>
                </c:pt>
                <c:pt idx="299">
                  <c:v>-5.792464329046898E-3</c:v>
                </c:pt>
                <c:pt idx="300">
                  <c:v>-7.297990260244136E-3</c:v>
                </c:pt>
                <c:pt idx="301">
                  <c:v>-8.5530357371418342E-3</c:v>
                </c:pt>
                <c:pt idx="302">
                  <c:v>-1.2020476882314779E-2</c:v>
                </c:pt>
                <c:pt idx="303">
                  <c:v>-1.5169305030142133E-2</c:v>
                </c:pt>
                <c:pt idx="304">
                  <c:v>-9.3409666475207098E-3</c:v>
                </c:pt>
                <c:pt idx="305">
                  <c:v>-3.1568490525278992E-2</c:v>
                </c:pt>
                <c:pt idx="306">
                  <c:v>-3.1122116832675406E-2</c:v>
                </c:pt>
                <c:pt idx="307">
                  <c:v>-2.4955103818140367E-2</c:v>
                </c:pt>
                <c:pt idx="308">
                  <c:v>-2.5851828421086576E-2</c:v>
                </c:pt>
                <c:pt idx="309">
                  <c:v>-1.4075080543670793E-2</c:v>
                </c:pt>
                <c:pt idx="310">
                  <c:v>-1.4737866275410738E-2</c:v>
                </c:pt>
                <c:pt idx="311">
                  <c:v>-2.2357152822283011E-2</c:v>
                </c:pt>
                <c:pt idx="312">
                  <c:v>-3.2126782881626181E-2</c:v>
                </c:pt>
                <c:pt idx="313">
                  <c:v>-3.0203243991020257E-2</c:v>
                </c:pt>
                <c:pt idx="314">
                  <c:v>-3.4020750092822016E-2</c:v>
                </c:pt>
                <c:pt idx="315">
                  <c:v>-2.7476208792109547E-2</c:v>
                </c:pt>
                <c:pt idx="316">
                  <c:v>-2.960723065060189E-2</c:v>
                </c:pt>
                <c:pt idx="317">
                  <c:v>-2.6830852332885957E-2</c:v>
                </c:pt>
                <c:pt idx="318">
                  <c:v>-3.0098415426909497E-2</c:v>
                </c:pt>
                <c:pt idx="319">
                  <c:v>-3.6507910574060221E-2</c:v>
                </c:pt>
                <c:pt idx="320">
                  <c:v>-2.90750161721679E-2</c:v>
                </c:pt>
                <c:pt idx="321">
                  <c:v>-2.6333310581605263E-2</c:v>
                </c:pt>
                <c:pt idx="322">
                  <c:v>-1.5809160043045889E-2</c:v>
                </c:pt>
                <c:pt idx="323">
                  <c:v>-1.1924690483468781E-2</c:v>
                </c:pt>
                <c:pt idx="324">
                  <c:v>-3.3248537878662887E-3</c:v>
                </c:pt>
                <c:pt idx="325">
                  <c:v>0</c:v>
                </c:pt>
                <c:pt idx="326">
                  <c:v>-2.3931501022457224E-3</c:v>
                </c:pt>
                <c:pt idx="327">
                  <c:v>0</c:v>
                </c:pt>
                <c:pt idx="328">
                  <c:v>0</c:v>
                </c:pt>
                <c:pt idx="329">
                  <c:v>0</c:v>
                </c:pt>
                <c:pt idx="330">
                  <c:v>-2.4311058671070418E-3</c:v>
                </c:pt>
                <c:pt idx="331">
                  <c:v>-8.9527954088464146E-4</c:v>
                </c:pt>
                <c:pt idx="332">
                  <c:v>0</c:v>
                </c:pt>
                <c:pt idx="333">
                  <c:v>-4.524140330049109E-3</c:v>
                </c:pt>
                <c:pt idx="334">
                  <c:v>-6.215276578763862E-3</c:v>
                </c:pt>
                <c:pt idx="335">
                  <c:v>0</c:v>
                </c:pt>
                <c:pt idx="336">
                  <c:v>0</c:v>
                </c:pt>
                <c:pt idx="337">
                  <c:v>0</c:v>
                </c:pt>
                <c:pt idx="338">
                  <c:v>-7.8873764984913608E-3</c:v>
                </c:pt>
                <c:pt idx="339">
                  <c:v>-3.637392681426932E-3</c:v>
                </c:pt>
                <c:pt idx="340">
                  <c:v>0</c:v>
                </c:pt>
                <c:pt idx="341">
                  <c:v>0</c:v>
                </c:pt>
                <c:pt idx="342">
                  <c:v>0</c:v>
                </c:pt>
                <c:pt idx="343">
                  <c:v>-4.1693698432636594E-3</c:v>
                </c:pt>
                <c:pt idx="344">
                  <c:v>-2.6562694271988763E-3</c:v>
                </c:pt>
                <c:pt idx="345">
                  <c:v>0</c:v>
                </c:pt>
                <c:pt idx="346">
                  <c:v>-1.7041259089261684E-2</c:v>
                </c:pt>
                <c:pt idx="347">
                  <c:v>-2.0268964263503553E-2</c:v>
                </c:pt>
                <c:pt idx="348">
                  <c:v>-2.5169110914730397E-2</c:v>
                </c:pt>
                <c:pt idx="349">
                  <c:v>-1.941994489643839E-2</c:v>
                </c:pt>
                <c:pt idx="350">
                  <c:v>-2.6546590671331471E-2</c:v>
                </c:pt>
                <c:pt idx="351">
                  <c:v>-2.786695849191978E-2</c:v>
                </c:pt>
                <c:pt idx="352">
                  <c:v>-1.4354589750323998E-2</c:v>
                </c:pt>
                <c:pt idx="353">
                  <c:v>-2.0341980367478696E-2</c:v>
                </c:pt>
                <c:pt idx="354">
                  <c:v>-4.0826078513028441E-2</c:v>
                </c:pt>
                <c:pt idx="355">
                  <c:v>-3.6179546797253326E-2</c:v>
                </c:pt>
                <c:pt idx="356">
                  <c:v>-4.3255369538995558E-2</c:v>
                </c:pt>
                <c:pt idx="357">
                  <c:v>-4.7921374563455021E-2</c:v>
                </c:pt>
                <c:pt idx="358">
                  <c:v>-6.6679391901500296E-2</c:v>
                </c:pt>
                <c:pt idx="359">
                  <c:v>-7.5190753107519548E-2</c:v>
                </c:pt>
                <c:pt idx="360">
                  <c:v>-8.5305964136112689E-2</c:v>
                </c:pt>
                <c:pt idx="361">
                  <c:v>-9.3635580083563985E-2</c:v>
                </c:pt>
                <c:pt idx="362">
                  <c:v>-8.1270011055040281E-2</c:v>
                </c:pt>
                <c:pt idx="363">
                  <c:v>-7.4746788336935932E-2</c:v>
                </c:pt>
                <c:pt idx="364">
                  <c:v>-7.8189373143718321E-2</c:v>
                </c:pt>
                <c:pt idx="365">
                  <c:v>-7.2110142451775716E-2</c:v>
                </c:pt>
                <c:pt idx="366">
                  <c:v>-7.2583183221159087E-2</c:v>
                </c:pt>
                <c:pt idx="367">
                  <c:v>-6.9008253718643275E-2</c:v>
                </c:pt>
                <c:pt idx="368">
                  <c:v>-5.7335965252684473E-2</c:v>
                </c:pt>
                <c:pt idx="369">
                  <c:v>-5.9854601872815882E-2</c:v>
                </c:pt>
                <c:pt idx="370">
                  <c:v>-5.8200556031517747E-2</c:v>
                </c:pt>
                <c:pt idx="371">
                  <c:v>-5.6271414569483591E-2</c:v>
                </c:pt>
                <c:pt idx="372">
                  <c:v>-6.8005874515549292E-2</c:v>
                </c:pt>
                <c:pt idx="373">
                  <c:v>-5.6537622880220462E-2</c:v>
                </c:pt>
                <c:pt idx="374">
                  <c:v>-7.0934943890161195E-2</c:v>
                </c:pt>
                <c:pt idx="375">
                  <c:v>-6.4170449302364041E-2</c:v>
                </c:pt>
                <c:pt idx="376">
                  <c:v>-8.8416776872439207E-2</c:v>
                </c:pt>
                <c:pt idx="377">
                  <c:v>-0.13822453908635934</c:v>
                </c:pt>
                <c:pt idx="378">
                  <c:v>-0.14049798043201145</c:v>
                </c:pt>
                <c:pt idx="379">
                  <c:v>-0.14732802903970721</c:v>
                </c:pt>
                <c:pt idx="380">
                  <c:v>-9.3011493404836609E-2</c:v>
                </c:pt>
                <c:pt idx="381">
                  <c:v>-0.1095569472151694</c:v>
                </c:pt>
                <c:pt idx="382">
                  <c:v>-8.6731257422973718E-2</c:v>
                </c:pt>
                <c:pt idx="383">
                  <c:v>-7.9740560300157415E-2</c:v>
                </c:pt>
                <c:pt idx="384">
                  <c:v>-8.5837386215216194E-2</c:v>
                </c:pt>
                <c:pt idx="385">
                  <c:v>-9.8512403354986011E-2</c:v>
                </c:pt>
                <c:pt idx="386">
                  <c:v>-8.5670212726610795E-2</c:v>
                </c:pt>
                <c:pt idx="387">
                  <c:v>-9.5887731586549396E-2</c:v>
                </c:pt>
                <c:pt idx="388">
                  <c:v>-7.6685944628294367E-2</c:v>
                </c:pt>
                <c:pt idx="389">
                  <c:v>-7.1225775981275663E-2</c:v>
                </c:pt>
                <c:pt idx="390">
                  <c:v>-6.2371794081346077E-2</c:v>
                </c:pt>
                <c:pt idx="391">
                  <c:v>-6.4127459119581731E-2</c:v>
                </c:pt>
                <c:pt idx="392">
                  <c:v>-6.3698910742819304E-2</c:v>
                </c:pt>
                <c:pt idx="393">
                  <c:v>-5.8979360698363958E-2</c:v>
                </c:pt>
                <c:pt idx="394">
                  <c:v>-5.8157169598585967E-2</c:v>
                </c:pt>
                <c:pt idx="395">
                  <c:v>-5.3466211549397347E-2</c:v>
                </c:pt>
                <c:pt idx="396">
                  <c:v>-4.379853303664849E-2</c:v>
                </c:pt>
                <c:pt idx="397">
                  <c:v>-4.8704786967264213E-2</c:v>
                </c:pt>
                <c:pt idx="398">
                  <c:v>-5.3805037719722004E-2</c:v>
                </c:pt>
                <c:pt idx="399">
                  <c:v>-4.717227716545791E-2</c:v>
                </c:pt>
                <c:pt idx="400">
                  <c:v>-4.6999589378383333E-2</c:v>
                </c:pt>
                <c:pt idx="401">
                  <c:v>-5.0347821621555822E-2</c:v>
                </c:pt>
                <c:pt idx="402">
                  <c:v>-3.4831992425720215E-2</c:v>
                </c:pt>
                <c:pt idx="403">
                  <c:v>-4.1455528373303574E-2</c:v>
                </c:pt>
                <c:pt idx="404">
                  <c:v>-4.1074248232159993E-2</c:v>
                </c:pt>
                <c:pt idx="405">
                  <c:v>-3.2228647665323518E-2</c:v>
                </c:pt>
                <c:pt idx="406">
                  <c:v>-2.6049466603052296E-2</c:v>
                </c:pt>
                <c:pt idx="407">
                  <c:v>-2.7414735830735393E-2</c:v>
                </c:pt>
                <c:pt idx="408">
                  <c:v>-2.7845329732041346E-2</c:v>
                </c:pt>
                <c:pt idx="409">
                  <c:v>-3.7868092618174365E-2</c:v>
                </c:pt>
                <c:pt idx="410">
                  <c:v>-4.0540737496006618E-2</c:v>
                </c:pt>
                <c:pt idx="411">
                  <c:v>-4.1239300560648839E-2</c:v>
                </c:pt>
                <c:pt idx="412">
                  <c:v>-3.0191227273544397E-2</c:v>
                </c:pt>
                <c:pt idx="413">
                  <c:v>-3.6168805399059867E-2</c:v>
                </c:pt>
                <c:pt idx="414">
                  <c:v>-3.2551149346216723E-2</c:v>
                </c:pt>
                <c:pt idx="415">
                  <c:v>-2.6971817951931709E-2</c:v>
                </c:pt>
                <c:pt idx="416">
                  <c:v>-2.3466695816651506E-2</c:v>
                </c:pt>
                <c:pt idx="417">
                  <c:v>-2.4225208660646813E-2</c:v>
                </c:pt>
                <c:pt idx="418">
                  <c:v>-2.8436858175223456E-2</c:v>
                </c:pt>
                <c:pt idx="419">
                  <c:v>-3.253798444131506E-2</c:v>
                </c:pt>
                <c:pt idx="420">
                  <c:v>-2.2666611734970088E-2</c:v>
                </c:pt>
                <c:pt idx="421">
                  <c:v>-1.9558914174663267E-2</c:v>
                </c:pt>
                <c:pt idx="422">
                  <c:v>-1.3858354167438081E-2</c:v>
                </c:pt>
                <c:pt idx="423">
                  <c:v>-2.0024502273090494E-2</c:v>
                </c:pt>
                <c:pt idx="424">
                  <c:v>-1.7707466016162132E-2</c:v>
                </c:pt>
                <c:pt idx="425">
                  <c:v>-2.3375731878670147E-2</c:v>
                </c:pt>
                <c:pt idx="426">
                  <c:v>-1.9966278282376071E-2</c:v>
                </c:pt>
                <c:pt idx="427">
                  <c:v>-2.7425486140520761E-2</c:v>
                </c:pt>
                <c:pt idx="428">
                  <c:v>-2.6270309988807083E-2</c:v>
                </c:pt>
                <c:pt idx="429">
                  <c:v>-2.5579501054523113E-2</c:v>
                </c:pt>
                <c:pt idx="430">
                  <c:v>-1.6568927202558426E-2</c:v>
                </c:pt>
                <c:pt idx="431">
                  <c:v>-1.1378288333782183E-2</c:v>
                </c:pt>
                <c:pt idx="432">
                  <c:v>-1.0691865763981068E-2</c:v>
                </c:pt>
                <c:pt idx="433">
                  <c:v>-6.2555730295273948E-3</c:v>
                </c:pt>
                <c:pt idx="434">
                  <c:v>-1.8409302455265619E-3</c:v>
                </c:pt>
                <c:pt idx="435">
                  <c:v>0</c:v>
                </c:pt>
                <c:pt idx="436">
                  <c:v>0</c:v>
                </c:pt>
                <c:pt idx="437">
                  <c:v>0</c:v>
                </c:pt>
                <c:pt idx="438">
                  <c:v>0</c:v>
                </c:pt>
                <c:pt idx="439">
                  <c:v>-5.1610943620701288E-3</c:v>
                </c:pt>
                <c:pt idx="440">
                  <c:v>-1.6540994008236609E-2</c:v>
                </c:pt>
                <c:pt idx="441">
                  <c:v>-1.5258957827497754E-2</c:v>
                </c:pt>
                <c:pt idx="442">
                  <c:v>-1.0739295586830844E-2</c:v>
                </c:pt>
                <c:pt idx="443">
                  <c:v>-1.24307639905058E-2</c:v>
                </c:pt>
                <c:pt idx="444">
                  <c:v>-1.0942409575306011E-2</c:v>
                </c:pt>
                <c:pt idx="445">
                  <c:v>-1.5670056519185516E-2</c:v>
                </c:pt>
                <c:pt idx="446">
                  <c:v>-3.3204762650903552E-3</c:v>
                </c:pt>
                <c:pt idx="447">
                  <c:v>0</c:v>
                </c:pt>
                <c:pt idx="448">
                  <c:v>-2.5472059722109197E-4</c:v>
                </c:pt>
                <c:pt idx="449">
                  <c:v>0</c:v>
                </c:pt>
                <c:pt idx="450">
                  <c:v>0</c:v>
                </c:pt>
                <c:pt idx="451">
                  <c:v>0</c:v>
                </c:pt>
                <c:pt idx="452">
                  <c:v>0</c:v>
                </c:pt>
                <c:pt idx="453">
                  <c:v>0</c:v>
                </c:pt>
                <c:pt idx="454">
                  <c:v>-4.3927351842629747E-3</c:v>
                </c:pt>
                <c:pt idx="455">
                  <c:v>0</c:v>
                </c:pt>
                <c:pt idx="456">
                  <c:v>-2.6306414877174111E-3</c:v>
                </c:pt>
                <c:pt idx="457">
                  <c:v>-6.6350792049592044E-3</c:v>
                </c:pt>
                <c:pt idx="458">
                  <c:v>-1.5177760091734327E-2</c:v>
                </c:pt>
                <c:pt idx="459">
                  <c:v>-4.6279729773477385E-3</c:v>
                </c:pt>
                <c:pt idx="460">
                  <c:v>-8.0191699201943578E-3</c:v>
                </c:pt>
                <c:pt idx="461">
                  <c:v>0</c:v>
                </c:pt>
                <c:pt idx="462">
                  <c:v>0</c:v>
                </c:pt>
                <c:pt idx="463">
                  <c:v>0</c:v>
                </c:pt>
                <c:pt idx="464">
                  <c:v>0</c:v>
                </c:pt>
                <c:pt idx="465">
                  <c:v>0</c:v>
                </c:pt>
                <c:pt idx="466">
                  <c:v>-2.1574959218171319E-3</c:v>
                </c:pt>
                <c:pt idx="467">
                  <c:v>0</c:v>
                </c:pt>
                <c:pt idx="468">
                  <c:v>-1.7589804653898033E-3</c:v>
                </c:pt>
                <c:pt idx="469">
                  <c:v>-2.336841774808418E-3</c:v>
                </c:pt>
                <c:pt idx="470">
                  <c:v>0</c:v>
                </c:pt>
                <c:pt idx="471">
                  <c:v>0</c:v>
                </c:pt>
                <c:pt idx="472">
                  <c:v>-7.611839952796684E-3</c:v>
                </c:pt>
                <c:pt idx="473">
                  <c:v>-1.6209736288658183E-3</c:v>
                </c:pt>
                <c:pt idx="474">
                  <c:v>-7.9426530253572381E-3</c:v>
                </c:pt>
                <c:pt idx="475">
                  <c:v>-7.6317540959416341E-3</c:v>
                </c:pt>
                <c:pt idx="476">
                  <c:v>-4.8221457186143901E-3</c:v>
                </c:pt>
                <c:pt idx="477">
                  <c:v>-4.1691130677711241E-3</c:v>
                </c:pt>
                <c:pt idx="478">
                  <c:v>0</c:v>
                </c:pt>
                <c:pt idx="479">
                  <c:v>-5.4941301714006574E-4</c:v>
                </c:pt>
                <c:pt idx="480">
                  <c:v>0</c:v>
                </c:pt>
                <c:pt idx="481">
                  <c:v>0</c:v>
                </c:pt>
                <c:pt idx="482">
                  <c:v>-1.3186977726287186E-2</c:v>
                </c:pt>
                <c:pt idx="483">
                  <c:v>-1.1991662455095531E-2</c:v>
                </c:pt>
                <c:pt idx="484">
                  <c:v>-8.3832437768642798E-3</c:v>
                </c:pt>
                <c:pt idx="485">
                  <c:v>-1.3536879809366908E-2</c:v>
                </c:pt>
                <c:pt idx="486">
                  <c:v>-2.7546152805811852E-3</c:v>
                </c:pt>
                <c:pt idx="487">
                  <c:v>-7.9900464507354219E-4</c:v>
                </c:pt>
                <c:pt idx="488">
                  <c:v>0</c:v>
                </c:pt>
                <c:pt idx="489">
                  <c:v>0</c:v>
                </c:pt>
                <c:pt idx="490">
                  <c:v>0</c:v>
                </c:pt>
                <c:pt idx="491">
                  <c:v>-6.2363116163293153E-3</c:v>
                </c:pt>
                <c:pt idx="492">
                  <c:v>-1.4618198046632003E-3</c:v>
                </c:pt>
                <c:pt idx="493">
                  <c:v>-5.3460350389639144E-3</c:v>
                </c:pt>
                <c:pt idx="494">
                  <c:v>-3.6669300285515627E-3</c:v>
                </c:pt>
                <c:pt idx="495">
                  <c:v>-3.492895596057366E-3</c:v>
                </c:pt>
                <c:pt idx="496">
                  <c:v>-2.2747592602012645E-3</c:v>
                </c:pt>
                <c:pt idx="497">
                  <c:v>0</c:v>
                </c:pt>
                <c:pt idx="498">
                  <c:v>0</c:v>
                </c:pt>
                <c:pt idx="499">
                  <c:v>0</c:v>
                </c:pt>
                <c:pt idx="500">
                  <c:v>-2.8393313076366944E-3</c:v>
                </c:pt>
                <c:pt idx="501">
                  <c:v>-6.9697659006574542E-3</c:v>
                </c:pt>
                <c:pt idx="502">
                  <c:v>0</c:v>
                </c:pt>
                <c:pt idx="503">
                  <c:v>0</c:v>
                </c:pt>
                <c:pt idx="504">
                  <c:v>0</c:v>
                </c:pt>
                <c:pt idx="505">
                  <c:v>-2.1702491016181158E-3</c:v>
                </c:pt>
                <c:pt idx="506">
                  <c:v>-1.1055212359081246E-3</c:v>
                </c:pt>
                <c:pt idx="507">
                  <c:v>-1.1679078832910195E-2</c:v>
                </c:pt>
                <c:pt idx="508">
                  <c:v>-3.2008121497481001E-3</c:v>
                </c:pt>
                <c:pt idx="509">
                  <c:v>-6.2628937787634342E-4</c:v>
                </c:pt>
                <c:pt idx="510">
                  <c:v>0</c:v>
                </c:pt>
                <c:pt idx="511">
                  <c:v>-8.0519291124854231E-3</c:v>
                </c:pt>
                <c:pt idx="512">
                  <c:v>-2.545387660706333E-3</c:v>
                </c:pt>
                <c:pt idx="513">
                  <c:v>0</c:v>
                </c:pt>
                <c:pt idx="514">
                  <c:v>0</c:v>
                </c:pt>
                <c:pt idx="515">
                  <c:v>-1.6418591243818614E-3</c:v>
                </c:pt>
                <c:pt idx="516">
                  <c:v>-2.083886663958312E-3</c:v>
                </c:pt>
                <c:pt idx="517">
                  <c:v>0</c:v>
                </c:pt>
                <c:pt idx="518">
                  <c:v>0</c:v>
                </c:pt>
                <c:pt idx="519">
                  <c:v>-3.079902937901724E-3</c:v>
                </c:pt>
                <c:pt idx="520">
                  <c:v>-6.8719228941959143E-3</c:v>
                </c:pt>
                <c:pt idx="521">
                  <c:v>-4.5150695950197939E-3</c:v>
                </c:pt>
                <c:pt idx="522">
                  <c:v>0</c:v>
                </c:pt>
                <c:pt idx="523">
                  <c:v>-3.633694299514767E-3</c:v>
                </c:pt>
                <c:pt idx="524">
                  <c:v>-1.9500856860659166E-3</c:v>
                </c:pt>
                <c:pt idx="525">
                  <c:v>-3.44501081258064E-3</c:v>
                </c:pt>
                <c:pt idx="526">
                  <c:v>-2.6505251917648964E-3</c:v>
                </c:pt>
                <c:pt idx="527">
                  <c:v>0</c:v>
                </c:pt>
                <c:pt idx="528">
                  <c:v>0</c:v>
                </c:pt>
                <c:pt idx="529">
                  <c:v>0</c:v>
                </c:pt>
                <c:pt idx="530">
                  <c:v>0</c:v>
                </c:pt>
                <c:pt idx="531">
                  <c:v>-1.1957150048763743E-2</c:v>
                </c:pt>
                <c:pt idx="532">
                  <c:v>-1.5350334184637493E-2</c:v>
                </c:pt>
                <c:pt idx="533">
                  <c:v>-1.6324860086387782E-2</c:v>
                </c:pt>
                <c:pt idx="534">
                  <c:v>-2.2068352084192111E-2</c:v>
                </c:pt>
                <c:pt idx="535">
                  <c:v>-1.8731665453894264E-2</c:v>
                </c:pt>
                <c:pt idx="536">
                  <c:v>-1.6392780082689185E-2</c:v>
                </c:pt>
                <c:pt idx="537">
                  <c:v>-1.3289373076552424E-2</c:v>
                </c:pt>
                <c:pt idx="538">
                  <c:v>-1.0621425346052038E-2</c:v>
                </c:pt>
                <c:pt idx="539">
                  <c:v>-9.4014115498486373E-4</c:v>
                </c:pt>
                <c:pt idx="540">
                  <c:v>0</c:v>
                </c:pt>
                <c:pt idx="541">
                  <c:v>0</c:v>
                </c:pt>
                <c:pt idx="542">
                  <c:v>-5.2709946873169544E-3</c:v>
                </c:pt>
                <c:pt idx="543">
                  <c:v>-6.6398596068319993E-3</c:v>
                </c:pt>
                <c:pt idx="544">
                  <c:v>-2.4316470669807355E-3</c:v>
                </c:pt>
                <c:pt idx="545">
                  <c:v>-4.440579086246732E-3</c:v>
                </c:pt>
                <c:pt idx="546">
                  <c:v>-6.5995380083122557E-3</c:v>
                </c:pt>
                <c:pt idx="547">
                  <c:v>-8.3653376632479848E-3</c:v>
                </c:pt>
                <c:pt idx="548">
                  <c:v>-1.84588874458953E-2</c:v>
                </c:pt>
                <c:pt idx="549">
                  <c:v>-5.0905087079955447E-3</c:v>
                </c:pt>
                <c:pt idx="550">
                  <c:v>0</c:v>
                </c:pt>
                <c:pt idx="551">
                  <c:v>0</c:v>
                </c:pt>
                <c:pt idx="552">
                  <c:v>0</c:v>
                </c:pt>
                <c:pt idx="553">
                  <c:v>-1.251233689582909E-2</c:v>
                </c:pt>
                <c:pt idx="554">
                  <c:v>-1.0740526737197831E-2</c:v>
                </c:pt>
                <c:pt idx="555">
                  <c:v>-1.3449917567115333E-2</c:v>
                </c:pt>
                <c:pt idx="556">
                  <c:v>-1.2822744624072069E-2</c:v>
                </c:pt>
                <c:pt idx="557">
                  <c:v>-8.9418261065146165E-3</c:v>
                </c:pt>
                <c:pt idx="558">
                  <c:v>-9.1180592951234374E-3</c:v>
                </c:pt>
                <c:pt idx="559">
                  <c:v>-2.6868093982553853E-3</c:v>
                </c:pt>
                <c:pt idx="560">
                  <c:v>-4.2011038498565023E-3</c:v>
                </c:pt>
                <c:pt idx="561">
                  <c:v>-5.2818112678680862E-3</c:v>
                </c:pt>
                <c:pt idx="562">
                  <c:v>-6.8691592598697504E-3</c:v>
                </c:pt>
                <c:pt idx="563">
                  <c:v>-1.0298145448439433E-2</c:v>
                </c:pt>
                <c:pt idx="564">
                  <c:v>-9.4139475952033091E-3</c:v>
                </c:pt>
                <c:pt idx="565">
                  <c:v>-6.6660910209652702E-3</c:v>
                </c:pt>
                <c:pt idx="566">
                  <c:v>-3.342023362889357E-3</c:v>
                </c:pt>
                <c:pt idx="567">
                  <c:v>-8.7552995684431201E-3</c:v>
                </c:pt>
                <c:pt idx="568">
                  <c:v>-2.3185144972927008E-3</c:v>
                </c:pt>
                <c:pt idx="569">
                  <c:v>0</c:v>
                </c:pt>
                <c:pt idx="570">
                  <c:v>0</c:v>
                </c:pt>
                <c:pt idx="571">
                  <c:v>-2.0837256699429707E-3</c:v>
                </c:pt>
                <c:pt idx="572">
                  <c:v>-1.1322966589294436E-3</c:v>
                </c:pt>
                <c:pt idx="573">
                  <c:v>-2.4327924022969905E-3</c:v>
                </c:pt>
                <c:pt idx="574">
                  <c:v>-3.2133274489809516E-5</c:v>
                </c:pt>
                <c:pt idx="575">
                  <c:v>-1.1455309495869037E-2</c:v>
                </c:pt>
                <c:pt idx="576">
                  <c:v>-1.1001350853612868E-2</c:v>
                </c:pt>
                <c:pt idx="577">
                  <c:v>-9.1001406488860903E-3</c:v>
                </c:pt>
                <c:pt idx="578">
                  <c:v>-5.9412561722503865E-3</c:v>
                </c:pt>
                <c:pt idx="579">
                  <c:v>-5.8876079128000747E-4</c:v>
                </c:pt>
                <c:pt idx="580">
                  <c:v>0</c:v>
                </c:pt>
                <c:pt idx="581">
                  <c:v>0</c:v>
                </c:pt>
                <c:pt idx="582">
                  <c:v>-1.6141294749805191E-5</c:v>
                </c:pt>
                <c:pt idx="583">
                  <c:v>0</c:v>
                </c:pt>
                <c:pt idx="584">
                  <c:v>0</c:v>
                </c:pt>
                <c:pt idx="585">
                  <c:v>0</c:v>
                </c:pt>
                <c:pt idx="586">
                  <c:v>0</c:v>
                </c:pt>
                <c:pt idx="587">
                  <c:v>-8.2657234018737036E-3</c:v>
                </c:pt>
                <c:pt idx="588">
                  <c:v>0</c:v>
                </c:pt>
                <c:pt idx="589">
                  <c:v>-4.1307157342229672E-3</c:v>
                </c:pt>
                <c:pt idx="590">
                  <c:v>-1.253195425538256E-2</c:v>
                </c:pt>
                <c:pt idx="591">
                  <c:v>-1.0876930783429328E-2</c:v>
                </c:pt>
                <c:pt idx="592">
                  <c:v>-1.4053486959684558E-2</c:v>
                </c:pt>
                <c:pt idx="593">
                  <c:v>-1.7578649568559701E-2</c:v>
                </c:pt>
                <c:pt idx="594">
                  <c:v>-1.6724739109420295E-2</c:v>
                </c:pt>
                <c:pt idx="595">
                  <c:v>-1.2990952691230184E-2</c:v>
                </c:pt>
                <c:pt idx="596">
                  <c:v>-1.5448574142895688E-2</c:v>
                </c:pt>
                <c:pt idx="597">
                  <c:v>-1.6755530839426935E-2</c:v>
                </c:pt>
                <c:pt idx="598">
                  <c:v>-2.1309650725644835E-2</c:v>
                </c:pt>
                <c:pt idx="599">
                  <c:v>-1.7232074170324019E-2</c:v>
                </c:pt>
                <c:pt idx="600">
                  <c:v>-1.2024617909734747E-2</c:v>
                </c:pt>
                <c:pt idx="601">
                  <c:v>-1.4055764252077108E-2</c:v>
                </c:pt>
                <c:pt idx="602">
                  <c:v>-9.2259519335321505E-3</c:v>
                </c:pt>
                <c:pt idx="603">
                  <c:v>-1.3308290340893647E-2</c:v>
                </c:pt>
                <c:pt idx="604">
                  <c:v>-1.3458915598126509E-2</c:v>
                </c:pt>
                <c:pt idx="605">
                  <c:v>-1.5643633018919356E-2</c:v>
                </c:pt>
                <c:pt idx="606">
                  <c:v>-3.0857982029049991E-2</c:v>
                </c:pt>
                <c:pt idx="607">
                  <c:v>-3.5324014871355836E-2</c:v>
                </c:pt>
                <c:pt idx="608">
                  <c:v>-3.0558064672854157E-2</c:v>
                </c:pt>
                <c:pt idx="609">
                  <c:v>-3.0304604235917298E-2</c:v>
                </c:pt>
                <c:pt idx="610">
                  <c:v>-3.3720890673662129E-2</c:v>
                </c:pt>
                <c:pt idx="611">
                  <c:v>-3.8278182354319013E-2</c:v>
                </c:pt>
                <c:pt idx="612">
                  <c:v>-3.9529668507408466E-2</c:v>
                </c:pt>
                <c:pt idx="613">
                  <c:v>-3.2474051276710436E-2</c:v>
                </c:pt>
                <c:pt idx="614">
                  <c:v>-3.623583561482191E-2</c:v>
                </c:pt>
                <c:pt idx="615">
                  <c:v>-4.6734097539132935E-2</c:v>
                </c:pt>
                <c:pt idx="616">
                  <c:v>-4.8810043906071687E-2</c:v>
                </c:pt>
                <c:pt idx="617">
                  <c:v>-5.7779991171251099E-2</c:v>
                </c:pt>
                <c:pt idx="618">
                  <c:v>-4.9652529776273879E-2</c:v>
                </c:pt>
                <c:pt idx="619">
                  <c:v>-4.8584031681284001E-2</c:v>
                </c:pt>
                <c:pt idx="620">
                  <c:v>-3.8833911017361999E-2</c:v>
                </c:pt>
                <c:pt idx="621">
                  <c:v>-4.5912956689985074E-2</c:v>
                </c:pt>
                <c:pt idx="622">
                  <c:v>-5.2695224358178971E-2</c:v>
                </c:pt>
                <c:pt idx="623">
                  <c:v>-4.7779719409541954E-2</c:v>
                </c:pt>
                <c:pt idx="624">
                  <c:v>-3.1636559105924889E-2</c:v>
                </c:pt>
                <c:pt idx="625">
                  <c:v>-3.1936797809939299E-2</c:v>
                </c:pt>
                <c:pt idx="626">
                  <c:v>-3.0806897687517099E-2</c:v>
                </c:pt>
                <c:pt idx="627">
                  <c:v>-2.7816002198214118E-2</c:v>
                </c:pt>
                <c:pt idx="628">
                  <c:v>-3.6363804492043128E-2</c:v>
                </c:pt>
                <c:pt idx="629">
                  <c:v>-1.6091056456371433E-2</c:v>
                </c:pt>
                <c:pt idx="630">
                  <c:v>-6.9166530272827265E-3</c:v>
                </c:pt>
                <c:pt idx="631">
                  <c:v>-1.3573502230178058E-2</c:v>
                </c:pt>
                <c:pt idx="632">
                  <c:v>-1.2771199400284705E-2</c:v>
                </c:pt>
                <c:pt idx="633">
                  <c:v>-9.8334324175024523E-3</c:v>
                </c:pt>
                <c:pt idx="634">
                  <c:v>-1.2062528817626483E-2</c:v>
                </c:pt>
                <c:pt idx="635">
                  <c:v>-1.1035547009291435E-2</c:v>
                </c:pt>
                <c:pt idx="636">
                  <c:v>-6.8912586770922823E-3</c:v>
                </c:pt>
                <c:pt idx="637">
                  <c:v>-5.7780037342619606E-3</c:v>
                </c:pt>
                <c:pt idx="638">
                  <c:v>-1.2684322733321984E-2</c:v>
                </c:pt>
                <c:pt idx="639">
                  <c:v>-7.6746294240914725E-3</c:v>
                </c:pt>
                <c:pt idx="640">
                  <c:v>-1.0579273579603976E-3</c:v>
                </c:pt>
                <c:pt idx="641">
                  <c:v>-5.4907849613168302E-3</c:v>
                </c:pt>
                <c:pt idx="642">
                  <c:v>-1.1507204961138107E-2</c:v>
                </c:pt>
                <c:pt idx="643">
                  <c:v>-2.0749385255136588E-3</c:v>
                </c:pt>
                <c:pt idx="644">
                  <c:v>-1.3810749179264947E-3</c:v>
                </c:pt>
                <c:pt idx="645">
                  <c:v>0</c:v>
                </c:pt>
                <c:pt idx="646">
                  <c:v>-7.2558514074305691E-4</c:v>
                </c:pt>
                <c:pt idx="647">
                  <c:v>-8.9848657260743758E-3</c:v>
                </c:pt>
                <c:pt idx="648">
                  <c:v>-3.3167891043627273E-3</c:v>
                </c:pt>
                <c:pt idx="649">
                  <c:v>-2.1682509620346568E-4</c:v>
                </c:pt>
                <c:pt idx="650">
                  <c:v>-1.0740046570047901E-2</c:v>
                </c:pt>
                <c:pt idx="651">
                  <c:v>-1.5028466839290933E-2</c:v>
                </c:pt>
                <c:pt idx="652">
                  <c:v>-1.8864638753960494E-2</c:v>
                </c:pt>
                <c:pt idx="653">
                  <c:v>-7.7048647510834511E-3</c:v>
                </c:pt>
                <c:pt idx="654">
                  <c:v>-1.372887691678093E-3</c:v>
                </c:pt>
                <c:pt idx="655">
                  <c:v>0</c:v>
                </c:pt>
                <c:pt idx="656">
                  <c:v>-3.0266508336711517E-3</c:v>
                </c:pt>
                <c:pt idx="657">
                  <c:v>0</c:v>
                </c:pt>
                <c:pt idx="658">
                  <c:v>-2.3779031699368014E-3</c:v>
                </c:pt>
                <c:pt idx="659">
                  <c:v>-1.2814899203965613E-3</c:v>
                </c:pt>
                <c:pt idx="660">
                  <c:v>-7.9303572458737648E-3</c:v>
                </c:pt>
                <c:pt idx="661">
                  <c:v>-3.4371434921105504E-3</c:v>
                </c:pt>
                <c:pt idx="662">
                  <c:v>-1.3493398071305673E-2</c:v>
                </c:pt>
                <c:pt idx="663">
                  <c:v>-1.5044805430483366E-2</c:v>
                </c:pt>
                <c:pt idx="664">
                  <c:v>-1.6260545751292099E-2</c:v>
                </c:pt>
                <c:pt idx="665">
                  <c:v>-2.3686576064756437E-2</c:v>
                </c:pt>
                <c:pt idx="666">
                  <c:v>-3.024209725711402E-2</c:v>
                </c:pt>
                <c:pt idx="667">
                  <c:v>-3.2135203318955141E-2</c:v>
                </c:pt>
                <c:pt idx="668">
                  <c:v>-3.0447804534415313E-2</c:v>
                </c:pt>
                <c:pt idx="669">
                  <c:v>-1.8802335305652673E-2</c:v>
                </c:pt>
                <c:pt idx="670">
                  <c:v>-1.2293257217701914E-2</c:v>
                </c:pt>
                <c:pt idx="671">
                  <c:v>-1.4108909454489171E-2</c:v>
                </c:pt>
                <c:pt idx="672">
                  <c:v>-1.0582848764857267E-2</c:v>
                </c:pt>
                <c:pt idx="673">
                  <c:v>-8.0885507564998349E-3</c:v>
                </c:pt>
                <c:pt idx="674">
                  <c:v>-7.4638638053394768E-3</c:v>
                </c:pt>
                <c:pt idx="675">
                  <c:v>-2.6626775871496644E-4</c:v>
                </c:pt>
                <c:pt idx="676">
                  <c:v>-6.7098011195456664E-3</c:v>
                </c:pt>
                <c:pt idx="677">
                  <c:v>0</c:v>
                </c:pt>
                <c:pt idx="678">
                  <c:v>-9.3981172845306604E-3</c:v>
                </c:pt>
                <c:pt idx="679">
                  <c:v>-2.1544894799436665E-2</c:v>
                </c:pt>
                <c:pt idx="680">
                  <c:v>-1.9359332236485893E-2</c:v>
                </c:pt>
                <c:pt idx="681">
                  <c:v>-4.1158086254942106E-3</c:v>
                </c:pt>
                <c:pt idx="682">
                  <c:v>-5.4105488196058982E-3</c:v>
                </c:pt>
                <c:pt idx="683">
                  <c:v>-1.2199295863811854E-2</c:v>
                </c:pt>
                <c:pt idx="684">
                  <c:v>0</c:v>
                </c:pt>
                <c:pt idx="685">
                  <c:v>0</c:v>
                </c:pt>
                <c:pt idx="686">
                  <c:v>-7.606989929774377E-3</c:v>
                </c:pt>
                <c:pt idx="687">
                  <c:v>-4.2914768519023427E-3</c:v>
                </c:pt>
                <c:pt idx="688">
                  <c:v>0</c:v>
                </c:pt>
                <c:pt idx="689">
                  <c:v>-4.2029191412951139E-3</c:v>
                </c:pt>
                <c:pt idx="690">
                  <c:v>0</c:v>
                </c:pt>
                <c:pt idx="691">
                  <c:v>-9.9342121874881339E-3</c:v>
                </c:pt>
                <c:pt idx="692">
                  <c:v>-1.2288715661615712E-2</c:v>
                </c:pt>
                <c:pt idx="693">
                  <c:v>-1.003344788527083E-2</c:v>
                </c:pt>
                <c:pt idx="694">
                  <c:v>-4.3808251747325944E-3</c:v>
                </c:pt>
                <c:pt idx="695">
                  <c:v>-6.5328787976515201E-3</c:v>
                </c:pt>
                <c:pt idx="696">
                  <c:v>-6.5271405439631947E-3</c:v>
                </c:pt>
                <c:pt idx="697">
                  <c:v>0</c:v>
                </c:pt>
                <c:pt idx="698">
                  <c:v>-6.2840991743635666E-3</c:v>
                </c:pt>
                <c:pt idx="699">
                  <c:v>-1.18708260224476E-2</c:v>
                </c:pt>
                <c:pt idx="700">
                  <c:v>-8.415182853816261E-3</c:v>
                </c:pt>
                <c:pt idx="701">
                  <c:v>-4.061382464381369E-3</c:v>
                </c:pt>
                <c:pt idx="702">
                  <c:v>-7.2397821736227552E-3</c:v>
                </c:pt>
                <c:pt idx="703">
                  <c:v>0</c:v>
                </c:pt>
                <c:pt idx="704">
                  <c:v>0</c:v>
                </c:pt>
                <c:pt idx="705">
                  <c:v>0</c:v>
                </c:pt>
                <c:pt idx="706">
                  <c:v>-7.7003467700825778E-3</c:v>
                </c:pt>
                <c:pt idx="707">
                  <c:v>-4.232026803820399E-3</c:v>
                </c:pt>
                <c:pt idx="708">
                  <c:v>0</c:v>
                </c:pt>
                <c:pt idx="709">
                  <c:v>0</c:v>
                </c:pt>
                <c:pt idx="710">
                  <c:v>0</c:v>
                </c:pt>
                <c:pt idx="711">
                  <c:v>0</c:v>
                </c:pt>
                <c:pt idx="712">
                  <c:v>0</c:v>
                </c:pt>
                <c:pt idx="713">
                  <c:v>0</c:v>
                </c:pt>
                <c:pt idx="714">
                  <c:v>0</c:v>
                </c:pt>
                <c:pt idx="715">
                  <c:v>-2.6633837080138889E-3</c:v>
                </c:pt>
                <c:pt idx="716">
                  <c:v>0</c:v>
                </c:pt>
                <c:pt idx="717">
                  <c:v>0</c:v>
                </c:pt>
                <c:pt idx="718">
                  <c:v>-2.1324645176429291E-3</c:v>
                </c:pt>
                <c:pt idx="719">
                  <c:v>-5.8721100827107131E-3</c:v>
                </c:pt>
                <c:pt idx="720">
                  <c:v>0</c:v>
                </c:pt>
                <c:pt idx="721">
                  <c:v>0</c:v>
                </c:pt>
                <c:pt idx="722">
                  <c:v>-2.4162841027137394E-2</c:v>
                </c:pt>
                <c:pt idx="723">
                  <c:v>-2.1697118389804371E-2</c:v>
                </c:pt>
                <c:pt idx="724">
                  <c:v>-9.7376535758960658E-3</c:v>
                </c:pt>
                <c:pt idx="725">
                  <c:v>-1.2194309155747263E-2</c:v>
                </c:pt>
                <c:pt idx="726">
                  <c:v>-1.8422991780877251E-2</c:v>
                </c:pt>
                <c:pt idx="727">
                  <c:v>-2.7652604587762197E-2</c:v>
                </c:pt>
                <c:pt idx="728">
                  <c:v>-1.7042506371269361E-2</c:v>
                </c:pt>
                <c:pt idx="729">
                  <c:v>-2.0906605890905983E-2</c:v>
                </c:pt>
                <c:pt idx="730">
                  <c:v>-1.6236438848353463E-2</c:v>
                </c:pt>
                <c:pt idx="731">
                  <c:v>-1.2027124675751399E-2</c:v>
                </c:pt>
                <c:pt idx="732">
                  <c:v>0</c:v>
                </c:pt>
                <c:pt idx="733">
                  <c:v>-1.1507434941345762E-2</c:v>
                </c:pt>
                <c:pt idx="734">
                  <c:v>-2.2517452806742666E-2</c:v>
                </c:pt>
                <c:pt idx="735">
                  <c:v>-2.5672243812597251E-2</c:v>
                </c:pt>
                <c:pt idx="736">
                  <c:v>-2.4581654722501844E-2</c:v>
                </c:pt>
                <c:pt idx="737">
                  <c:v>-1.7987311127961259E-2</c:v>
                </c:pt>
                <c:pt idx="738">
                  <c:v>-1.6951529039552993E-2</c:v>
                </c:pt>
                <c:pt idx="739">
                  <c:v>-1.8404035956029019E-2</c:v>
                </c:pt>
                <c:pt idx="740">
                  <c:v>-2.5920325688886914E-2</c:v>
                </c:pt>
                <c:pt idx="741">
                  <c:v>-2.045806930282279E-2</c:v>
                </c:pt>
                <c:pt idx="742">
                  <c:v>-2.0068780823013221E-2</c:v>
                </c:pt>
                <c:pt idx="743">
                  <c:v>-1.8480186956845168E-2</c:v>
                </c:pt>
                <c:pt idx="744">
                  <c:v>-2.214023802488807E-2</c:v>
                </c:pt>
                <c:pt idx="745">
                  <c:v>-2.5049359120434711E-2</c:v>
                </c:pt>
                <c:pt idx="746">
                  <c:v>-2.6864448799378993E-2</c:v>
                </c:pt>
                <c:pt idx="747">
                  <c:v>-2.0421631749376279E-2</c:v>
                </c:pt>
                <c:pt idx="748">
                  <c:v>-2.5943358023983176E-2</c:v>
                </c:pt>
                <c:pt idx="749">
                  <c:v>-3.5385476961540485E-2</c:v>
                </c:pt>
                <c:pt idx="750">
                  <c:v>-3.8939111379287961E-2</c:v>
                </c:pt>
                <c:pt idx="751">
                  <c:v>0</c:v>
                </c:pt>
              </c:numCache>
            </c:numRef>
          </c:val>
          <c:smooth val="0"/>
          <c:extLst>
            <c:ext xmlns:c16="http://schemas.microsoft.com/office/drawing/2014/chart" uri="{C3380CC4-5D6E-409C-BE32-E72D297353CC}">
              <c16:uniqueId val="{00000000-73B4-4692-B3FA-486F1581FEE0}"/>
            </c:ext>
          </c:extLst>
        </c:ser>
        <c:ser>
          <c:idx val="1"/>
          <c:order val="1"/>
          <c:tx>
            <c:v>S&amp;P500</c:v>
          </c:tx>
          <c:spPr>
            <a:ln w="9525" cap="rnd">
              <a:solidFill>
                <a:schemeClr val="accent2"/>
              </a:solidFill>
              <a:round/>
            </a:ln>
            <a:effectLst/>
          </c:spPr>
          <c:marker>
            <c:symbol val="none"/>
          </c:marker>
          <c:cat>
            <c:numRef>
              <c:f>'01_Data_Raw'!$A$3:$A$761</c:f>
              <c:numCache>
                <c:formatCode>m/d/yyyy</c:formatCode>
                <c:ptCount val="759"/>
                <c:pt idx="0">
                  <c:v>45201</c:v>
                </c:pt>
                <c:pt idx="1">
                  <c:v>45202</c:v>
                </c:pt>
                <c:pt idx="2">
                  <c:v>45203</c:v>
                </c:pt>
                <c:pt idx="3">
                  <c:v>45204</c:v>
                </c:pt>
                <c:pt idx="4">
                  <c:v>45205</c:v>
                </c:pt>
                <c:pt idx="5">
                  <c:v>45208</c:v>
                </c:pt>
                <c:pt idx="6">
                  <c:v>45209</c:v>
                </c:pt>
                <c:pt idx="7">
                  <c:v>45210</c:v>
                </c:pt>
                <c:pt idx="8">
                  <c:v>45211</c:v>
                </c:pt>
                <c:pt idx="9">
                  <c:v>45212</c:v>
                </c:pt>
                <c:pt idx="10">
                  <c:v>45215</c:v>
                </c:pt>
                <c:pt idx="11">
                  <c:v>45216</c:v>
                </c:pt>
                <c:pt idx="12">
                  <c:v>45217</c:v>
                </c:pt>
                <c:pt idx="13">
                  <c:v>45218</c:v>
                </c:pt>
                <c:pt idx="14">
                  <c:v>45219</c:v>
                </c:pt>
                <c:pt idx="15">
                  <c:v>45222</c:v>
                </c:pt>
                <c:pt idx="16">
                  <c:v>45223</c:v>
                </c:pt>
                <c:pt idx="17">
                  <c:v>45224</c:v>
                </c:pt>
                <c:pt idx="18">
                  <c:v>45225</c:v>
                </c:pt>
                <c:pt idx="19">
                  <c:v>45226</c:v>
                </c:pt>
                <c:pt idx="20">
                  <c:v>45229</c:v>
                </c:pt>
                <c:pt idx="21">
                  <c:v>45230</c:v>
                </c:pt>
                <c:pt idx="22">
                  <c:v>45231</c:v>
                </c:pt>
                <c:pt idx="23">
                  <c:v>45232</c:v>
                </c:pt>
                <c:pt idx="24">
                  <c:v>45233</c:v>
                </c:pt>
                <c:pt idx="25">
                  <c:v>45236</c:v>
                </c:pt>
                <c:pt idx="26">
                  <c:v>45237</c:v>
                </c:pt>
                <c:pt idx="27">
                  <c:v>45238</c:v>
                </c:pt>
                <c:pt idx="28">
                  <c:v>45239</c:v>
                </c:pt>
                <c:pt idx="29">
                  <c:v>45240</c:v>
                </c:pt>
                <c:pt idx="30">
                  <c:v>45243</c:v>
                </c:pt>
                <c:pt idx="31">
                  <c:v>45244</c:v>
                </c:pt>
                <c:pt idx="32">
                  <c:v>45245</c:v>
                </c:pt>
                <c:pt idx="33">
                  <c:v>45246</c:v>
                </c:pt>
                <c:pt idx="34">
                  <c:v>45247</c:v>
                </c:pt>
                <c:pt idx="35">
                  <c:v>45250</c:v>
                </c:pt>
                <c:pt idx="36">
                  <c:v>45251</c:v>
                </c:pt>
                <c:pt idx="37">
                  <c:v>45252</c:v>
                </c:pt>
                <c:pt idx="38">
                  <c:v>45254</c:v>
                </c:pt>
                <c:pt idx="39">
                  <c:v>45257</c:v>
                </c:pt>
                <c:pt idx="40">
                  <c:v>45258</c:v>
                </c:pt>
                <c:pt idx="41">
                  <c:v>45259</c:v>
                </c:pt>
                <c:pt idx="42">
                  <c:v>45260</c:v>
                </c:pt>
                <c:pt idx="43">
                  <c:v>45261</c:v>
                </c:pt>
                <c:pt idx="44">
                  <c:v>45264</c:v>
                </c:pt>
                <c:pt idx="45">
                  <c:v>45265</c:v>
                </c:pt>
                <c:pt idx="46">
                  <c:v>45266</c:v>
                </c:pt>
                <c:pt idx="47">
                  <c:v>45267</c:v>
                </c:pt>
                <c:pt idx="48">
                  <c:v>45268</c:v>
                </c:pt>
                <c:pt idx="49">
                  <c:v>45271</c:v>
                </c:pt>
                <c:pt idx="50">
                  <c:v>45272</c:v>
                </c:pt>
                <c:pt idx="51">
                  <c:v>45273</c:v>
                </c:pt>
                <c:pt idx="52">
                  <c:v>45274</c:v>
                </c:pt>
                <c:pt idx="53">
                  <c:v>45275</c:v>
                </c:pt>
                <c:pt idx="54">
                  <c:v>45278</c:v>
                </c:pt>
                <c:pt idx="55">
                  <c:v>45279</c:v>
                </c:pt>
                <c:pt idx="56">
                  <c:v>45280</c:v>
                </c:pt>
                <c:pt idx="57">
                  <c:v>45281</c:v>
                </c:pt>
                <c:pt idx="58">
                  <c:v>45282</c:v>
                </c:pt>
                <c:pt idx="59">
                  <c:v>45286</c:v>
                </c:pt>
                <c:pt idx="60">
                  <c:v>45287</c:v>
                </c:pt>
                <c:pt idx="61">
                  <c:v>45288</c:v>
                </c:pt>
                <c:pt idx="62">
                  <c:v>45289</c:v>
                </c:pt>
                <c:pt idx="63">
                  <c:v>45293</c:v>
                </c:pt>
                <c:pt idx="64">
                  <c:v>45294</c:v>
                </c:pt>
                <c:pt idx="65">
                  <c:v>45295</c:v>
                </c:pt>
                <c:pt idx="66">
                  <c:v>45296</c:v>
                </c:pt>
                <c:pt idx="67">
                  <c:v>45299</c:v>
                </c:pt>
                <c:pt idx="68">
                  <c:v>45300</c:v>
                </c:pt>
                <c:pt idx="69">
                  <c:v>45301</c:v>
                </c:pt>
                <c:pt idx="70">
                  <c:v>45302</c:v>
                </c:pt>
                <c:pt idx="71">
                  <c:v>45303</c:v>
                </c:pt>
                <c:pt idx="72">
                  <c:v>45307</c:v>
                </c:pt>
                <c:pt idx="73">
                  <c:v>45308</c:v>
                </c:pt>
                <c:pt idx="74">
                  <c:v>45309</c:v>
                </c:pt>
                <c:pt idx="75">
                  <c:v>45310</c:v>
                </c:pt>
                <c:pt idx="76">
                  <c:v>45313</c:v>
                </c:pt>
                <c:pt idx="77">
                  <c:v>45314</c:v>
                </c:pt>
                <c:pt idx="78">
                  <c:v>45315</c:v>
                </c:pt>
                <c:pt idx="79">
                  <c:v>45316</c:v>
                </c:pt>
                <c:pt idx="80">
                  <c:v>45317</c:v>
                </c:pt>
                <c:pt idx="81">
                  <c:v>45320</c:v>
                </c:pt>
                <c:pt idx="82">
                  <c:v>45321</c:v>
                </c:pt>
                <c:pt idx="83">
                  <c:v>45322</c:v>
                </c:pt>
                <c:pt idx="84">
                  <c:v>45323</c:v>
                </c:pt>
                <c:pt idx="85">
                  <c:v>45324</c:v>
                </c:pt>
                <c:pt idx="86">
                  <c:v>45327</c:v>
                </c:pt>
                <c:pt idx="87">
                  <c:v>45328</c:v>
                </c:pt>
                <c:pt idx="88">
                  <c:v>45329</c:v>
                </c:pt>
                <c:pt idx="89">
                  <c:v>45330</c:v>
                </c:pt>
                <c:pt idx="90">
                  <c:v>45331</c:v>
                </c:pt>
                <c:pt idx="91">
                  <c:v>45334</c:v>
                </c:pt>
                <c:pt idx="92">
                  <c:v>45335</c:v>
                </c:pt>
                <c:pt idx="93">
                  <c:v>45336</c:v>
                </c:pt>
                <c:pt idx="94">
                  <c:v>45337</c:v>
                </c:pt>
                <c:pt idx="95">
                  <c:v>45338</c:v>
                </c:pt>
                <c:pt idx="96">
                  <c:v>45342</c:v>
                </c:pt>
                <c:pt idx="97">
                  <c:v>45343</c:v>
                </c:pt>
                <c:pt idx="98">
                  <c:v>45344</c:v>
                </c:pt>
                <c:pt idx="99">
                  <c:v>45345</c:v>
                </c:pt>
                <c:pt idx="100">
                  <c:v>45348</c:v>
                </c:pt>
                <c:pt idx="101">
                  <c:v>45349</c:v>
                </c:pt>
                <c:pt idx="102">
                  <c:v>45350</c:v>
                </c:pt>
                <c:pt idx="103">
                  <c:v>45351</c:v>
                </c:pt>
                <c:pt idx="104">
                  <c:v>45352</c:v>
                </c:pt>
                <c:pt idx="105">
                  <c:v>45355</c:v>
                </c:pt>
                <c:pt idx="106">
                  <c:v>45356</c:v>
                </c:pt>
                <c:pt idx="107">
                  <c:v>45357</c:v>
                </c:pt>
                <c:pt idx="108">
                  <c:v>45358</c:v>
                </c:pt>
                <c:pt idx="109">
                  <c:v>45359</c:v>
                </c:pt>
                <c:pt idx="110">
                  <c:v>45362</c:v>
                </c:pt>
                <c:pt idx="111">
                  <c:v>45363</c:v>
                </c:pt>
                <c:pt idx="112">
                  <c:v>45364</c:v>
                </c:pt>
                <c:pt idx="113">
                  <c:v>45365</c:v>
                </c:pt>
                <c:pt idx="114">
                  <c:v>45366</c:v>
                </c:pt>
                <c:pt idx="115">
                  <c:v>45369</c:v>
                </c:pt>
                <c:pt idx="116">
                  <c:v>45370</c:v>
                </c:pt>
                <c:pt idx="117">
                  <c:v>45371</c:v>
                </c:pt>
                <c:pt idx="118">
                  <c:v>45372</c:v>
                </c:pt>
                <c:pt idx="119">
                  <c:v>45373</c:v>
                </c:pt>
                <c:pt idx="120">
                  <c:v>45376</c:v>
                </c:pt>
                <c:pt idx="121">
                  <c:v>45377</c:v>
                </c:pt>
                <c:pt idx="122">
                  <c:v>45378</c:v>
                </c:pt>
                <c:pt idx="123">
                  <c:v>45379</c:v>
                </c:pt>
                <c:pt idx="124">
                  <c:v>45383</c:v>
                </c:pt>
                <c:pt idx="125">
                  <c:v>45384</c:v>
                </c:pt>
                <c:pt idx="126">
                  <c:v>45385</c:v>
                </c:pt>
                <c:pt idx="127">
                  <c:v>45386</c:v>
                </c:pt>
                <c:pt idx="128">
                  <c:v>45387</c:v>
                </c:pt>
                <c:pt idx="129">
                  <c:v>45390</c:v>
                </c:pt>
                <c:pt idx="130">
                  <c:v>45391</c:v>
                </c:pt>
                <c:pt idx="131">
                  <c:v>45392</c:v>
                </c:pt>
                <c:pt idx="132">
                  <c:v>45393</c:v>
                </c:pt>
                <c:pt idx="133">
                  <c:v>45394</c:v>
                </c:pt>
                <c:pt idx="134">
                  <c:v>45397</c:v>
                </c:pt>
                <c:pt idx="135">
                  <c:v>45398</c:v>
                </c:pt>
                <c:pt idx="136">
                  <c:v>45399</c:v>
                </c:pt>
                <c:pt idx="137">
                  <c:v>45400</c:v>
                </c:pt>
                <c:pt idx="138">
                  <c:v>45401</c:v>
                </c:pt>
                <c:pt idx="139">
                  <c:v>45404</c:v>
                </c:pt>
                <c:pt idx="140">
                  <c:v>45405</c:v>
                </c:pt>
                <c:pt idx="141">
                  <c:v>45406</c:v>
                </c:pt>
                <c:pt idx="142">
                  <c:v>45407</c:v>
                </c:pt>
                <c:pt idx="143">
                  <c:v>45408</c:v>
                </c:pt>
                <c:pt idx="144">
                  <c:v>45411</c:v>
                </c:pt>
                <c:pt idx="145">
                  <c:v>45412</c:v>
                </c:pt>
                <c:pt idx="146">
                  <c:v>45413</c:v>
                </c:pt>
                <c:pt idx="147">
                  <c:v>45414</c:v>
                </c:pt>
                <c:pt idx="148">
                  <c:v>45415</c:v>
                </c:pt>
                <c:pt idx="149">
                  <c:v>45418</c:v>
                </c:pt>
                <c:pt idx="150">
                  <c:v>45419</c:v>
                </c:pt>
                <c:pt idx="151">
                  <c:v>45420</c:v>
                </c:pt>
                <c:pt idx="152">
                  <c:v>45421</c:v>
                </c:pt>
                <c:pt idx="153">
                  <c:v>45422</c:v>
                </c:pt>
                <c:pt idx="154">
                  <c:v>45425</c:v>
                </c:pt>
                <c:pt idx="155">
                  <c:v>45426</c:v>
                </c:pt>
                <c:pt idx="156">
                  <c:v>45427</c:v>
                </c:pt>
                <c:pt idx="157">
                  <c:v>45428</c:v>
                </c:pt>
                <c:pt idx="158">
                  <c:v>45429</c:v>
                </c:pt>
                <c:pt idx="159">
                  <c:v>45432</c:v>
                </c:pt>
                <c:pt idx="160">
                  <c:v>45433</c:v>
                </c:pt>
                <c:pt idx="161">
                  <c:v>45434</c:v>
                </c:pt>
                <c:pt idx="162">
                  <c:v>45435</c:v>
                </c:pt>
                <c:pt idx="163">
                  <c:v>45436</c:v>
                </c:pt>
                <c:pt idx="164">
                  <c:v>45440</c:v>
                </c:pt>
                <c:pt idx="165">
                  <c:v>45441</c:v>
                </c:pt>
                <c:pt idx="166">
                  <c:v>45442</c:v>
                </c:pt>
                <c:pt idx="167">
                  <c:v>45443</c:v>
                </c:pt>
                <c:pt idx="168">
                  <c:v>45446</c:v>
                </c:pt>
                <c:pt idx="169">
                  <c:v>45447</c:v>
                </c:pt>
                <c:pt idx="170">
                  <c:v>45448</c:v>
                </c:pt>
                <c:pt idx="171">
                  <c:v>45449</c:v>
                </c:pt>
                <c:pt idx="172">
                  <c:v>45450</c:v>
                </c:pt>
                <c:pt idx="173">
                  <c:v>45453</c:v>
                </c:pt>
                <c:pt idx="174">
                  <c:v>45454</c:v>
                </c:pt>
                <c:pt idx="175">
                  <c:v>45455</c:v>
                </c:pt>
                <c:pt idx="176">
                  <c:v>45456</c:v>
                </c:pt>
                <c:pt idx="177">
                  <c:v>45457</c:v>
                </c:pt>
                <c:pt idx="178">
                  <c:v>45460</c:v>
                </c:pt>
                <c:pt idx="179">
                  <c:v>45461</c:v>
                </c:pt>
                <c:pt idx="180">
                  <c:v>45463</c:v>
                </c:pt>
                <c:pt idx="181">
                  <c:v>45464</c:v>
                </c:pt>
                <c:pt idx="182">
                  <c:v>45467</c:v>
                </c:pt>
                <c:pt idx="183">
                  <c:v>45468</c:v>
                </c:pt>
                <c:pt idx="184">
                  <c:v>45469</c:v>
                </c:pt>
                <c:pt idx="185">
                  <c:v>45470</c:v>
                </c:pt>
                <c:pt idx="186">
                  <c:v>45471</c:v>
                </c:pt>
                <c:pt idx="187">
                  <c:v>45474</c:v>
                </c:pt>
                <c:pt idx="188">
                  <c:v>45475</c:v>
                </c:pt>
                <c:pt idx="189">
                  <c:v>45476</c:v>
                </c:pt>
                <c:pt idx="190">
                  <c:v>45478</c:v>
                </c:pt>
                <c:pt idx="191">
                  <c:v>45481</c:v>
                </c:pt>
                <c:pt idx="192">
                  <c:v>45482</c:v>
                </c:pt>
                <c:pt idx="193">
                  <c:v>45483</c:v>
                </c:pt>
                <c:pt idx="194">
                  <c:v>45484</c:v>
                </c:pt>
                <c:pt idx="195">
                  <c:v>45485</c:v>
                </c:pt>
                <c:pt idx="196">
                  <c:v>45488</c:v>
                </c:pt>
                <c:pt idx="197">
                  <c:v>45489</c:v>
                </c:pt>
                <c:pt idx="198">
                  <c:v>45490</c:v>
                </c:pt>
                <c:pt idx="199">
                  <c:v>45491</c:v>
                </c:pt>
                <c:pt idx="200">
                  <c:v>45492</c:v>
                </c:pt>
                <c:pt idx="201">
                  <c:v>45495</c:v>
                </c:pt>
                <c:pt idx="202">
                  <c:v>45496</c:v>
                </c:pt>
                <c:pt idx="203">
                  <c:v>45497</c:v>
                </c:pt>
                <c:pt idx="204">
                  <c:v>45498</c:v>
                </c:pt>
                <c:pt idx="205">
                  <c:v>45499</c:v>
                </c:pt>
                <c:pt idx="206">
                  <c:v>45502</c:v>
                </c:pt>
                <c:pt idx="207">
                  <c:v>45503</c:v>
                </c:pt>
                <c:pt idx="208">
                  <c:v>45504</c:v>
                </c:pt>
                <c:pt idx="209">
                  <c:v>45505</c:v>
                </c:pt>
                <c:pt idx="210">
                  <c:v>45506</c:v>
                </c:pt>
                <c:pt idx="211">
                  <c:v>45509</c:v>
                </c:pt>
                <c:pt idx="212">
                  <c:v>45510</c:v>
                </c:pt>
                <c:pt idx="213">
                  <c:v>45511</c:v>
                </c:pt>
                <c:pt idx="214">
                  <c:v>45512</c:v>
                </c:pt>
                <c:pt idx="215">
                  <c:v>45513</c:v>
                </c:pt>
                <c:pt idx="216">
                  <c:v>45516</c:v>
                </c:pt>
                <c:pt idx="217">
                  <c:v>45517</c:v>
                </c:pt>
                <c:pt idx="218">
                  <c:v>45518</c:v>
                </c:pt>
                <c:pt idx="219">
                  <c:v>45519</c:v>
                </c:pt>
                <c:pt idx="220">
                  <c:v>45520</c:v>
                </c:pt>
                <c:pt idx="221">
                  <c:v>45523</c:v>
                </c:pt>
                <c:pt idx="222">
                  <c:v>45524</c:v>
                </c:pt>
                <c:pt idx="223">
                  <c:v>45525</c:v>
                </c:pt>
                <c:pt idx="224">
                  <c:v>45526</c:v>
                </c:pt>
                <c:pt idx="225">
                  <c:v>45527</c:v>
                </c:pt>
                <c:pt idx="226">
                  <c:v>45530</c:v>
                </c:pt>
                <c:pt idx="227">
                  <c:v>45531</c:v>
                </c:pt>
                <c:pt idx="228">
                  <c:v>45532</c:v>
                </c:pt>
                <c:pt idx="229">
                  <c:v>45533</c:v>
                </c:pt>
                <c:pt idx="230">
                  <c:v>45534</c:v>
                </c:pt>
                <c:pt idx="231">
                  <c:v>45538</c:v>
                </c:pt>
                <c:pt idx="232">
                  <c:v>45539</c:v>
                </c:pt>
                <c:pt idx="233">
                  <c:v>45540</c:v>
                </c:pt>
                <c:pt idx="234">
                  <c:v>45541</c:v>
                </c:pt>
                <c:pt idx="235">
                  <c:v>45544</c:v>
                </c:pt>
                <c:pt idx="236">
                  <c:v>45545</c:v>
                </c:pt>
                <c:pt idx="237">
                  <c:v>45546</c:v>
                </c:pt>
                <c:pt idx="238">
                  <c:v>45547</c:v>
                </c:pt>
                <c:pt idx="239">
                  <c:v>45548</c:v>
                </c:pt>
                <c:pt idx="240">
                  <c:v>45551</c:v>
                </c:pt>
                <c:pt idx="241">
                  <c:v>45552</c:v>
                </c:pt>
                <c:pt idx="242">
                  <c:v>45553</c:v>
                </c:pt>
                <c:pt idx="243">
                  <c:v>45554</c:v>
                </c:pt>
                <c:pt idx="244">
                  <c:v>45555</c:v>
                </c:pt>
                <c:pt idx="245">
                  <c:v>45558</c:v>
                </c:pt>
                <c:pt idx="246">
                  <c:v>45559</c:v>
                </c:pt>
                <c:pt idx="247">
                  <c:v>45560</c:v>
                </c:pt>
                <c:pt idx="248">
                  <c:v>45561</c:v>
                </c:pt>
                <c:pt idx="249">
                  <c:v>45562</c:v>
                </c:pt>
                <c:pt idx="250">
                  <c:v>45565</c:v>
                </c:pt>
                <c:pt idx="251">
                  <c:v>45566</c:v>
                </c:pt>
                <c:pt idx="252">
                  <c:v>45567</c:v>
                </c:pt>
                <c:pt idx="253">
                  <c:v>45568</c:v>
                </c:pt>
                <c:pt idx="254">
                  <c:v>45569</c:v>
                </c:pt>
                <c:pt idx="255">
                  <c:v>45572</c:v>
                </c:pt>
                <c:pt idx="256">
                  <c:v>45573</c:v>
                </c:pt>
                <c:pt idx="257">
                  <c:v>45574</c:v>
                </c:pt>
                <c:pt idx="258">
                  <c:v>45575</c:v>
                </c:pt>
                <c:pt idx="259">
                  <c:v>45576</c:v>
                </c:pt>
                <c:pt idx="260">
                  <c:v>45579</c:v>
                </c:pt>
                <c:pt idx="261">
                  <c:v>45580</c:v>
                </c:pt>
                <c:pt idx="262">
                  <c:v>45581</c:v>
                </c:pt>
                <c:pt idx="263">
                  <c:v>45582</c:v>
                </c:pt>
                <c:pt idx="264">
                  <c:v>45583</c:v>
                </c:pt>
                <c:pt idx="265">
                  <c:v>45586</c:v>
                </c:pt>
                <c:pt idx="266">
                  <c:v>45587</c:v>
                </c:pt>
                <c:pt idx="267">
                  <c:v>45588</c:v>
                </c:pt>
                <c:pt idx="268">
                  <c:v>45589</c:v>
                </c:pt>
                <c:pt idx="269">
                  <c:v>45590</c:v>
                </c:pt>
                <c:pt idx="270">
                  <c:v>45593</c:v>
                </c:pt>
                <c:pt idx="271">
                  <c:v>45594</c:v>
                </c:pt>
                <c:pt idx="272">
                  <c:v>45595</c:v>
                </c:pt>
                <c:pt idx="273">
                  <c:v>45596</c:v>
                </c:pt>
                <c:pt idx="274">
                  <c:v>45597</c:v>
                </c:pt>
                <c:pt idx="275">
                  <c:v>45600</c:v>
                </c:pt>
                <c:pt idx="276">
                  <c:v>45601</c:v>
                </c:pt>
                <c:pt idx="277">
                  <c:v>45602</c:v>
                </c:pt>
                <c:pt idx="278">
                  <c:v>45603</c:v>
                </c:pt>
                <c:pt idx="279">
                  <c:v>45604</c:v>
                </c:pt>
                <c:pt idx="280">
                  <c:v>45607</c:v>
                </c:pt>
                <c:pt idx="281">
                  <c:v>45608</c:v>
                </c:pt>
                <c:pt idx="282">
                  <c:v>45609</c:v>
                </c:pt>
                <c:pt idx="283">
                  <c:v>45610</c:v>
                </c:pt>
                <c:pt idx="284">
                  <c:v>45611</c:v>
                </c:pt>
                <c:pt idx="285">
                  <c:v>45614</c:v>
                </c:pt>
                <c:pt idx="286">
                  <c:v>45615</c:v>
                </c:pt>
                <c:pt idx="287">
                  <c:v>45616</c:v>
                </c:pt>
                <c:pt idx="288">
                  <c:v>45617</c:v>
                </c:pt>
                <c:pt idx="289">
                  <c:v>45618</c:v>
                </c:pt>
                <c:pt idx="290">
                  <c:v>45621</c:v>
                </c:pt>
                <c:pt idx="291">
                  <c:v>45622</c:v>
                </c:pt>
                <c:pt idx="292">
                  <c:v>45623</c:v>
                </c:pt>
                <c:pt idx="293">
                  <c:v>45625</c:v>
                </c:pt>
                <c:pt idx="294">
                  <c:v>45628</c:v>
                </c:pt>
                <c:pt idx="295">
                  <c:v>45629</c:v>
                </c:pt>
                <c:pt idx="296">
                  <c:v>45630</c:v>
                </c:pt>
                <c:pt idx="297">
                  <c:v>45631</c:v>
                </c:pt>
                <c:pt idx="298">
                  <c:v>45632</c:v>
                </c:pt>
                <c:pt idx="299">
                  <c:v>45635</c:v>
                </c:pt>
                <c:pt idx="300">
                  <c:v>45636</c:v>
                </c:pt>
                <c:pt idx="301">
                  <c:v>45637</c:v>
                </c:pt>
                <c:pt idx="302">
                  <c:v>45638</c:v>
                </c:pt>
                <c:pt idx="303">
                  <c:v>45639</c:v>
                </c:pt>
                <c:pt idx="304">
                  <c:v>45642</c:v>
                </c:pt>
                <c:pt idx="305">
                  <c:v>45643</c:v>
                </c:pt>
                <c:pt idx="306">
                  <c:v>45644</c:v>
                </c:pt>
                <c:pt idx="307">
                  <c:v>45645</c:v>
                </c:pt>
                <c:pt idx="308">
                  <c:v>45646</c:v>
                </c:pt>
                <c:pt idx="309">
                  <c:v>45649</c:v>
                </c:pt>
                <c:pt idx="310">
                  <c:v>45650</c:v>
                </c:pt>
                <c:pt idx="311">
                  <c:v>45652</c:v>
                </c:pt>
                <c:pt idx="312">
                  <c:v>45653</c:v>
                </c:pt>
                <c:pt idx="313">
                  <c:v>45656</c:v>
                </c:pt>
                <c:pt idx="314">
                  <c:v>45657</c:v>
                </c:pt>
                <c:pt idx="315">
                  <c:v>45659</c:v>
                </c:pt>
                <c:pt idx="316">
                  <c:v>45660</c:v>
                </c:pt>
                <c:pt idx="317">
                  <c:v>45663</c:v>
                </c:pt>
                <c:pt idx="318">
                  <c:v>45664</c:v>
                </c:pt>
                <c:pt idx="319">
                  <c:v>45665</c:v>
                </c:pt>
                <c:pt idx="320">
                  <c:v>45667</c:v>
                </c:pt>
                <c:pt idx="321">
                  <c:v>45670</c:v>
                </c:pt>
                <c:pt idx="322">
                  <c:v>45671</c:v>
                </c:pt>
                <c:pt idx="323">
                  <c:v>45672</c:v>
                </c:pt>
                <c:pt idx="324">
                  <c:v>45673</c:v>
                </c:pt>
                <c:pt idx="325">
                  <c:v>45674</c:v>
                </c:pt>
                <c:pt idx="326">
                  <c:v>45678</c:v>
                </c:pt>
                <c:pt idx="327">
                  <c:v>45679</c:v>
                </c:pt>
                <c:pt idx="328">
                  <c:v>45680</c:v>
                </c:pt>
                <c:pt idx="329">
                  <c:v>45681</c:v>
                </c:pt>
                <c:pt idx="330">
                  <c:v>45684</c:v>
                </c:pt>
                <c:pt idx="331">
                  <c:v>45685</c:v>
                </c:pt>
                <c:pt idx="332">
                  <c:v>45686</c:v>
                </c:pt>
                <c:pt idx="333">
                  <c:v>45687</c:v>
                </c:pt>
                <c:pt idx="334">
                  <c:v>45688</c:v>
                </c:pt>
                <c:pt idx="335">
                  <c:v>45691</c:v>
                </c:pt>
                <c:pt idx="336">
                  <c:v>45692</c:v>
                </c:pt>
                <c:pt idx="337">
                  <c:v>45693</c:v>
                </c:pt>
                <c:pt idx="338">
                  <c:v>45694</c:v>
                </c:pt>
                <c:pt idx="339">
                  <c:v>45695</c:v>
                </c:pt>
                <c:pt idx="340">
                  <c:v>45698</c:v>
                </c:pt>
                <c:pt idx="341">
                  <c:v>45699</c:v>
                </c:pt>
                <c:pt idx="342">
                  <c:v>45700</c:v>
                </c:pt>
                <c:pt idx="343">
                  <c:v>45701</c:v>
                </c:pt>
                <c:pt idx="344">
                  <c:v>45702</c:v>
                </c:pt>
                <c:pt idx="345">
                  <c:v>45706</c:v>
                </c:pt>
                <c:pt idx="346">
                  <c:v>45707</c:v>
                </c:pt>
                <c:pt idx="347">
                  <c:v>45708</c:v>
                </c:pt>
                <c:pt idx="348">
                  <c:v>45709</c:v>
                </c:pt>
                <c:pt idx="349">
                  <c:v>45712</c:v>
                </c:pt>
                <c:pt idx="350">
                  <c:v>45713</c:v>
                </c:pt>
                <c:pt idx="351">
                  <c:v>45714</c:v>
                </c:pt>
                <c:pt idx="352">
                  <c:v>45715</c:v>
                </c:pt>
                <c:pt idx="353">
                  <c:v>45716</c:v>
                </c:pt>
                <c:pt idx="354">
                  <c:v>45719</c:v>
                </c:pt>
                <c:pt idx="355">
                  <c:v>45720</c:v>
                </c:pt>
                <c:pt idx="356">
                  <c:v>45721</c:v>
                </c:pt>
                <c:pt idx="357">
                  <c:v>45722</c:v>
                </c:pt>
                <c:pt idx="358">
                  <c:v>45723</c:v>
                </c:pt>
                <c:pt idx="359">
                  <c:v>45726</c:v>
                </c:pt>
                <c:pt idx="360">
                  <c:v>45727</c:v>
                </c:pt>
                <c:pt idx="361">
                  <c:v>45728</c:v>
                </c:pt>
                <c:pt idx="362">
                  <c:v>45729</c:v>
                </c:pt>
                <c:pt idx="363">
                  <c:v>45730</c:v>
                </c:pt>
                <c:pt idx="364">
                  <c:v>45733</c:v>
                </c:pt>
                <c:pt idx="365">
                  <c:v>45734</c:v>
                </c:pt>
                <c:pt idx="366">
                  <c:v>45735</c:v>
                </c:pt>
                <c:pt idx="367">
                  <c:v>45736</c:v>
                </c:pt>
                <c:pt idx="368">
                  <c:v>45737</c:v>
                </c:pt>
                <c:pt idx="369">
                  <c:v>45740</c:v>
                </c:pt>
                <c:pt idx="370">
                  <c:v>45741</c:v>
                </c:pt>
                <c:pt idx="371">
                  <c:v>45742</c:v>
                </c:pt>
                <c:pt idx="372">
                  <c:v>45743</c:v>
                </c:pt>
                <c:pt idx="373">
                  <c:v>45744</c:v>
                </c:pt>
                <c:pt idx="374">
                  <c:v>45747</c:v>
                </c:pt>
                <c:pt idx="375">
                  <c:v>45748</c:v>
                </c:pt>
                <c:pt idx="376">
                  <c:v>45749</c:v>
                </c:pt>
                <c:pt idx="377">
                  <c:v>45750</c:v>
                </c:pt>
                <c:pt idx="378">
                  <c:v>45751</c:v>
                </c:pt>
                <c:pt idx="379">
                  <c:v>45754</c:v>
                </c:pt>
                <c:pt idx="380">
                  <c:v>45755</c:v>
                </c:pt>
                <c:pt idx="381">
                  <c:v>45756</c:v>
                </c:pt>
                <c:pt idx="382">
                  <c:v>45757</c:v>
                </c:pt>
                <c:pt idx="383">
                  <c:v>45758</c:v>
                </c:pt>
                <c:pt idx="384">
                  <c:v>45761</c:v>
                </c:pt>
                <c:pt idx="385">
                  <c:v>45762</c:v>
                </c:pt>
                <c:pt idx="386">
                  <c:v>45763</c:v>
                </c:pt>
                <c:pt idx="387">
                  <c:v>45764</c:v>
                </c:pt>
                <c:pt idx="388">
                  <c:v>45768</c:v>
                </c:pt>
                <c:pt idx="389">
                  <c:v>45769</c:v>
                </c:pt>
                <c:pt idx="390">
                  <c:v>45770</c:v>
                </c:pt>
                <c:pt idx="391">
                  <c:v>45771</c:v>
                </c:pt>
                <c:pt idx="392">
                  <c:v>45772</c:v>
                </c:pt>
                <c:pt idx="393">
                  <c:v>45775</c:v>
                </c:pt>
                <c:pt idx="394">
                  <c:v>45776</c:v>
                </c:pt>
                <c:pt idx="395">
                  <c:v>45777</c:v>
                </c:pt>
                <c:pt idx="396">
                  <c:v>45778</c:v>
                </c:pt>
                <c:pt idx="397">
                  <c:v>45779</c:v>
                </c:pt>
                <c:pt idx="398">
                  <c:v>45782</c:v>
                </c:pt>
                <c:pt idx="399">
                  <c:v>45783</c:v>
                </c:pt>
                <c:pt idx="400">
                  <c:v>45784</c:v>
                </c:pt>
                <c:pt idx="401">
                  <c:v>45785</c:v>
                </c:pt>
                <c:pt idx="402">
                  <c:v>45786</c:v>
                </c:pt>
                <c:pt idx="403">
                  <c:v>45789</c:v>
                </c:pt>
                <c:pt idx="404">
                  <c:v>45790</c:v>
                </c:pt>
                <c:pt idx="405">
                  <c:v>45791</c:v>
                </c:pt>
                <c:pt idx="406">
                  <c:v>45792</c:v>
                </c:pt>
                <c:pt idx="407">
                  <c:v>45793</c:v>
                </c:pt>
                <c:pt idx="408">
                  <c:v>45796</c:v>
                </c:pt>
                <c:pt idx="409">
                  <c:v>45797</c:v>
                </c:pt>
                <c:pt idx="410">
                  <c:v>45798</c:v>
                </c:pt>
                <c:pt idx="411">
                  <c:v>45799</c:v>
                </c:pt>
                <c:pt idx="412">
                  <c:v>45800</c:v>
                </c:pt>
                <c:pt idx="413">
                  <c:v>45804</c:v>
                </c:pt>
                <c:pt idx="414">
                  <c:v>45805</c:v>
                </c:pt>
                <c:pt idx="415">
                  <c:v>45806</c:v>
                </c:pt>
                <c:pt idx="416">
                  <c:v>45807</c:v>
                </c:pt>
                <c:pt idx="417">
                  <c:v>45810</c:v>
                </c:pt>
                <c:pt idx="418">
                  <c:v>45811</c:v>
                </c:pt>
                <c:pt idx="419">
                  <c:v>45812</c:v>
                </c:pt>
                <c:pt idx="420">
                  <c:v>45813</c:v>
                </c:pt>
                <c:pt idx="421">
                  <c:v>45814</c:v>
                </c:pt>
                <c:pt idx="422">
                  <c:v>45817</c:v>
                </c:pt>
                <c:pt idx="423">
                  <c:v>45818</c:v>
                </c:pt>
                <c:pt idx="424">
                  <c:v>45819</c:v>
                </c:pt>
                <c:pt idx="425">
                  <c:v>45820</c:v>
                </c:pt>
                <c:pt idx="426">
                  <c:v>45821</c:v>
                </c:pt>
                <c:pt idx="427">
                  <c:v>45824</c:v>
                </c:pt>
                <c:pt idx="428">
                  <c:v>45825</c:v>
                </c:pt>
                <c:pt idx="429">
                  <c:v>45826</c:v>
                </c:pt>
                <c:pt idx="430">
                  <c:v>45828</c:v>
                </c:pt>
                <c:pt idx="431">
                  <c:v>45831</c:v>
                </c:pt>
                <c:pt idx="432">
                  <c:v>45832</c:v>
                </c:pt>
                <c:pt idx="433">
                  <c:v>45833</c:v>
                </c:pt>
                <c:pt idx="434">
                  <c:v>45834</c:v>
                </c:pt>
                <c:pt idx="435">
                  <c:v>45835</c:v>
                </c:pt>
                <c:pt idx="436">
                  <c:v>45838</c:v>
                </c:pt>
                <c:pt idx="437">
                  <c:v>45839</c:v>
                </c:pt>
                <c:pt idx="438">
                  <c:v>45840</c:v>
                </c:pt>
                <c:pt idx="439">
                  <c:v>45841</c:v>
                </c:pt>
                <c:pt idx="440">
                  <c:v>45845</c:v>
                </c:pt>
                <c:pt idx="441">
                  <c:v>45846</c:v>
                </c:pt>
                <c:pt idx="442">
                  <c:v>45847</c:v>
                </c:pt>
                <c:pt idx="443">
                  <c:v>45848</c:v>
                </c:pt>
                <c:pt idx="444">
                  <c:v>45849</c:v>
                </c:pt>
                <c:pt idx="445">
                  <c:v>45852</c:v>
                </c:pt>
                <c:pt idx="446">
                  <c:v>45853</c:v>
                </c:pt>
                <c:pt idx="447">
                  <c:v>45854</c:v>
                </c:pt>
                <c:pt idx="448">
                  <c:v>45855</c:v>
                </c:pt>
                <c:pt idx="449">
                  <c:v>45856</c:v>
                </c:pt>
                <c:pt idx="450">
                  <c:v>45859</c:v>
                </c:pt>
                <c:pt idx="451">
                  <c:v>45860</c:v>
                </c:pt>
                <c:pt idx="452">
                  <c:v>45861</c:v>
                </c:pt>
                <c:pt idx="453">
                  <c:v>45862</c:v>
                </c:pt>
                <c:pt idx="454">
                  <c:v>45863</c:v>
                </c:pt>
                <c:pt idx="455">
                  <c:v>45866</c:v>
                </c:pt>
                <c:pt idx="456">
                  <c:v>45867</c:v>
                </c:pt>
                <c:pt idx="457">
                  <c:v>45868</c:v>
                </c:pt>
                <c:pt idx="458">
                  <c:v>45869</c:v>
                </c:pt>
                <c:pt idx="459">
                  <c:v>45870</c:v>
                </c:pt>
                <c:pt idx="460">
                  <c:v>45873</c:v>
                </c:pt>
                <c:pt idx="461">
                  <c:v>45874</c:v>
                </c:pt>
                <c:pt idx="462">
                  <c:v>45875</c:v>
                </c:pt>
                <c:pt idx="463">
                  <c:v>45876</c:v>
                </c:pt>
                <c:pt idx="464">
                  <c:v>45877</c:v>
                </c:pt>
                <c:pt idx="465">
                  <c:v>45880</c:v>
                </c:pt>
                <c:pt idx="466">
                  <c:v>45881</c:v>
                </c:pt>
                <c:pt idx="467">
                  <c:v>45882</c:v>
                </c:pt>
                <c:pt idx="468">
                  <c:v>45883</c:v>
                </c:pt>
                <c:pt idx="469">
                  <c:v>45884</c:v>
                </c:pt>
                <c:pt idx="470">
                  <c:v>45887</c:v>
                </c:pt>
                <c:pt idx="471">
                  <c:v>45888</c:v>
                </c:pt>
                <c:pt idx="472">
                  <c:v>45889</c:v>
                </c:pt>
                <c:pt idx="473">
                  <c:v>45890</c:v>
                </c:pt>
                <c:pt idx="474">
                  <c:v>45891</c:v>
                </c:pt>
                <c:pt idx="475">
                  <c:v>45894</c:v>
                </c:pt>
                <c:pt idx="476">
                  <c:v>45895</c:v>
                </c:pt>
                <c:pt idx="477">
                  <c:v>45896</c:v>
                </c:pt>
                <c:pt idx="478">
                  <c:v>45897</c:v>
                </c:pt>
                <c:pt idx="479">
                  <c:v>45898</c:v>
                </c:pt>
                <c:pt idx="480">
                  <c:v>45902</c:v>
                </c:pt>
                <c:pt idx="481">
                  <c:v>45903</c:v>
                </c:pt>
                <c:pt idx="482">
                  <c:v>45904</c:v>
                </c:pt>
                <c:pt idx="483">
                  <c:v>45905</c:v>
                </c:pt>
                <c:pt idx="484">
                  <c:v>45908</c:v>
                </c:pt>
                <c:pt idx="485">
                  <c:v>45909</c:v>
                </c:pt>
                <c:pt idx="486">
                  <c:v>45910</c:v>
                </c:pt>
                <c:pt idx="487">
                  <c:v>45911</c:v>
                </c:pt>
                <c:pt idx="488">
                  <c:v>45912</c:v>
                </c:pt>
                <c:pt idx="489">
                  <c:v>45915</c:v>
                </c:pt>
                <c:pt idx="490">
                  <c:v>45916</c:v>
                </c:pt>
                <c:pt idx="491">
                  <c:v>45917</c:v>
                </c:pt>
                <c:pt idx="492">
                  <c:v>45918</c:v>
                </c:pt>
                <c:pt idx="493">
                  <c:v>45919</c:v>
                </c:pt>
                <c:pt idx="494">
                  <c:v>45922</c:v>
                </c:pt>
                <c:pt idx="495">
                  <c:v>45923</c:v>
                </c:pt>
                <c:pt idx="496">
                  <c:v>45924</c:v>
                </c:pt>
                <c:pt idx="497">
                  <c:v>45925</c:v>
                </c:pt>
                <c:pt idx="498">
                  <c:v>45926</c:v>
                </c:pt>
                <c:pt idx="499">
                  <c:v>45929</c:v>
                </c:pt>
                <c:pt idx="500">
                  <c:v>45930</c:v>
                </c:pt>
                <c:pt idx="501">
                  <c:v>45931</c:v>
                </c:pt>
                <c:pt idx="502">
                  <c:v>45932</c:v>
                </c:pt>
                <c:pt idx="503">
                  <c:v>45933</c:v>
                </c:pt>
                <c:pt idx="504">
                  <c:v>45936</c:v>
                </c:pt>
                <c:pt idx="505">
                  <c:v>45937</c:v>
                </c:pt>
                <c:pt idx="506">
                  <c:v>45938</c:v>
                </c:pt>
                <c:pt idx="507">
                  <c:v>45939</c:v>
                </c:pt>
                <c:pt idx="508">
                  <c:v>45940</c:v>
                </c:pt>
                <c:pt idx="509">
                  <c:v>45943</c:v>
                </c:pt>
                <c:pt idx="510">
                  <c:v>45944</c:v>
                </c:pt>
                <c:pt idx="511">
                  <c:v>45945</c:v>
                </c:pt>
                <c:pt idx="512">
                  <c:v>45946</c:v>
                </c:pt>
                <c:pt idx="513">
                  <c:v>45947</c:v>
                </c:pt>
                <c:pt idx="514">
                  <c:v>45950</c:v>
                </c:pt>
                <c:pt idx="515">
                  <c:v>45951</c:v>
                </c:pt>
                <c:pt idx="516">
                  <c:v>45952</c:v>
                </c:pt>
                <c:pt idx="517">
                  <c:v>45953</c:v>
                </c:pt>
                <c:pt idx="518">
                  <c:v>45954</c:v>
                </c:pt>
                <c:pt idx="519">
                  <c:v>45957</c:v>
                </c:pt>
                <c:pt idx="520">
                  <c:v>45958</c:v>
                </c:pt>
                <c:pt idx="521">
                  <c:v>45959</c:v>
                </c:pt>
                <c:pt idx="522">
                  <c:v>45960</c:v>
                </c:pt>
                <c:pt idx="523">
                  <c:v>45961</c:v>
                </c:pt>
                <c:pt idx="524">
                  <c:v>45964</c:v>
                </c:pt>
                <c:pt idx="525">
                  <c:v>45965</c:v>
                </c:pt>
                <c:pt idx="526">
                  <c:v>45966</c:v>
                </c:pt>
                <c:pt idx="527">
                  <c:v>45967</c:v>
                </c:pt>
                <c:pt idx="528">
                  <c:v>45968</c:v>
                </c:pt>
                <c:pt idx="529">
                  <c:v>45971</c:v>
                </c:pt>
                <c:pt idx="530">
                  <c:v>45972</c:v>
                </c:pt>
                <c:pt idx="531">
                  <c:v>45973</c:v>
                </c:pt>
                <c:pt idx="532">
                  <c:v>45974</c:v>
                </c:pt>
                <c:pt idx="533">
                  <c:v>45975</c:v>
                </c:pt>
                <c:pt idx="534">
                  <c:v>45978</c:v>
                </c:pt>
                <c:pt idx="535">
                  <c:v>45979</c:v>
                </c:pt>
                <c:pt idx="536">
                  <c:v>45980</c:v>
                </c:pt>
                <c:pt idx="537">
                  <c:v>45981</c:v>
                </c:pt>
                <c:pt idx="538">
                  <c:v>45982</c:v>
                </c:pt>
                <c:pt idx="539">
                  <c:v>45985</c:v>
                </c:pt>
                <c:pt idx="540">
                  <c:v>45986</c:v>
                </c:pt>
                <c:pt idx="541">
                  <c:v>45987</c:v>
                </c:pt>
                <c:pt idx="542">
                  <c:v>45989</c:v>
                </c:pt>
                <c:pt idx="543">
                  <c:v>45992</c:v>
                </c:pt>
                <c:pt idx="544">
                  <c:v>45993</c:v>
                </c:pt>
                <c:pt idx="545">
                  <c:v>45994</c:v>
                </c:pt>
                <c:pt idx="546">
                  <c:v>45995</c:v>
                </c:pt>
                <c:pt idx="547">
                  <c:v>45996</c:v>
                </c:pt>
                <c:pt idx="548">
                  <c:v>45999</c:v>
                </c:pt>
                <c:pt idx="549">
                  <c:v>46000</c:v>
                </c:pt>
                <c:pt idx="550">
                  <c:v>46001</c:v>
                </c:pt>
                <c:pt idx="551">
                  <c:v>46002</c:v>
                </c:pt>
                <c:pt idx="552">
                  <c:v>46003</c:v>
                </c:pt>
                <c:pt idx="553">
                  <c:v>46006</c:v>
                </c:pt>
                <c:pt idx="554">
                  <c:v>46007</c:v>
                </c:pt>
                <c:pt idx="555">
                  <c:v>46008</c:v>
                </c:pt>
                <c:pt idx="556">
                  <c:v>46009</c:v>
                </c:pt>
                <c:pt idx="557">
                  <c:v>46010</c:v>
                </c:pt>
                <c:pt idx="558">
                  <c:v>46013</c:v>
                </c:pt>
                <c:pt idx="559">
                  <c:v>46014</c:v>
                </c:pt>
                <c:pt idx="560">
                  <c:v>46015</c:v>
                </c:pt>
                <c:pt idx="561">
                  <c:v>46017</c:v>
                </c:pt>
                <c:pt idx="562">
                  <c:v>46020</c:v>
                </c:pt>
                <c:pt idx="563">
                  <c:v>46021</c:v>
                </c:pt>
                <c:pt idx="564">
                  <c:v>46022</c:v>
                </c:pt>
                <c:pt idx="565">
                  <c:v>46024</c:v>
                </c:pt>
                <c:pt idx="566">
                  <c:v>46027</c:v>
                </c:pt>
                <c:pt idx="567">
                  <c:v>46028</c:v>
                </c:pt>
                <c:pt idx="568">
                  <c:v>46029</c:v>
                </c:pt>
                <c:pt idx="569">
                  <c:v>46030</c:v>
                </c:pt>
                <c:pt idx="570">
                  <c:v>46031</c:v>
                </c:pt>
                <c:pt idx="571">
                  <c:v>46034</c:v>
                </c:pt>
                <c:pt idx="572">
                  <c:v>46035</c:v>
                </c:pt>
                <c:pt idx="573">
                  <c:v>46036</c:v>
                </c:pt>
                <c:pt idx="574">
                  <c:v>46037</c:v>
                </c:pt>
                <c:pt idx="575">
                  <c:v>46038</c:v>
                </c:pt>
                <c:pt idx="576">
                  <c:v>46042</c:v>
                </c:pt>
                <c:pt idx="577">
                  <c:v>46043</c:v>
                </c:pt>
                <c:pt idx="578">
                  <c:v>46044</c:v>
                </c:pt>
                <c:pt idx="579">
                  <c:v>46045</c:v>
                </c:pt>
                <c:pt idx="580">
                  <c:v>46048</c:v>
                </c:pt>
                <c:pt idx="581">
                  <c:v>46049</c:v>
                </c:pt>
                <c:pt idx="582">
                  <c:v>46050</c:v>
                </c:pt>
                <c:pt idx="583">
                  <c:v>46051</c:v>
                </c:pt>
                <c:pt idx="584">
                  <c:v>46052</c:v>
                </c:pt>
                <c:pt idx="585">
                  <c:v>46055</c:v>
                </c:pt>
                <c:pt idx="586">
                  <c:v>46056</c:v>
                </c:pt>
                <c:pt idx="587">
                  <c:v>46057</c:v>
                </c:pt>
                <c:pt idx="588">
                  <c:v>46058</c:v>
                </c:pt>
                <c:pt idx="589">
                  <c:v>46059</c:v>
                </c:pt>
                <c:pt idx="590">
                  <c:v>46062</c:v>
                </c:pt>
                <c:pt idx="591">
                  <c:v>46063</c:v>
                </c:pt>
                <c:pt idx="592">
                  <c:v>46064</c:v>
                </c:pt>
                <c:pt idx="593">
                  <c:v>46065</c:v>
                </c:pt>
                <c:pt idx="594">
                  <c:v>46066</c:v>
                </c:pt>
                <c:pt idx="595">
                  <c:v>46070</c:v>
                </c:pt>
                <c:pt idx="596">
                  <c:v>46071</c:v>
                </c:pt>
                <c:pt idx="597">
                  <c:v>46072</c:v>
                </c:pt>
                <c:pt idx="598">
                  <c:v>46073</c:v>
                </c:pt>
                <c:pt idx="599">
                  <c:v>46076</c:v>
                </c:pt>
                <c:pt idx="600">
                  <c:v>46077</c:v>
                </c:pt>
                <c:pt idx="601">
                  <c:v>46078</c:v>
                </c:pt>
                <c:pt idx="602">
                  <c:v>46079</c:v>
                </c:pt>
                <c:pt idx="603">
                  <c:v>46080</c:v>
                </c:pt>
                <c:pt idx="604">
                  <c:v>46083</c:v>
                </c:pt>
                <c:pt idx="605">
                  <c:v>46084</c:v>
                </c:pt>
                <c:pt idx="606">
                  <c:v>46085</c:v>
                </c:pt>
                <c:pt idx="607">
                  <c:v>46086</c:v>
                </c:pt>
                <c:pt idx="608">
                  <c:v>46087</c:v>
                </c:pt>
                <c:pt idx="609">
                  <c:v>46090</c:v>
                </c:pt>
                <c:pt idx="610">
                  <c:v>46091</c:v>
                </c:pt>
                <c:pt idx="611">
                  <c:v>46092</c:v>
                </c:pt>
                <c:pt idx="612">
                  <c:v>46093</c:v>
                </c:pt>
                <c:pt idx="613">
                  <c:v>46094</c:v>
                </c:pt>
                <c:pt idx="614">
                  <c:v>46097</c:v>
                </c:pt>
                <c:pt idx="615">
                  <c:v>46098</c:v>
                </c:pt>
                <c:pt idx="616">
                  <c:v>46099</c:v>
                </c:pt>
                <c:pt idx="617">
                  <c:v>46100</c:v>
                </c:pt>
                <c:pt idx="618">
                  <c:v>46101</c:v>
                </c:pt>
                <c:pt idx="619">
                  <c:v>46104</c:v>
                </c:pt>
                <c:pt idx="620">
                  <c:v>46105</c:v>
                </c:pt>
                <c:pt idx="621">
                  <c:v>46106</c:v>
                </c:pt>
                <c:pt idx="622">
                  <c:v>46107</c:v>
                </c:pt>
                <c:pt idx="623">
                  <c:v>46108</c:v>
                </c:pt>
                <c:pt idx="624">
                  <c:v>46111</c:v>
                </c:pt>
                <c:pt idx="625">
                  <c:v>46112</c:v>
                </c:pt>
                <c:pt idx="626">
                  <c:v>46113</c:v>
                </c:pt>
                <c:pt idx="627">
                  <c:v>46114</c:v>
                </c:pt>
                <c:pt idx="628">
                  <c:v>46118</c:v>
                </c:pt>
                <c:pt idx="629">
                  <c:v>46119</c:v>
                </c:pt>
                <c:pt idx="630">
                  <c:v>46120</c:v>
                </c:pt>
                <c:pt idx="631">
                  <c:v>46121</c:v>
                </c:pt>
                <c:pt idx="632">
                  <c:v>46122</c:v>
                </c:pt>
                <c:pt idx="633">
                  <c:v>46125</c:v>
                </c:pt>
                <c:pt idx="634">
                  <c:v>46126</c:v>
                </c:pt>
                <c:pt idx="635">
                  <c:v>46127</c:v>
                </c:pt>
                <c:pt idx="636">
                  <c:v>46128</c:v>
                </c:pt>
                <c:pt idx="637">
                  <c:v>46129</c:v>
                </c:pt>
                <c:pt idx="638">
                  <c:v>46132</c:v>
                </c:pt>
                <c:pt idx="639">
                  <c:v>46133</c:v>
                </c:pt>
                <c:pt idx="640">
                  <c:v>46134</c:v>
                </c:pt>
                <c:pt idx="641">
                  <c:v>46135</c:v>
                </c:pt>
                <c:pt idx="642">
                  <c:v>46136</c:v>
                </c:pt>
                <c:pt idx="643">
                  <c:v>46139</c:v>
                </c:pt>
                <c:pt idx="644">
                  <c:v>46140</c:v>
                </c:pt>
                <c:pt idx="645">
                  <c:v>46141</c:v>
                </c:pt>
                <c:pt idx="646">
                  <c:v>46142</c:v>
                </c:pt>
                <c:pt idx="647">
                  <c:v>46143</c:v>
                </c:pt>
                <c:pt idx="648">
                  <c:v>46146</c:v>
                </c:pt>
                <c:pt idx="649">
                  <c:v>46147</c:v>
                </c:pt>
                <c:pt idx="650">
                  <c:v>46148</c:v>
                </c:pt>
                <c:pt idx="651">
                  <c:v>46149</c:v>
                </c:pt>
                <c:pt idx="652">
                  <c:v>46150</c:v>
                </c:pt>
                <c:pt idx="653">
                  <c:v>46153</c:v>
                </c:pt>
                <c:pt idx="654">
                  <c:v>46154</c:v>
                </c:pt>
                <c:pt idx="655">
                  <c:v>46155</c:v>
                </c:pt>
                <c:pt idx="656">
                  <c:v>46156</c:v>
                </c:pt>
                <c:pt idx="657">
                  <c:v>46157</c:v>
                </c:pt>
                <c:pt idx="658">
                  <c:v>46160</c:v>
                </c:pt>
                <c:pt idx="659">
                  <c:v>46161</c:v>
                </c:pt>
                <c:pt idx="660">
                  <c:v>46162</c:v>
                </c:pt>
                <c:pt idx="661">
                  <c:v>46163</c:v>
                </c:pt>
                <c:pt idx="662">
                  <c:v>46164</c:v>
                </c:pt>
                <c:pt idx="663">
                  <c:v>46168</c:v>
                </c:pt>
                <c:pt idx="664">
                  <c:v>46169</c:v>
                </c:pt>
                <c:pt idx="665">
                  <c:v>46170</c:v>
                </c:pt>
                <c:pt idx="666">
                  <c:v>46171</c:v>
                </c:pt>
                <c:pt idx="667">
                  <c:v>46174</c:v>
                </c:pt>
                <c:pt idx="668">
                  <c:v>46175</c:v>
                </c:pt>
                <c:pt idx="669">
                  <c:v>46176</c:v>
                </c:pt>
                <c:pt idx="670">
                  <c:v>46177</c:v>
                </c:pt>
                <c:pt idx="671">
                  <c:v>46178</c:v>
                </c:pt>
                <c:pt idx="672">
                  <c:v>46181</c:v>
                </c:pt>
                <c:pt idx="673">
                  <c:v>46182</c:v>
                </c:pt>
                <c:pt idx="674">
                  <c:v>46183</c:v>
                </c:pt>
                <c:pt idx="675">
                  <c:v>46184</c:v>
                </c:pt>
                <c:pt idx="676">
                  <c:v>46185</c:v>
                </c:pt>
                <c:pt idx="677">
                  <c:v>46188</c:v>
                </c:pt>
                <c:pt idx="678">
                  <c:v>46189</c:v>
                </c:pt>
                <c:pt idx="679">
                  <c:v>46190</c:v>
                </c:pt>
                <c:pt idx="680">
                  <c:v>46191</c:v>
                </c:pt>
                <c:pt idx="681">
                  <c:v>46195</c:v>
                </c:pt>
                <c:pt idx="682">
                  <c:v>46196</c:v>
                </c:pt>
                <c:pt idx="683">
                  <c:v>46197</c:v>
                </c:pt>
                <c:pt idx="684">
                  <c:v>46198</c:v>
                </c:pt>
                <c:pt idx="685">
                  <c:v>46199</c:v>
                </c:pt>
                <c:pt idx="686">
                  <c:v>46202</c:v>
                </c:pt>
                <c:pt idx="687">
                  <c:v>46203</c:v>
                </c:pt>
                <c:pt idx="688">
                  <c:v>46204</c:v>
                </c:pt>
                <c:pt idx="689">
                  <c:v>46205</c:v>
                </c:pt>
                <c:pt idx="690">
                  <c:v>46209</c:v>
                </c:pt>
                <c:pt idx="691">
                  <c:v>46210</c:v>
                </c:pt>
                <c:pt idx="692">
                  <c:v>46211</c:v>
                </c:pt>
                <c:pt idx="693">
                  <c:v>46212</c:v>
                </c:pt>
                <c:pt idx="694">
                  <c:v>46213</c:v>
                </c:pt>
                <c:pt idx="695">
                  <c:v>46216</c:v>
                </c:pt>
                <c:pt idx="696">
                  <c:v>46217</c:v>
                </c:pt>
                <c:pt idx="697">
                  <c:v>46218</c:v>
                </c:pt>
                <c:pt idx="698">
                  <c:v>46219</c:v>
                </c:pt>
                <c:pt idx="699">
                  <c:v>46220</c:v>
                </c:pt>
                <c:pt idx="700">
                  <c:v>46223</c:v>
                </c:pt>
                <c:pt idx="701">
                  <c:v>46224</c:v>
                </c:pt>
                <c:pt idx="702">
                  <c:v>46225</c:v>
                </c:pt>
                <c:pt idx="703">
                  <c:v>46226</c:v>
                </c:pt>
                <c:pt idx="704">
                  <c:v>46227</c:v>
                </c:pt>
                <c:pt idx="705">
                  <c:v>46230</c:v>
                </c:pt>
                <c:pt idx="706">
                  <c:v>46231</c:v>
                </c:pt>
                <c:pt idx="707">
                  <c:v>46232</c:v>
                </c:pt>
                <c:pt idx="708">
                  <c:v>46233</c:v>
                </c:pt>
                <c:pt idx="709">
                  <c:v>46234</c:v>
                </c:pt>
                <c:pt idx="710">
                  <c:v>46237</c:v>
                </c:pt>
                <c:pt idx="711">
                  <c:v>46238</c:v>
                </c:pt>
                <c:pt idx="712">
                  <c:v>46239</c:v>
                </c:pt>
                <c:pt idx="713">
                  <c:v>46240</c:v>
                </c:pt>
                <c:pt idx="714">
                  <c:v>46241</c:v>
                </c:pt>
                <c:pt idx="715">
                  <c:v>46244</c:v>
                </c:pt>
                <c:pt idx="716">
                  <c:v>46245</c:v>
                </c:pt>
                <c:pt idx="717">
                  <c:v>46246</c:v>
                </c:pt>
                <c:pt idx="718">
                  <c:v>46247</c:v>
                </c:pt>
                <c:pt idx="719">
                  <c:v>46248</c:v>
                </c:pt>
                <c:pt idx="720">
                  <c:v>46251</c:v>
                </c:pt>
                <c:pt idx="721">
                  <c:v>46252</c:v>
                </c:pt>
                <c:pt idx="722">
                  <c:v>46253</c:v>
                </c:pt>
                <c:pt idx="723">
                  <c:v>46254</c:v>
                </c:pt>
                <c:pt idx="724">
                  <c:v>46255</c:v>
                </c:pt>
                <c:pt idx="725">
                  <c:v>46258</c:v>
                </c:pt>
                <c:pt idx="726">
                  <c:v>46259</c:v>
                </c:pt>
                <c:pt idx="727">
                  <c:v>46260</c:v>
                </c:pt>
                <c:pt idx="728">
                  <c:v>46261</c:v>
                </c:pt>
                <c:pt idx="729">
                  <c:v>46262</c:v>
                </c:pt>
                <c:pt idx="730">
                  <c:v>46265</c:v>
                </c:pt>
                <c:pt idx="731">
                  <c:v>46266</c:v>
                </c:pt>
                <c:pt idx="732">
                  <c:v>46267</c:v>
                </c:pt>
                <c:pt idx="733">
                  <c:v>46268</c:v>
                </c:pt>
                <c:pt idx="734">
                  <c:v>46269</c:v>
                </c:pt>
                <c:pt idx="735">
                  <c:v>46273</c:v>
                </c:pt>
                <c:pt idx="736">
                  <c:v>46274</c:v>
                </c:pt>
                <c:pt idx="737">
                  <c:v>46275</c:v>
                </c:pt>
                <c:pt idx="738">
                  <c:v>46276</c:v>
                </c:pt>
                <c:pt idx="739">
                  <c:v>46279</c:v>
                </c:pt>
                <c:pt idx="740">
                  <c:v>46280</c:v>
                </c:pt>
                <c:pt idx="741">
                  <c:v>46281</c:v>
                </c:pt>
                <c:pt idx="742">
                  <c:v>46282</c:v>
                </c:pt>
                <c:pt idx="743">
                  <c:v>46283</c:v>
                </c:pt>
                <c:pt idx="744">
                  <c:v>46286</c:v>
                </c:pt>
                <c:pt idx="745">
                  <c:v>46287</c:v>
                </c:pt>
                <c:pt idx="746">
                  <c:v>46288</c:v>
                </c:pt>
                <c:pt idx="747">
                  <c:v>46289</c:v>
                </c:pt>
                <c:pt idx="748">
                  <c:v>46290</c:v>
                </c:pt>
                <c:pt idx="749">
                  <c:v>46293</c:v>
                </c:pt>
                <c:pt idx="750">
                  <c:v>46294</c:v>
                </c:pt>
                <c:pt idx="751">
                  <c:v>46295</c:v>
                </c:pt>
              </c:numCache>
            </c:numRef>
          </c:cat>
          <c:val>
            <c:numRef>
              <c:f>'01_Data_Raw'!$AA$4:$AA$755</c:f>
              <c:numCache>
                <c:formatCode>0\.0%</c:formatCode>
                <c:ptCount val="752"/>
                <c:pt idx="0">
                  <c:v>0</c:v>
                </c:pt>
                <c:pt idx="1">
                  <c:v>0</c:v>
                </c:pt>
                <c:pt idx="2">
                  <c:v>-3.7677200584007586E-4</c:v>
                </c:pt>
                <c:pt idx="3">
                  <c:v>0</c:v>
                </c:pt>
                <c:pt idx="4">
                  <c:v>0</c:v>
                </c:pt>
                <c:pt idx="5">
                  <c:v>0</c:v>
                </c:pt>
                <c:pt idx="6">
                  <c:v>0</c:v>
                </c:pt>
                <c:pt idx="7">
                  <c:v>-6.0964429776310114E-3</c:v>
                </c:pt>
                <c:pt idx="8">
                  <c:v>-1.1046938027135966E-2</c:v>
                </c:pt>
                <c:pt idx="9">
                  <c:v>-6.4173083975038736E-4</c:v>
                </c:pt>
                <c:pt idx="10">
                  <c:v>-6.8756875687547847E-4</c:v>
                </c:pt>
                <c:pt idx="11">
                  <c:v>-1.4003483681701234E-2</c:v>
                </c:pt>
                <c:pt idx="12">
                  <c:v>-2.2666850018334794E-2</c:v>
                </c:pt>
                <c:pt idx="13">
                  <c:v>-3.4676384305096786E-2</c:v>
                </c:pt>
                <c:pt idx="14">
                  <c:v>-3.6349468280161057E-2</c:v>
                </c:pt>
                <c:pt idx="15">
                  <c:v>-2.9084158415841443E-2</c:v>
                </c:pt>
                <c:pt idx="16">
                  <c:v>-4.3018885221855374E-2</c:v>
                </c:pt>
                <c:pt idx="17">
                  <c:v>-5.4478364503116827E-2</c:v>
                </c:pt>
                <c:pt idx="18">
                  <c:v>-5.8764209754308627E-2</c:v>
                </c:pt>
                <c:pt idx="19">
                  <c:v>-4.7511001100109973E-2</c:v>
                </c:pt>
                <c:pt idx="20">
                  <c:v>-4.1529152915291578E-2</c:v>
                </c:pt>
                <c:pt idx="21">
                  <c:v>-3.1307297396406253E-2</c:v>
                </c:pt>
                <c:pt idx="22">
                  <c:v>-1.2742940960762783E-2</c:v>
                </c:pt>
                <c:pt idx="23">
                  <c:v>-3.7357902456912617E-3</c:v>
                </c:pt>
                <c:pt idx="24">
                  <c:v>-1.4438943894391487E-3</c:v>
                </c:pt>
                <c:pt idx="25">
                  <c:v>0</c:v>
                </c:pt>
                <c:pt idx="26">
                  <c:v>0</c:v>
                </c:pt>
                <c:pt idx="27">
                  <c:v>-7.7987421383647337E-3</c:v>
                </c:pt>
                <c:pt idx="28">
                  <c:v>0</c:v>
                </c:pt>
                <c:pt idx="29">
                  <c:v>-9.5322393953845008E-4</c:v>
                </c:pt>
                <c:pt idx="30">
                  <c:v>0</c:v>
                </c:pt>
                <c:pt idx="31">
                  <c:v>0</c:v>
                </c:pt>
                <c:pt idx="32">
                  <c:v>0</c:v>
                </c:pt>
                <c:pt idx="33">
                  <c:v>0</c:v>
                </c:pt>
                <c:pt idx="34">
                  <c:v>0</c:v>
                </c:pt>
                <c:pt idx="35">
                  <c:v>-2.179368643508095E-3</c:v>
                </c:pt>
                <c:pt idx="36">
                  <c:v>0</c:v>
                </c:pt>
                <c:pt idx="37">
                  <c:v>0</c:v>
                </c:pt>
                <c:pt idx="38">
                  <c:v>-1.8010103228640606E-3</c:v>
                </c:pt>
                <c:pt idx="39">
                  <c:v>-8.1265099934113572E-4</c:v>
                </c:pt>
                <c:pt idx="40">
                  <c:v>-1.5154842960686254E-3</c:v>
                </c:pt>
                <c:pt idx="41">
                  <c:v>0</c:v>
                </c:pt>
                <c:pt idx="42">
                  <c:v>0</c:v>
                </c:pt>
                <c:pt idx="43">
                  <c:v>-5.2494010019603632E-3</c:v>
                </c:pt>
                <c:pt idx="44">
                  <c:v>-5.4454367240251988E-3</c:v>
                </c:pt>
                <c:pt idx="45">
                  <c:v>-9.4532781529078624E-3</c:v>
                </c:pt>
                <c:pt idx="46">
                  <c:v>-1.8950119799606702E-3</c:v>
                </c:pt>
                <c:pt idx="47">
                  <c:v>0</c:v>
                </c:pt>
                <c:pt idx="48">
                  <c:v>0</c:v>
                </c:pt>
                <c:pt idx="49">
                  <c:v>0</c:v>
                </c:pt>
                <c:pt idx="50">
                  <c:v>0</c:v>
                </c:pt>
                <c:pt idx="51">
                  <c:v>0</c:v>
                </c:pt>
                <c:pt idx="52">
                  <c:v>-5.6778458083514005E-3</c:v>
                </c:pt>
                <c:pt idx="53">
                  <c:v>-8.4743967288636313E-5</c:v>
                </c:pt>
                <c:pt idx="54">
                  <c:v>0</c:v>
                </c:pt>
                <c:pt idx="55">
                  <c:v>-1.385729930081725E-2</c:v>
                </c:pt>
                <c:pt idx="56">
                  <c:v>-4.5067812315727762E-3</c:v>
                </c:pt>
                <c:pt idx="57">
                  <c:v>-2.5061073203606066E-3</c:v>
                </c:pt>
                <c:pt idx="58">
                  <c:v>0</c:v>
                </c:pt>
                <c:pt idx="59">
                  <c:v>0</c:v>
                </c:pt>
                <c:pt idx="60">
                  <c:v>0</c:v>
                </c:pt>
                <c:pt idx="61">
                  <c:v>-2.8949631836202583E-3</c:v>
                </c:pt>
                <c:pt idx="62">
                  <c:v>-8.4751096100190715E-3</c:v>
                </c:pt>
                <c:pt idx="63">
                  <c:v>-1.6572615326522433E-2</c:v>
                </c:pt>
                <c:pt idx="64">
                  <c:v>-1.9740292433237494E-2</c:v>
                </c:pt>
                <c:pt idx="65">
                  <c:v>-1.8397700811848217E-2</c:v>
                </c:pt>
                <c:pt idx="66">
                  <c:v>-4.3844007635988058E-3</c:v>
                </c:pt>
                <c:pt idx="67">
                  <c:v>-5.8948163376616458E-3</c:v>
                </c:pt>
                <c:pt idx="68">
                  <c:v>-2.7271392309446973E-4</c:v>
                </c:pt>
                <c:pt idx="69">
                  <c:v>-7.1325179886283507E-4</c:v>
                </c:pt>
                <c:pt idx="70">
                  <c:v>-2.0977994084181439E-5</c:v>
                </c:pt>
                <c:pt idx="71">
                  <c:v>-3.6921269588201522E-3</c:v>
                </c:pt>
                <c:pt idx="72">
                  <c:v>-9.2303173970504915E-3</c:v>
                </c:pt>
                <c:pt idx="73">
                  <c:v>-4.1955988168440594E-4</c:v>
                </c:pt>
                <c:pt idx="74">
                  <c:v>0</c:v>
                </c:pt>
                <c:pt idx="75">
                  <c:v>0</c:v>
                </c:pt>
                <c:pt idx="76">
                  <c:v>0</c:v>
                </c:pt>
                <c:pt idx="77">
                  <c:v>0</c:v>
                </c:pt>
                <c:pt idx="78">
                  <c:v>0</c:v>
                </c:pt>
                <c:pt idx="79">
                  <c:v>-1.2704137040753238E-3</c:v>
                </c:pt>
                <c:pt idx="80">
                  <c:v>0</c:v>
                </c:pt>
                <c:pt idx="81">
                  <c:v>-7.7350540436016413E-4</c:v>
                </c:pt>
                <c:pt idx="82">
                  <c:v>-1.7078185112056499E-2</c:v>
                </c:pt>
                <c:pt idx="83">
                  <c:v>-4.2135689132248855E-3</c:v>
                </c:pt>
                <c:pt idx="84">
                  <c:v>0</c:v>
                </c:pt>
                <c:pt idx="85">
                  <c:v>-3.6411449377971028E-3</c:v>
                </c:pt>
                <c:pt idx="86">
                  <c:v>-7.4845757054708972E-4</c:v>
                </c:pt>
                <c:pt idx="87">
                  <c:v>0</c:v>
                </c:pt>
                <c:pt idx="88">
                  <c:v>0</c:v>
                </c:pt>
                <c:pt idx="89">
                  <c:v>0</c:v>
                </c:pt>
                <c:pt idx="90">
                  <c:v>-4.3894652833209591E-4</c:v>
                </c:pt>
                <c:pt idx="91">
                  <c:v>-1.4205905826017773E-2</c:v>
                </c:pt>
                <c:pt idx="92">
                  <c:v>-5.2474062250600362E-3</c:v>
                </c:pt>
                <c:pt idx="93">
                  <c:v>0</c:v>
                </c:pt>
                <c:pt idx="94">
                  <c:v>-4.9799804784763646E-3</c:v>
                </c:pt>
                <c:pt idx="95">
                  <c:v>-1.0457959004800621E-2</c:v>
                </c:pt>
                <c:pt idx="96">
                  <c:v>-9.5615625186749043E-3</c:v>
                </c:pt>
                <c:pt idx="97">
                  <c:v>0</c:v>
                </c:pt>
                <c:pt idx="98">
                  <c:v>0</c:v>
                </c:pt>
                <c:pt idx="99">
                  <c:v>-3.662498769321787E-3</c:v>
                </c:pt>
                <c:pt idx="100">
                  <c:v>-1.8115585310624072E-3</c:v>
                </c:pt>
                <c:pt idx="101">
                  <c:v>-3.1308457221621566E-3</c:v>
                </c:pt>
                <c:pt idx="102">
                  <c:v>0</c:v>
                </c:pt>
                <c:pt idx="103">
                  <c:v>0</c:v>
                </c:pt>
                <c:pt idx="104">
                  <c:v>-1.0724383347958666E-3</c:v>
                </c:pt>
                <c:pt idx="105">
                  <c:v>-1.1055864287803474E-2</c:v>
                </c:pt>
                <c:pt idx="106">
                  <c:v>-6.044652432485198E-3</c:v>
                </c:pt>
                <c:pt idx="107">
                  <c:v>0</c:v>
                </c:pt>
                <c:pt idx="108">
                  <c:v>-6.0022144091993468E-3</c:v>
                </c:pt>
                <c:pt idx="109">
                  <c:v>-6.8568986616420746E-3</c:v>
                </c:pt>
                <c:pt idx="110">
                  <c:v>0</c:v>
                </c:pt>
                <c:pt idx="111">
                  <c:v>-1.5673981191220987E-3</c:v>
                </c:pt>
                <c:pt idx="112">
                  <c:v>-3.5411587135724121E-3</c:v>
                </c:pt>
                <c:pt idx="113">
                  <c:v>-1.344866287395019E-2</c:v>
                </c:pt>
                <c:pt idx="114">
                  <c:v>-7.5854328727892328E-3</c:v>
                </c:pt>
                <c:pt idx="115">
                  <c:v>-2.0705135647665074E-3</c:v>
                </c:pt>
                <c:pt idx="116">
                  <c:v>0</c:v>
                </c:pt>
                <c:pt idx="117">
                  <c:v>0</c:v>
                </c:pt>
                <c:pt idx="118">
                  <c:v>-1.8958253542704639E-3</c:v>
                </c:pt>
                <c:pt idx="119">
                  <c:v>-4.6533895059366337E-3</c:v>
                </c:pt>
                <c:pt idx="120">
                  <c:v>-6.4917656070474505E-3</c:v>
                </c:pt>
                <c:pt idx="121">
                  <c:v>0</c:v>
                </c:pt>
                <c:pt idx="122">
                  <c:v>-1.9114245847418054E-4</c:v>
                </c:pt>
                <c:pt idx="123">
                  <c:v>-1.9305388305904669E-3</c:v>
                </c:pt>
                <c:pt idx="124">
                  <c:v>-8.2764684519371912E-3</c:v>
                </c:pt>
                <c:pt idx="125">
                  <c:v>-7.1869564386337625E-3</c:v>
                </c:pt>
                <c:pt idx="126">
                  <c:v>-1.9305388305904225E-2</c:v>
                </c:pt>
                <c:pt idx="127">
                  <c:v>-9.0601525316819087E-3</c:v>
                </c:pt>
                <c:pt idx="128">
                  <c:v>-8.5058394021062522E-3</c:v>
                </c:pt>
                <c:pt idx="129">
                  <c:v>-7.3589846512603918E-3</c:v>
                </c:pt>
                <c:pt idx="130">
                  <c:v>-1.7298392491923997E-2</c:v>
                </c:pt>
                <c:pt idx="131">
                  <c:v>-9.8820651031211737E-3</c:v>
                </c:pt>
                <c:pt idx="132">
                  <c:v>-2.3548750884033742E-2</c:v>
                </c:pt>
                <c:pt idx="133">
                  <c:v>-3.5781868226389069E-2</c:v>
                </c:pt>
                <c:pt idx="134">
                  <c:v>-3.7540378844352573E-2</c:v>
                </c:pt>
                <c:pt idx="135">
                  <c:v>-4.3236424106886662E-2</c:v>
                </c:pt>
                <c:pt idx="136">
                  <c:v>-4.5205191429172009E-2</c:v>
                </c:pt>
                <c:pt idx="137">
                  <c:v>-5.3539002618651521E-2</c:v>
                </c:pt>
                <c:pt idx="138">
                  <c:v>-4.4822906512223537E-2</c:v>
                </c:pt>
                <c:pt idx="139">
                  <c:v>-3.348815872469757E-2</c:v>
                </c:pt>
                <c:pt idx="140">
                  <c:v>-3.3946900625035803E-2</c:v>
                </c:pt>
                <c:pt idx="141">
                  <c:v>-3.7616835827742334E-2</c:v>
                </c:pt>
                <c:pt idx="142">
                  <c:v>-2.8499340558518327E-2</c:v>
                </c:pt>
                <c:pt idx="143">
                  <c:v>-2.5058776305980857E-2</c:v>
                </c:pt>
                <c:pt idx="144">
                  <c:v>-4.050308695070437E-2</c:v>
                </c:pt>
                <c:pt idx="145">
                  <c:v>-4.3618709023835467E-2</c:v>
                </c:pt>
                <c:pt idx="146">
                  <c:v>-3.46732419672382E-2</c:v>
                </c:pt>
                <c:pt idx="147">
                  <c:v>-2.2707724066746815E-2</c:v>
                </c:pt>
                <c:pt idx="148">
                  <c:v>-1.2615402259303798E-2</c:v>
                </c:pt>
                <c:pt idx="149">
                  <c:v>-1.152589024600037E-2</c:v>
                </c:pt>
                <c:pt idx="150">
                  <c:v>-1.1430319016763169E-2</c:v>
                </c:pt>
                <c:pt idx="151">
                  <c:v>-5.73427375422908E-3</c:v>
                </c:pt>
                <c:pt idx="152">
                  <c:v>-4.4536192824511378E-3</c:v>
                </c:pt>
                <c:pt idx="153">
                  <c:v>-4.319819561519167E-3</c:v>
                </c:pt>
                <c:pt idx="154">
                  <c:v>0</c:v>
                </c:pt>
                <c:pt idx="155">
                  <c:v>0</c:v>
                </c:pt>
                <c:pt idx="156">
                  <c:v>-2.057457812676966E-3</c:v>
                </c:pt>
                <c:pt idx="157">
                  <c:v>-6.2290007172793871E-4</c:v>
                </c:pt>
                <c:pt idx="158">
                  <c:v>0</c:v>
                </c:pt>
                <c:pt idx="159">
                  <c:v>0</c:v>
                </c:pt>
                <c:pt idx="160">
                  <c:v>-2.8794037940378381E-3</c:v>
                </c:pt>
                <c:pt idx="161">
                  <c:v>-1.0162601626016121E-2</c:v>
                </c:pt>
                <c:pt idx="162">
                  <c:v>-3.6133694670278382E-3</c:v>
                </c:pt>
                <c:pt idx="163">
                  <c:v>-2.9170430593193908E-3</c:v>
                </c:pt>
                <c:pt idx="164">
                  <c:v>-9.8991267690452522E-3</c:v>
                </c:pt>
                <c:pt idx="165">
                  <c:v>-1.6467178560674145E-2</c:v>
                </c:pt>
                <c:pt idx="166">
                  <c:v>-7.5090334236671552E-3</c:v>
                </c:pt>
                <c:pt idx="167">
                  <c:v>-6.6997892201142717E-3</c:v>
                </c:pt>
                <c:pt idx="168">
                  <c:v>-5.5894308943086335E-3</c:v>
                </c:pt>
                <c:pt idx="169">
                  <c:v>0</c:v>
                </c:pt>
                <c:pt idx="170">
                  <c:v>-1.870312529228535E-5</c:v>
                </c:pt>
                <c:pt idx="171">
                  <c:v>-1.2344062692876134E-3</c:v>
                </c:pt>
                <c:pt idx="172">
                  <c:v>0</c:v>
                </c:pt>
                <c:pt idx="173">
                  <c:v>0</c:v>
                </c:pt>
                <c:pt idx="174">
                  <c:v>0</c:v>
                </c:pt>
                <c:pt idx="175">
                  <c:v>0</c:v>
                </c:pt>
                <c:pt idx="176">
                  <c:v>0</c:v>
                </c:pt>
                <c:pt idx="177">
                  <c:v>0</c:v>
                </c:pt>
                <c:pt idx="178">
                  <c:v>0</c:v>
                </c:pt>
                <c:pt idx="179">
                  <c:v>-2.716549071086094E-3</c:v>
                </c:pt>
                <c:pt idx="180">
                  <c:v>-7.2562854382031139E-3</c:v>
                </c:pt>
                <c:pt idx="181">
                  <c:v>-1.0483326952177907E-2</c:v>
                </c:pt>
                <c:pt idx="182">
                  <c:v>-6.6728655034731243E-3</c:v>
                </c:pt>
                <c:pt idx="183">
                  <c:v>-5.433098142172188E-3</c:v>
                </c:pt>
                <c:pt idx="184">
                  <c:v>-3.8651570675856117E-3</c:v>
                </c:pt>
                <c:pt idx="185">
                  <c:v>-7.7850097540519414E-3</c:v>
                </c:pt>
                <c:pt idx="186">
                  <c:v>-5.7430399824972556E-3</c:v>
                </c:pt>
                <c:pt idx="187">
                  <c:v>0</c:v>
                </c:pt>
                <c:pt idx="188">
                  <c:v>0</c:v>
                </c:pt>
                <c:pt idx="189">
                  <c:v>0</c:v>
                </c:pt>
                <c:pt idx="190">
                  <c:v>0</c:v>
                </c:pt>
                <c:pt idx="191">
                  <c:v>0</c:v>
                </c:pt>
                <c:pt idx="192">
                  <c:v>0</c:v>
                </c:pt>
                <c:pt idx="193">
                  <c:v>-8.6225326017245196E-3</c:v>
                </c:pt>
                <c:pt idx="194">
                  <c:v>-2.3694149504739359E-3</c:v>
                </c:pt>
                <c:pt idx="195">
                  <c:v>0</c:v>
                </c:pt>
                <c:pt idx="196">
                  <c:v>0</c:v>
                </c:pt>
                <c:pt idx="197">
                  <c:v>-1.4021173388095942E-2</c:v>
                </c:pt>
                <c:pt idx="198">
                  <c:v>-2.1598272138228847E-2</c:v>
                </c:pt>
                <c:pt idx="199">
                  <c:v>-2.8095457281450131E-2</c:v>
                </c:pt>
                <c:pt idx="200">
                  <c:v>-1.8075275289452297E-2</c:v>
                </c:pt>
                <c:pt idx="201">
                  <c:v>-1.9615479941932579E-2</c:v>
                </c:pt>
                <c:pt idx="202">
                  <c:v>-4.1833374641504051E-2</c:v>
                </c:pt>
                <c:pt idx="203">
                  <c:v>-4.6825762135750515E-2</c:v>
                </c:pt>
                <c:pt idx="204">
                  <c:v>-3.6150550578904483E-2</c:v>
                </c:pt>
                <c:pt idx="205">
                  <c:v>-3.5584038522819883E-2</c:v>
                </c:pt>
                <c:pt idx="206">
                  <c:v>-4.0470205006550297E-2</c:v>
                </c:pt>
                <c:pt idx="207">
                  <c:v>-2.4873419962468724E-2</c:v>
                </c:pt>
                <c:pt idx="208">
                  <c:v>-3.868215132953301E-2</c:v>
                </c:pt>
                <c:pt idx="209">
                  <c:v>-5.6580391601458779E-2</c:v>
                </c:pt>
                <c:pt idx="210">
                  <c:v>-8.4056226321566396E-2</c:v>
                </c:pt>
                <c:pt idx="211">
                  <c:v>-7.5611655985554083E-2</c:v>
                </c:pt>
                <c:pt idx="212">
                  <c:v>-8.1790178097227662E-2</c:v>
                </c:pt>
                <c:pt idx="213">
                  <c:v>-6.0563679495804323E-2</c:v>
                </c:pt>
                <c:pt idx="214">
                  <c:v>-5.6421060085684926E-2</c:v>
                </c:pt>
                <c:pt idx="215">
                  <c:v>-5.5925362036611026E-2</c:v>
                </c:pt>
                <c:pt idx="216">
                  <c:v>-4.0399390999540041E-2</c:v>
                </c:pt>
                <c:pt idx="217">
                  <c:v>-3.7372092199837392E-2</c:v>
                </c:pt>
                <c:pt idx="218">
                  <c:v>-2.0872428566370615E-2</c:v>
                </c:pt>
                <c:pt idx="219">
                  <c:v>-1.867719434904247E-2</c:v>
                </c:pt>
                <c:pt idx="220">
                  <c:v>-9.2943384201396029E-3</c:v>
                </c:pt>
                <c:pt idx="221">
                  <c:v>-1.0905357079630362E-2</c:v>
                </c:pt>
                <c:pt idx="222">
                  <c:v>-7.5062847431222046E-3</c:v>
                </c:pt>
                <c:pt idx="223">
                  <c:v>-1.5295825514286654E-2</c:v>
                </c:pt>
                <c:pt idx="224">
                  <c:v>-4.8330559784725002E-3</c:v>
                </c:pt>
                <c:pt idx="225">
                  <c:v>-7.2053252133271739E-3</c:v>
                </c:pt>
                <c:pt idx="226">
                  <c:v>-5.8421555783734203E-3</c:v>
                </c:pt>
                <c:pt idx="227">
                  <c:v>-1.1613497149736252E-2</c:v>
                </c:pt>
                <c:pt idx="228">
                  <c:v>-1.1524979640972988E-2</c:v>
                </c:pt>
                <c:pt idx="229">
                  <c:v>-2.08901320681254E-3</c:v>
                </c:pt>
                <c:pt idx="230">
                  <c:v>-2.2625075239882553E-2</c:v>
                </c:pt>
                <c:pt idx="231">
                  <c:v>-2.4625570937931718E-2</c:v>
                </c:pt>
                <c:pt idx="232">
                  <c:v>-2.6997840172786391E-2</c:v>
                </c:pt>
                <c:pt idx="233">
                  <c:v>-4.3373579293984554E-2</c:v>
                </c:pt>
                <c:pt idx="234">
                  <c:v>-3.2662960733633284E-2</c:v>
                </c:pt>
                <c:pt idx="235">
                  <c:v>-2.8449527316503409E-2</c:v>
                </c:pt>
                <c:pt idx="236">
                  <c:v>-1.8482455829763156E-2</c:v>
                </c:pt>
                <c:pt idx="237">
                  <c:v>-1.0214920511277037E-2</c:v>
                </c:pt>
                <c:pt idx="238">
                  <c:v>-5.045497999504267E-3</c:v>
                </c:pt>
                <c:pt idx="239">
                  <c:v>-3.5761073540345745E-3</c:v>
                </c:pt>
                <c:pt idx="240">
                  <c:v>-3.1689268137236049E-3</c:v>
                </c:pt>
                <c:pt idx="241">
                  <c:v>-6.125411606415665E-3</c:v>
                </c:pt>
                <c:pt idx="242">
                  <c:v>0</c:v>
                </c:pt>
                <c:pt idx="243">
                  <c:v>-4.7812532838278354E-3</c:v>
                </c:pt>
                <c:pt idx="244">
                  <c:v>-2.2943010263056784E-3</c:v>
                </c:pt>
                <c:pt idx="245">
                  <c:v>0</c:v>
                </c:pt>
                <c:pt idx="246">
                  <c:v>-2.205496236653226E-3</c:v>
                </c:pt>
                <c:pt idx="247">
                  <c:v>0</c:v>
                </c:pt>
                <c:pt idx="248">
                  <c:v>-1.450288310326564E-3</c:v>
                </c:pt>
                <c:pt idx="249">
                  <c:v>0</c:v>
                </c:pt>
                <c:pt idx="250">
                  <c:v>-8.9584495259341645E-3</c:v>
                </c:pt>
                <c:pt idx="251">
                  <c:v>-8.5401561628556388E-3</c:v>
                </c:pt>
                <c:pt idx="252">
                  <c:v>-1.0352760736196287E-2</c:v>
                </c:pt>
                <c:pt idx="253">
                  <c:v>-1.3594534300057637E-3</c:v>
                </c:pt>
                <c:pt idx="254">
                  <c:v>-1.0387618516453201E-2</c:v>
                </c:pt>
                <c:pt idx="255">
                  <c:v>-1.0283045175687455E-3</c:v>
                </c:pt>
                <c:pt idx="256">
                  <c:v>0</c:v>
                </c:pt>
                <c:pt idx="257">
                  <c:v>-1.7500086634092415E-3</c:v>
                </c:pt>
                <c:pt idx="258">
                  <c:v>0</c:v>
                </c:pt>
                <c:pt idx="259">
                  <c:v>0</c:v>
                </c:pt>
                <c:pt idx="260">
                  <c:v>-7.7697152245346235E-3</c:v>
                </c:pt>
                <c:pt idx="261">
                  <c:v>-3.4570098576125474E-3</c:v>
                </c:pt>
                <c:pt idx="262">
                  <c:v>-3.3714403066814613E-3</c:v>
                </c:pt>
                <c:pt idx="263">
                  <c:v>0</c:v>
                </c:pt>
                <c:pt idx="264">
                  <c:v>-1.6421765681932099E-3</c:v>
                </c:pt>
                <c:pt idx="265">
                  <c:v>-2.1724627516722661E-3</c:v>
                </c:pt>
                <c:pt idx="266">
                  <c:v>-1.1289963906327749E-2</c:v>
                </c:pt>
                <c:pt idx="267">
                  <c:v>-9.1517131664931028E-3</c:v>
                </c:pt>
                <c:pt idx="268">
                  <c:v>-9.4938332848666374E-3</c:v>
                </c:pt>
                <c:pt idx="269">
                  <c:v>-6.4318582254231371E-3</c:v>
                </c:pt>
                <c:pt idx="270">
                  <c:v>-4.8238936690674361E-3</c:v>
                </c:pt>
                <c:pt idx="271">
                  <c:v>-7.834550710754784E-3</c:v>
                </c:pt>
                <c:pt idx="272">
                  <c:v>-2.7284079440291764E-2</c:v>
                </c:pt>
                <c:pt idx="273">
                  <c:v>-2.3178638019808906E-2</c:v>
                </c:pt>
                <c:pt idx="274">
                  <c:v>-2.5282676747806154E-2</c:v>
                </c:pt>
                <c:pt idx="275">
                  <c:v>-1.3496638669836969E-2</c:v>
                </c:pt>
                <c:pt idx="276">
                  <c:v>0</c:v>
                </c:pt>
                <c:pt idx="277">
                  <c:v>0</c:v>
                </c:pt>
                <c:pt idx="278">
                  <c:v>0</c:v>
                </c:pt>
                <c:pt idx="279">
                  <c:v>0</c:v>
                </c:pt>
                <c:pt idx="280">
                  <c:v>-3.1064199345314236E-3</c:v>
                </c:pt>
                <c:pt idx="281">
                  <c:v>-2.6220856436635076E-3</c:v>
                </c:pt>
                <c:pt idx="282">
                  <c:v>-9.0353397020509485E-3</c:v>
                </c:pt>
                <c:pt idx="283">
                  <c:v>-2.1728238359275842E-2</c:v>
                </c:pt>
                <c:pt idx="284">
                  <c:v>-1.7719954572783858E-2</c:v>
                </c:pt>
                <c:pt idx="285">
                  <c:v>-1.4129200347384741E-2</c:v>
                </c:pt>
                <c:pt idx="286">
                  <c:v>-1.3795176698510381E-2</c:v>
                </c:pt>
                <c:pt idx="287">
                  <c:v>-8.5009018638522171E-3</c:v>
                </c:pt>
                <c:pt idx="288">
                  <c:v>-5.4278842942083738E-3</c:v>
                </c:pt>
                <c:pt idx="289">
                  <c:v>-2.05424544057764E-3</c:v>
                </c:pt>
                <c:pt idx="290">
                  <c:v>0</c:v>
                </c:pt>
                <c:pt idx="291">
                  <c:v>-3.0300507783234121E-3</c:v>
                </c:pt>
                <c:pt idx="292">
                  <c:v>0</c:v>
                </c:pt>
                <c:pt idx="293">
                  <c:v>0</c:v>
                </c:pt>
                <c:pt idx="294">
                  <c:v>0</c:v>
                </c:pt>
                <c:pt idx="295">
                  <c:v>0</c:v>
                </c:pt>
                <c:pt idx="296">
                  <c:v>-1.6456571108843798E-3</c:v>
                </c:pt>
                <c:pt idx="297">
                  <c:v>0</c:v>
                </c:pt>
                <c:pt idx="298">
                  <c:v>-5.1496355769072855E-3</c:v>
                </c:pt>
                <c:pt idx="299">
                  <c:v>-8.24270742501787E-3</c:v>
                </c:pt>
                <c:pt idx="300">
                  <c:v>-5.7583784406312066E-4</c:v>
                </c:pt>
                <c:pt idx="301">
                  <c:v>-5.7254734209704061E-3</c:v>
                </c:pt>
                <c:pt idx="302">
                  <c:v>-5.9229035389348761E-3</c:v>
                </c:pt>
                <c:pt idx="303">
                  <c:v>-1.6781560026983833E-3</c:v>
                </c:pt>
                <c:pt idx="304">
                  <c:v>-5.7912834602921182E-3</c:v>
                </c:pt>
                <c:pt idx="305">
                  <c:v>-3.5422253664796788E-2</c:v>
                </c:pt>
                <c:pt idx="306">
                  <c:v>-3.5718398841743326E-2</c:v>
                </c:pt>
                <c:pt idx="307">
                  <c:v>-2.7409881377404299E-2</c:v>
                </c:pt>
                <c:pt idx="308">
                  <c:v>-2.1585692897451492E-2</c:v>
                </c:pt>
                <c:pt idx="309">
                  <c:v>-1.0710583899574022E-2</c:v>
                </c:pt>
                <c:pt idx="310">
                  <c:v>-1.0644773860252532E-2</c:v>
                </c:pt>
                <c:pt idx="311">
                  <c:v>-2.1059212582879905E-2</c:v>
                </c:pt>
                <c:pt idx="312">
                  <c:v>-3.2230466757704024E-2</c:v>
                </c:pt>
                <c:pt idx="313">
                  <c:v>-3.5751303861404127E-2</c:v>
                </c:pt>
                <c:pt idx="314">
                  <c:v>-3.812046527697821E-2</c:v>
                </c:pt>
                <c:pt idx="315">
                  <c:v>-2.6093680590974166E-2</c:v>
                </c:pt>
                <c:pt idx="316">
                  <c:v>-2.0483374738816562E-2</c:v>
                </c:pt>
                <c:pt idx="317">
                  <c:v>-3.1555913854658835E-2</c:v>
                </c:pt>
                <c:pt idx="318">
                  <c:v>-3.0140998009246633E-2</c:v>
                </c:pt>
                <c:pt idx="319">
                  <c:v>-4.4948256856583879E-2</c:v>
                </c:pt>
                <c:pt idx="320">
                  <c:v>-4.3467530971850299E-2</c:v>
                </c:pt>
                <c:pt idx="321">
                  <c:v>-4.2151330185420277E-2</c:v>
                </c:pt>
                <c:pt idx="322">
                  <c:v>-2.4728122275053832E-2</c:v>
                </c:pt>
                <c:pt idx="323">
                  <c:v>-2.6603708395716574E-2</c:v>
                </c:pt>
                <c:pt idx="324">
                  <c:v>-1.6830917556474034E-2</c:v>
                </c:pt>
                <c:pt idx="325">
                  <c:v>-7.831394679259307E-3</c:v>
                </c:pt>
                <c:pt idx="326">
                  <c:v>-2.2539938467621701E-3</c:v>
                </c:pt>
                <c:pt idx="327">
                  <c:v>0</c:v>
                </c:pt>
                <c:pt idx="328">
                  <c:v>-2.9192291922919278E-3</c:v>
                </c:pt>
                <c:pt idx="329">
                  <c:v>-1.7023370233702373E-2</c:v>
                </c:pt>
                <c:pt idx="330">
                  <c:v>-8.5772857728577678E-3</c:v>
                </c:pt>
                <c:pt idx="331">
                  <c:v>-1.3021730217302241E-2</c:v>
                </c:pt>
                <c:pt idx="332">
                  <c:v>-7.7244772447724319E-3</c:v>
                </c:pt>
                <c:pt idx="333">
                  <c:v>-1.3005330053300401E-2</c:v>
                </c:pt>
                <c:pt idx="334">
                  <c:v>-1.9647396473964629E-2</c:v>
                </c:pt>
                <c:pt idx="335">
                  <c:v>-1.3070930709306983E-2</c:v>
                </c:pt>
                <c:pt idx="336">
                  <c:v>-9.0692906929068506E-3</c:v>
                </c:pt>
                <c:pt idx="337">
                  <c:v>-5.6252562525623828E-3</c:v>
                </c:pt>
                <c:pt idx="338">
                  <c:v>-1.4727347273472802E-2</c:v>
                </c:pt>
                <c:pt idx="339">
                  <c:v>-8.0360803608036102E-3</c:v>
                </c:pt>
                <c:pt idx="340">
                  <c:v>-7.2816728167284239E-3</c:v>
                </c:pt>
                <c:pt idx="341">
                  <c:v>-1.0479704797048073E-2</c:v>
                </c:pt>
                <c:pt idx="342">
                  <c:v>-3.2800328003457224E-5</c:v>
                </c:pt>
                <c:pt idx="343">
                  <c:v>-8.2000820008421016E-5</c:v>
                </c:pt>
                <c:pt idx="344">
                  <c:v>0</c:v>
                </c:pt>
                <c:pt idx="345">
                  <c:v>0</c:v>
                </c:pt>
                <c:pt idx="346">
                  <c:v>-4.1603445744211598E-3</c:v>
                </c:pt>
                <c:pt idx="347">
                  <c:v>-2.1193284714404514E-2</c:v>
                </c:pt>
                <c:pt idx="348">
                  <c:v>-2.5647300670549544E-2</c:v>
                </c:pt>
                <c:pt idx="349">
                  <c:v>-3.0492878468993179E-2</c:v>
                </c:pt>
                <c:pt idx="350">
                  <c:v>-3.0003426166120284E-2</c:v>
                </c:pt>
                <c:pt idx="351">
                  <c:v>-4.5486434013672139E-2</c:v>
                </c:pt>
                <c:pt idx="352">
                  <c:v>-3.0590768929567802E-2</c:v>
                </c:pt>
                <c:pt idx="353">
                  <c:v>-4.7574763839263845E-2</c:v>
                </c:pt>
                <c:pt idx="354">
                  <c:v>-5.8848481882107229E-2</c:v>
                </c:pt>
                <c:pt idx="355">
                  <c:v>-4.8733134289396851E-2</c:v>
                </c:pt>
                <c:pt idx="356">
                  <c:v>-6.561923873851816E-2</c:v>
                </c:pt>
                <c:pt idx="357">
                  <c:v>-6.0382099097776254E-2</c:v>
                </c:pt>
                <c:pt idx="358">
                  <c:v>-8.5409426851353221E-2</c:v>
                </c:pt>
                <c:pt idx="359">
                  <c:v>-9.3012252622648672E-2</c:v>
                </c:pt>
                <c:pt idx="360">
                  <c:v>-8.8199304977729875E-2</c:v>
                </c:pt>
                <c:pt idx="361">
                  <c:v>-0.10035403716574509</c:v>
                </c:pt>
                <c:pt idx="362">
                  <c:v>-8.1771164733330348E-2</c:v>
                </c:pt>
                <c:pt idx="363">
                  <c:v>-7.4690421418432851E-2</c:v>
                </c:pt>
                <c:pt idx="364">
                  <c:v>-8.4691563473806242E-2</c:v>
                </c:pt>
                <c:pt idx="365">
                  <c:v>-7.4723051571957799E-2</c:v>
                </c:pt>
                <c:pt idx="366">
                  <c:v>-7.7398724160997134E-2</c:v>
                </c:pt>
                <c:pt idx="367">
                  <c:v>-7.9862300752124971E-2</c:v>
                </c:pt>
                <c:pt idx="368">
                  <c:v>-6.3384073222064297E-2</c:v>
                </c:pt>
                <c:pt idx="369">
                  <c:v>-6.113259262884807E-2</c:v>
                </c:pt>
                <c:pt idx="370">
                  <c:v>-7.2341050364641668E-2</c:v>
                </c:pt>
                <c:pt idx="371">
                  <c:v>-7.4804626955769504E-2</c:v>
                </c:pt>
                <c:pt idx="372">
                  <c:v>-9.3436444618471781E-2</c:v>
                </c:pt>
                <c:pt idx="373">
                  <c:v>-8.7350920986083103E-2</c:v>
                </c:pt>
                <c:pt idx="374">
                  <c:v>-8.4773138857618058E-2</c:v>
                </c:pt>
                <c:pt idx="375">
                  <c:v>-7.8981286606953138E-2</c:v>
                </c:pt>
                <c:pt idx="376">
                  <c:v>-0.12436983016005054</c:v>
                </c:pt>
                <c:pt idx="377">
                  <c:v>-0.17563180134762502</c:v>
                </c:pt>
                <c:pt idx="378">
                  <c:v>-0.17710015825624426</c:v>
                </c:pt>
                <c:pt idx="379">
                  <c:v>-0.18998906889856881</c:v>
                </c:pt>
                <c:pt idx="380">
                  <c:v>-0.10492225865922655</c:v>
                </c:pt>
                <c:pt idx="381">
                  <c:v>-0.14414370319612313</c:v>
                </c:pt>
                <c:pt idx="382">
                  <c:v>-0.12887279134648288</c:v>
                </c:pt>
                <c:pt idx="383">
                  <c:v>-0.12042158158354099</c:v>
                </c:pt>
                <c:pt idx="384">
                  <c:v>-0.12288515817466883</c:v>
                </c:pt>
                <c:pt idx="385">
                  <c:v>-0.14238167490578024</c:v>
                </c:pt>
                <c:pt idx="386">
                  <c:v>-0.14115804414859745</c:v>
                </c:pt>
                <c:pt idx="387">
                  <c:v>-0.16160083533192993</c:v>
                </c:pt>
                <c:pt idx="388">
                  <c:v>-0.13978757770055272</c:v>
                </c:pt>
                <c:pt idx="389">
                  <c:v>-0.12645815998564247</c:v>
                </c:pt>
                <c:pt idx="390">
                  <c:v>-0.10807106847437675</c:v>
                </c:pt>
                <c:pt idx="391">
                  <c:v>-0.10162661315321453</c:v>
                </c:pt>
                <c:pt idx="392">
                  <c:v>-0.10128399654120324</c:v>
                </c:pt>
                <c:pt idx="393">
                  <c:v>-9.5622664904637888E-2</c:v>
                </c:pt>
                <c:pt idx="394">
                  <c:v>-9.5263733215864566E-2</c:v>
                </c:pt>
                <c:pt idx="395">
                  <c:v>-8.8851908048227179E-2</c:v>
                </c:pt>
                <c:pt idx="396">
                  <c:v>-7.5326709412167459E-2</c:v>
                </c:pt>
                <c:pt idx="397">
                  <c:v>-8.0629109359959261E-2</c:v>
                </c:pt>
                <c:pt idx="398">
                  <c:v>-8.8313510515066751E-2</c:v>
                </c:pt>
                <c:pt idx="399">
                  <c:v>-8.4479467475894188E-2</c:v>
                </c:pt>
                <c:pt idx="400">
                  <c:v>-7.810027246178175E-2</c:v>
                </c:pt>
                <c:pt idx="401">
                  <c:v>-7.9274957988677008E-2</c:v>
                </c:pt>
                <c:pt idx="402">
                  <c:v>-4.8847339826733616E-2</c:v>
                </c:pt>
                <c:pt idx="403">
                  <c:v>-4.2566035273195579E-2</c:v>
                </c:pt>
                <c:pt idx="404">
                  <c:v>-4.1342404516012898E-2</c:v>
                </c:pt>
                <c:pt idx="405">
                  <c:v>-3.6659977485193673E-2</c:v>
                </c:pt>
                <c:pt idx="406">
                  <c:v>-3.055813877604252E-2</c:v>
                </c:pt>
                <c:pt idx="407">
                  <c:v>-2.9497658786484138E-2</c:v>
                </c:pt>
                <c:pt idx="408">
                  <c:v>-3.2760674138971435E-2</c:v>
                </c:pt>
                <c:pt idx="409">
                  <c:v>-4.9059435824645115E-2</c:v>
                </c:pt>
                <c:pt idx="410">
                  <c:v>-4.8684189059109095E-2</c:v>
                </c:pt>
                <c:pt idx="411">
                  <c:v>-5.5177589610558742E-2</c:v>
                </c:pt>
                <c:pt idx="412">
                  <c:v>-3.5534237188585505E-2</c:v>
                </c:pt>
                <c:pt idx="413">
                  <c:v>-4.1113993441338703E-2</c:v>
                </c:pt>
                <c:pt idx="414">
                  <c:v>-3.7328895632453563E-2</c:v>
                </c:pt>
                <c:pt idx="415">
                  <c:v>-3.8405690698774198E-2</c:v>
                </c:pt>
                <c:pt idx="416">
                  <c:v>-3.2989085213645408E-2</c:v>
                </c:pt>
                <c:pt idx="417">
                  <c:v>-2.7474589267941996E-2</c:v>
                </c:pt>
                <c:pt idx="418">
                  <c:v>-2.7735630496141028E-2</c:v>
                </c:pt>
                <c:pt idx="419">
                  <c:v>-3.2434372603722617E-2</c:v>
                </c:pt>
                <c:pt idx="420">
                  <c:v>-2.2498490855399123E-2</c:v>
                </c:pt>
                <c:pt idx="421">
                  <c:v>-2.1617476710227623E-2</c:v>
                </c:pt>
                <c:pt idx="422">
                  <c:v>-1.6070350610999373E-2</c:v>
                </c:pt>
                <c:pt idx="423">
                  <c:v>-1.887654381413828E-2</c:v>
                </c:pt>
                <c:pt idx="424">
                  <c:v>-1.4977240467916042E-2</c:v>
                </c:pt>
                <c:pt idx="425">
                  <c:v>-2.5989917282560504E-2</c:v>
                </c:pt>
                <c:pt idx="426">
                  <c:v>-1.6722953681496788E-2</c:v>
                </c:pt>
                <c:pt idx="427">
                  <c:v>-2.5125218214151479E-2</c:v>
                </c:pt>
                <c:pt idx="428">
                  <c:v>-2.5272053905013192E-2</c:v>
                </c:pt>
                <c:pt idx="429">
                  <c:v>-3.0427618161943282E-2</c:v>
                </c:pt>
                <c:pt idx="430">
                  <c:v>-2.0850668102393333E-2</c:v>
                </c:pt>
                <c:pt idx="431">
                  <c:v>-1.0033772208898228E-2</c:v>
                </c:pt>
                <c:pt idx="432">
                  <c:v>-9.4790595989754367E-3</c:v>
                </c:pt>
                <c:pt idx="433">
                  <c:v>-1.729398136818272E-3</c:v>
                </c:pt>
                <c:pt idx="434">
                  <c:v>0</c:v>
                </c:pt>
                <c:pt idx="435">
                  <c:v>0</c:v>
                </c:pt>
                <c:pt idx="436">
                  <c:v>-3.2370316419849665E-4</c:v>
                </c:pt>
                <c:pt idx="437">
                  <c:v>0</c:v>
                </c:pt>
                <c:pt idx="438">
                  <c:v>0</c:v>
                </c:pt>
                <c:pt idx="439">
                  <c:v>-7.4519461412992927E-3</c:v>
                </c:pt>
                <c:pt idx="440">
                  <c:v>-7.9956503662007572E-3</c:v>
                </c:pt>
                <c:pt idx="441">
                  <c:v>-2.0468864937477349E-3</c:v>
                </c:pt>
                <c:pt idx="442">
                  <c:v>0</c:v>
                </c:pt>
                <c:pt idx="443">
                  <c:v>-3.5153878111917614E-3</c:v>
                </c:pt>
                <c:pt idx="444">
                  <c:v>-1.6138825860473327E-3</c:v>
                </c:pt>
                <c:pt idx="445">
                  <c:v>-5.8802850659935846E-3</c:v>
                </c:pt>
                <c:pt idx="446">
                  <c:v>-2.5566456808666649E-3</c:v>
                </c:pt>
                <c:pt idx="447">
                  <c:v>0</c:v>
                </c:pt>
                <c:pt idx="448">
                  <c:v>-7.3243742436790438E-4</c:v>
                </c:pt>
                <c:pt idx="449">
                  <c:v>0</c:v>
                </c:pt>
                <c:pt idx="450">
                  <c:v>0</c:v>
                </c:pt>
                <c:pt idx="451">
                  <c:v>0</c:v>
                </c:pt>
                <c:pt idx="452">
                  <c:v>0</c:v>
                </c:pt>
                <c:pt idx="453">
                  <c:v>0</c:v>
                </c:pt>
                <c:pt idx="454">
                  <c:v>-2.5113796892162199E-4</c:v>
                </c:pt>
                <c:pt idx="455">
                  <c:v>-2.8880866425995411E-3</c:v>
                </c:pt>
                <c:pt idx="456">
                  <c:v>-4.1437764872078731E-3</c:v>
                </c:pt>
                <c:pt idx="457">
                  <c:v>-7.8794537749177218E-3</c:v>
                </c:pt>
                <c:pt idx="458">
                  <c:v>-2.4140637262596298E-2</c:v>
                </c:pt>
                <c:pt idx="459">
                  <c:v>-9.3078009731600853E-3</c:v>
                </c:pt>
                <c:pt idx="460">
                  <c:v>-1.4330560351593524E-2</c:v>
                </c:pt>
                <c:pt idx="461">
                  <c:v>-6.7807251608857921E-3</c:v>
                </c:pt>
                <c:pt idx="462">
                  <c:v>-7.6126196829389148E-3</c:v>
                </c:pt>
                <c:pt idx="463">
                  <c:v>0</c:v>
                </c:pt>
                <c:pt idx="464">
                  <c:v>-1.9774631972127032E-3</c:v>
                </c:pt>
                <c:pt idx="465">
                  <c:v>0</c:v>
                </c:pt>
                <c:pt idx="466">
                  <c:v>0</c:v>
                </c:pt>
                <c:pt idx="467">
                  <c:v>0</c:v>
                </c:pt>
                <c:pt idx="468">
                  <c:v>-2.3412667648653462E-3</c:v>
                </c:pt>
                <c:pt idx="469">
                  <c:v>-2.558337855647741E-3</c:v>
                </c:pt>
                <c:pt idx="470">
                  <c:v>-7.9696100472904652E-3</c:v>
                </c:pt>
                <c:pt idx="471">
                  <c:v>-1.0605473292503165E-2</c:v>
                </c:pt>
                <c:pt idx="472">
                  <c:v>-1.4574773238235528E-2</c:v>
                </c:pt>
                <c:pt idx="473">
                  <c:v>0</c:v>
                </c:pt>
                <c:pt idx="474">
                  <c:v>-4.4009855728253111E-3</c:v>
                </c:pt>
                <c:pt idx="475">
                  <c:v>-2.3244642109976343E-4</c:v>
                </c:pt>
                <c:pt idx="476">
                  <c:v>0</c:v>
                </c:pt>
                <c:pt idx="477">
                  <c:v>0</c:v>
                </c:pt>
                <c:pt idx="478">
                  <c:v>-5.9637551624237561E-3</c:v>
                </c:pt>
                <c:pt idx="479">
                  <c:v>-1.3329840350120192E-2</c:v>
                </c:pt>
                <c:pt idx="480">
                  <c:v>-7.9824939900140501E-3</c:v>
                </c:pt>
                <c:pt idx="481">
                  <c:v>0</c:v>
                </c:pt>
                <c:pt idx="482">
                  <c:v>-2.896228740448592E-3</c:v>
                </c:pt>
                <c:pt idx="483">
                  <c:v>-4.4675868868604418E-4</c:v>
                </c:pt>
                <c:pt idx="484">
                  <c:v>0</c:v>
                </c:pt>
                <c:pt idx="485">
                  <c:v>0</c:v>
                </c:pt>
                <c:pt idx="486">
                  <c:v>0</c:v>
                </c:pt>
                <c:pt idx="487">
                  <c:v>-3.3453461672983131E-4</c:v>
                </c:pt>
                <c:pt idx="488">
                  <c:v>0</c:v>
                </c:pt>
                <c:pt idx="489">
                  <c:v>-1.3768894403171084E-3</c:v>
                </c:pt>
                <c:pt idx="490">
                  <c:v>-2.6176030019215979E-3</c:v>
                </c:pt>
                <c:pt idx="491">
                  <c:v>0</c:v>
                </c:pt>
                <c:pt idx="492">
                  <c:v>0</c:v>
                </c:pt>
                <c:pt idx="493">
                  <c:v>0</c:v>
                </c:pt>
                <c:pt idx="494">
                  <c:v>-5.4435846679864452E-3</c:v>
                </c:pt>
                <c:pt idx="495">
                  <c:v>-8.6077619818848428E-3</c:v>
                </c:pt>
                <c:pt idx="496">
                  <c:v>-1.3181572791074569E-2</c:v>
                </c:pt>
                <c:pt idx="497">
                  <c:v>-7.5280427088957325E-3</c:v>
                </c:pt>
                <c:pt idx="498">
                  <c:v>-4.7387679203408917E-3</c:v>
                </c:pt>
                <c:pt idx="499">
                  <c:v>-9.8974266690687873E-4</c:v>
                </c:pt>
                <c:pt idx="500">
                  <c:v>0</c:v>
                </c:pt>
                <c:pt idx="501">
                  <c:v>0</c:v>
                </c:pt>
                <c:pt idx="502">
                  <c:v>-1.4942769194004057E-5</c:v>
                </c:pt>
                <c:pt idx="503">
                  <c:v>0</c:v>
                </c:pt>
                <c:pt idx="504">
                  <c:v>-3.70750882208426E-3</c:v>
                </c:pt>
                <c:pt idx="505">
                  <c:v>0</c:v>
                </c:pt>
                <c:pt idx="506">
                  <c:v>-2.8970004902616475E-3</c:v>
                </c:pt>
                <c:pt idx="507">
                  <c:v>-2.9846533256079888E-2</c:v>
                </c:pt>
                <c:pt idx="508">
                  <c:v>-1.4960407659966535E-2</c:v>
                </c:pt>
                <c:pt idx="509">
                  <c:v>-1.616377709438277E-2</c:v>
                </c:pt>
                <c:pt idx="510">
                  <c:v>-1.1795991739834366E-2</c:v>
                </c:pt>
                <c:pt idx="511">
                  <c:v>-1.8525946724903597E-2</c:v>
                </c:pt>
                <c:pt idx="512">
                  <c:v>-1.2954791935938847E-2</c:v>
                </c:pt>
                <c:pt idx="513">
                  <c:v>-2.6890107114733164E-3</c:v>
                </c:pt>
                <c:pt idx="514">
                  <c:v>-2.7038671242439749E-3</c:v>
                </c:pt>
                <c:pt idx="515">
                  <c:v>-7.8887551811737122E-3</c:v>
                </c:pt>
                <c:pt idx="516">
                  <c:v>-2.0056157240269101E-3</c:v>
                </c:pt>
                <c:pt idx="517">
                  <c:v>0</c:v>
                </c:pt>
                <c:pt idx="518">
                  <c:v>0</c:v>
                </c:pt>
                <c:pt idx="519">
                  <c:v>0</c:v>
                </c:pt>
                <c:pt idx="520">
                  <c:v>0</c:v>
                </c:pt>
                <c:pt idx="521">
                  <c:v>-1.0998123336097287E-2</c:v>
                </c:pt>
                <c:pt idx="522">
                  <c:v>-7.7539679075923074E-3</c:v>
                </c:pt>
                <c:pt idx="523">
                  <c:v>-5.8918517871948684E-3</c:v>
                </c:pt>
                <c:pt idx="524">
                  <c:v>-1.7675555361585049E-2</c:v>
                </c:pt>
                <c:pt idx="525">
                  <c:v>-1.427137432898351E-2</c:v>
                </c:pt>
                <c:pt idx="526">
                  <c:v>-2.4847611981553497E-2</c:v>
                </c:pt>
                <c:pt idx="527">
                  <c:v>-2.388745835697359E-2</c:v>
                </c:pt>
                <c:pt idx="528">
                  <c:v>-8.6559304034101725E-3</c:v>
                </c:pt>
                <c:pt idx="529">
                  <c:v>-6.3864763816757764E-3</c:v>
                </c:pt>
                <c:pt idx="530">
                  <c:v>-5.8336606584327155E-3</c:v>
                </c:pt>
                <c:pt idx="531">
                  <c:v>-2.2330845662578924E-2</c:v>
                </c:pt>
                <c:pt idx="532">
                  <c:v>-2.2490871266675483E-2</c:v>
                </c:pt>
                <c:pt idx="533">
                  <c:v>-3.1597782917994199E-2</c:v>
                </c:pt>
                <c:pt idx="534">
                  <c:v>-3.9729993162542443E-2</c:v>
                </c:pt>
                <c:pt idx="535">
                  <c:v>-3.6020308703938242E-2</c:v>
                </c:pt>
                <c:pt idx="536">
                  <c:v>-5.0713568716449497E-2</c:v>
                </c:pt>
                <c:pt idx="537">
                  <c:v>-4.125751029255631E-2</c:v>
                </c:pt>
                <c:pt idx="538">
                  <c:v>-2.7146161567669358E-2</c:v>
                </c:pt>
                <c:pt idx="539">
                  <c:v>-1.7995606569778944E-2</c:v>
                </c:pt>
                <c:pt idx="540">
                  <c:v>-1.1216340068956998E-2</c:v>
                </c:pt>
                <c:pt idx="541">
                  <c:v>-5.8191128762425937E-3</c:v>
                </c:pt>
                <c:pt idx="542">
                  <c:v>-1.0358020919711386E-2</c:v>
                </c:pt>
                <c:pt idx="543">
                  <c:v>-8.5250003636951899E-3</c:v>
                </c:pt>
                <c:pt idx="544">
                  <c:v>-5.0917237667122972E-3</c:v>
                </c:pt>
                <c:pt idx="545">
                  <c:v>-4.3643346571821118E-3</c:v>
                </c:pt>
                <c:pt idx="546">
                  <c:v>-2.4731229724033188E-3</c:v>
                </c:pt>
                <c:pt idx="547">
                  <c:v>-5.4699661036681224E-3</c:v>
                </c:pt>
                <c:pt idx="548">
                  <c:v>-6.3282852529138456E-3</c:v>
                </c:pt>
                <c:pt idx="549">
                  <c:v>0</c:v>
                </c:pt>
                <c:pt idx="550">
                  <c:v>0</c:v>
                </c:pt>
                <c:pt idx="551">
                  <c:v>-1.0752064077078183E-2</c:v>
                </c:pt>
                <c:pt idx="552">
                  <c:v>-1.2246615493999968E-2</c:v>
                </c:pt>
                <c:pt idx="553">
                  <c:v>-1.4945514169218077E-2</c:v>
                </c:pt>
                <c:pt idx="554">
                  <c:v>-2.5784639493883987E-2</c:v>
                </c:pt>
                <c:pt idx="555">
                  <c:v>-1.8427964072725289E-2</c:v>
                </c:pt>
                <c:pt idx="556">
                  <c:v>-1.2449758405038147E-2</c:v>
                </c:pt>
                <c:pt idx="557">
                  <c:v>-6.2974302421755501E-3</c:v>
                </c:pt>
                <c:pt idx="558">
                  <c:v>-1.7557351596848569E-3</c:v>
                </c:pt>
                <c:pt idx="559">
                  <c:v>0</c:v>
                </c:pt>
                <c:pt idx="560">
                  <c:v>-1.0139343549930846E-4</c:v>
                </c:pt>
                <c:pt idx="561">
                  <c:v>-3.6646484544743396E-3</c:v>
                </c:pt>
                <c:pt idx="562">
                  <c:v>-4.8813696804658191E-3</c:v>
                </c:pt>
                <c:pt idx="563">
                  <c:v>-1.2254120918914313E-2</c:v>
                </c:pt>
                <c:pt idx="564">
                  <c:v>-1.0443523856426995E-2</c:v>
                </c:pt>
                <c:pt idx="565">
                  <c:v>-3.8529505489730553E-3</c:v>
                </c:pt>
                <c:pt idx="566">
                  <c:v>0</c:v>
                </c:pt>
                <c:pt idx="567">
                  <c:v>-3.223428397970407E-3</c:v>
                </c:pt>
                <c:pt idx="568">
                  <c:v>-3.3246122490278029E-3</c:v>
                </c:pt>
                <c:pt idx="569">
                  <c:v>0</c:v>
                </c:pt>
                <c:pt idx="570">
                  <c:v>0</c:v>
                </c:pt>
                <c:pt idx="571">
                  <c:v>-1.9995396743195393E-3</c:v>
                </c:pt>
                <c:pt idx="572">
                  <c:v>-6.9048852062834065E-3</c:v>
                </c:pt>
                <c:pt idx="573">
                  <c:v>-4.2004718338223279E-3</c:v>
                </c:pt>
                <c:pt idx="574">
                  <c:v>-5.0348121295816783E-3</c:v>
                </c:pt>
                <c:pt idx="575">
                  <c:v>-2.5289142068013026E-2</c:v>
                </c:pt>
                <c:pt idx="576">
                  <c:v>-1.4039933252776304E-2</c:v>
                </c:pt>
                <c:pt idx="577">
                  <c:v>-8.8900397030896583E-3</c:v>
                </c:pt>
                <c:pt idx="578">
                  <c:v>-8.5304102652624669E-3</c:v>
                </c:pt>
                <c:pt idx="579">
                  <c:v>-3.4955981356808996E-3</c:v>
                </c:pt>
                <c:pt idx="580">
                  <c:v>0</c:v>
                </c:pt>
                <c:pt idx="581">
                  <c:v>-1.0064846367319191E-4</c:v>
                </c:pt>
                <c:pt idx="582">
                  <c:v>-2.0848610332283579E-3</c:v>
                </c:pt>
                <c:pt idx="583">
                  <c:v>-5.0611798875612735E-3</c:v>
                </c:pt>
                <c:pt idx="584">
                  <c:v>-1.1502681562647332E-4</c:v>
                </c:pt>
                <c:pt idx="585">
                  <c:v>-8.5694977641662673E-3</c:v>
                </c:pt>
                <c:pt idx="586">
                  <c:v>-1.3371867316568031E-2</c:v>
                </c:pt>
                <c:pt idx="587">
                  <c:v>-2.5694114940545409E-2</c:v>
                </c:pt>
                <c:pt idx="588">
                  <c:v>-7.0022574012563732E-3</c:v>
                </c:pt>
                <c:pt idx="589">
                  <c:v>-2.2142662008077796E-3</c:v>
                </c:pt>
                <c:pt idx="590">
                  <c:v>-4.8455046082614972E-3</c:v>
                </c:pt>
                <c:pt idx="591">
                  <c:v>-5.0755582395143328E-3</c:v>
                </c:pt>
                <c:pt idx="592">
                  <c:v>-2.0446016477591145E-2</c:v>
                </c:pt>
                <c:pt idx="593">
                  <c:v>-1.9755855583832638E-2</c:v>
                </c:pt>
                <c:pt idx="594">
                  <c:v>-1.8174236868969573E-2</c:v>
                </c:pt>
                <c:pt idx="595">
                  <c:v>-1.3228083797034773E-2</c:v>
                </c:pt>
                <c:pt idx="596">
                  <c:v>-1.5830565500581817E-2</c:v>
                </c:pt>
                <c:pt idx="597">
                  <c:v>-8.7132812836987483E-3</c:v>
                </c:pt>
                <c:pt idx="598">
                  <c:v>-1.8835641058821295E-2</c:v>
                </c:pt>
                <c:pt idx="599">
                  <c:v>-1.1703978489984945E-2</c:v>
                </c:pt>
                <c:pt idx="600">
                  <c:v>-3.3645343570715136E-3</c:v>
                </c:pt>
                <c:pt idx="601">
                  <c:v>-8.9001998590918507E-3</c:v>
                </c:pt>
                <c:pt idx="602">
                  <c:v>-1.3659434355633771E-2</c:v>
                </c:pt>
                <c:pt idx="603">
                  <c:v>-1.3098678629455018E-2</c:v>
                </c:pt>
                <c:pt idx="604">
                  <c:v>-2.1797581561200929E-2</c:v>
                </c:pt>
                <c:pt idx="605">
                  <c:v>-1.4895972623617415E-2</c:v>
                </c:pt>
                <c:pt idx="606">
                  <c:v>-2.0388503069777686E-2</c:v>
                </c:pt>
                <c:pt idx="607">
                  <c:v>-3.322837136407375E-2</c:v>
                </c:pt>
                <c:pt idx="608">
                  <c:v>-2.4759522063580675E-2</c:v>
                </c:pt>
                <c:pt idx="609">
                  <c:v>-2.6326762426490236E-2</c:v>
                </c:pt>
                <c:pt idx="610">
                  <c:v>-2.7548922342520488E-2</c:v>
                </c:pt>
                <c:pt idx="611">
                  <c:v>-4.2315489798558925E-2</c:v>
                </c:pt>
                <c:pt idx="612">
                  <c:v>-4.7736128484952678E-2</c:v>
                </c:pt>
                <c:pt idx="613">
                  <c:v>-3.8045119268429017E-2</c:v>
                </c:pt>
                <c:pt idx="614">
                  <c:v>-3.551452932464827E-2</c:v>
                </c:pt>
                <c:pt idx="615">
                  <c:v>-4.8972666752936433E-2</c:v>
                </c:pt>
                <c:pt idx="616">
                  <c:v>-5.131633812132419E-2</c:v>
                </c:pt>
                <c:pt idx="617">
                  <c:v>-6.7463227364879086E-2</c:v>
                </c:pt>
                <c:pt idx="618">
                  <c:v>-5.7671569684682455E-2</c:v>
                </c:pt>
                <c:pt idx="619">
                  <c:v>-6.0834807114408362E-2</c:v>
                </c:pt>
                <c:pt idx="620">
                  <c:v>-5.5601087003407379E-2</c:v>
                </c:pt>
                <c:pt idx="621">
                  <c:v>-7.2466893844627234E-2</c:v>
                </c:pt>
                <c:pt idx="622">
                  <c:v>-8.8283080993256213E-2</c:v>
                </c:pt>
                <c:pt idx="623">
                  <c:v>-9.1331291607355647E-2</c:v>
                </c:pt>
                <c:pt idx="624">
                  <c:v>-6.4918259069145279E-2</c:v>
                </c:pt>
                <c:pt idx="625">
                  <c:v>-5.7872866612028728E-2</c:v>
                </c:pt>
                <c:pt idx="626">
                  <c:v>-5.7024543846784015E-2</c:v>
                </c:pt>
                <c:pt idx="627">
                  <c:v>-5.256725474126156E-2</c:v>
                </c:pt>
                <c:pt idx="628">
                  <c:v>-5.2150282534615733E-2</c:v>
                </c:pt>
                <c:pt idx="629">
                  <c:v>-2.8009029605026603E-2</c:v>
                </c:pt>
                <c:pt idx="630">
                  <c:v>-2.2401472343240081E-2</c:v>
                </c:pt>
                <c:pt idx="631">
                  <c:v>-2.304849818113841E-2</c:v>
                </c:pt>
                <c:pt idx="632">
                  <c:v>-1.3501272484147786E-2</c:v>
                </c:pt>
                <c:pt idx="633">
                  <c:v>-1.4809702511895395E-3</c:v>
                </c:pt>
                <c:pt idx="634">
                  <c:v>0</c:v>
                </c:pt>
                <c:pt idx="635">
                  <c:v>0</c:v>
                </c:pt>
                <c:pt idx="636">
                  <c:v>0</c:v>
                </c:pt>
                <c:pt idx="637">
                  <c:v>-1.999605711549779E-3</c:v>
                </c:pt>
                <c:pt idx="638">
                  <c:v>-8.5335285999943444E-3</c:v>
                </c:pt>
                <c:pt idx="639">
                  <c:v>0</c:v>
                </c:pt>
                <c:pt idx="640">
                  <c:v>-3.8807103387185071E-3</c:v>
                </c:pt>
                <c:pt idx="641">
                  <c:v>0</c:v>
                </c:pt>
                <c:pt idx="642">
                  <c:v>0</c:v>
                </c:pt>
                <c:pt idx="643">
                  <c:v>-4.8659759218087073E-3</c:v>
                </c:pt>
                <c:pt idx="644">
                  <c:v>-5.0197855055440499E-3</c:v>
                </c:pt>
                <c:pt idx="645">
                  <c:v>0</c:v>
                </c:pt>
                <c:pt idx="646">
                  <c:v>0</c:v>
                </c:pt>
                <c:pt idx="647">
                  <c:v>-3.6633594671476866E-3</c:v>
                </c:pt>
                <c:pt idx="648">
                  <c:v>0</c:v>
                </c:pt>
                <c:pt idx="649">
                  <c:v>0</c:v>
                </c:pt>
                <c:pt idx="650">
                  <c:v>-3.0661052287314083E-3</c:v>
                </c:pt>
                <c:pt idx="651">
                  <c:v>0</c:v>
                </c:pt>
                <c:pt idx="652">
                  <c:v>0</c:v>
                </c:pt>
                <c:pt idx="653">
                  <c:v>-1.5149465710807553E-3</c:v>
                </c:pt>
                <c:pt idx="654">
                  <c:v>0</c:v>
                </c:pt>
                <c:pt idx="655">
                  <c:v>0</c:v>
                </c:pt>
                <c:pt idx="656">
                  <c:v>-1.2029351617947825E-2</c:v>
                </c:pt>
                <c:pt idx="657">
                  <c:v>-1.2724380822540238E-2</c:v>
                </c:pt>
                <c:pt idx="658">
                  <c:v>-1.9300426373684898E-2</c:v>
                </c:pt>
                <c:pt idx="659">
                  <c:v>-9.2492347995775104E-3</c:v>
                </c:pt>
                <c:pt idx="660">
                  <c:v>-7.2844407019794222E-3</c:v>
                </c:pt>
                <c:pt idx="661">
                  <c:v>-3.381584399267501E-3</c:v>
                </c:pt>
                <c:pt idx="662">
                  <c:v>0</c:v>
                </c:pt>
                <c:pt idx="663">
                  <c:v>-1.7319708495977526E-4</c:v>
                </c:pt>
                <c:pt idx="664">
                  <c:v>0</c:v>
                </c:pt>
                <c:pt idx="665">
                  <c:v>0</c:v>
                </c:pt>
                <c:pt idx="666">
                  <c:v>0</c:v>
                </c:pt>
                <c:pt idx="667">
                  <c:v>0</c:v>
                </c:pt>
                <c:pt idx="668">
                  <c:v>-7.0171281119580931E-3</c:v>
                </c:pt>
                <c:pt idx="669">
                  <c:v>-3.2650052003105889E-3</c:v>
                </c:pt>
                <c:pt idx="670">
                  <c:v>-2.8990086496307188E-2</c:v>
                </c:pt>
                <c:pt idx="671">
                  <c:v>-2.6791474123517234E-2</c:v>
                </c:pt>
                <c:pt idx="672">
                  <c:v>-2.9648353673789374E-2</c:v>
                </c:pt>
                <c:pt idx="673">
                  <c:v>-4.4946482878470917E-2</c:v>
                </c:pt>
                <c:pt idx="674">
                  <c:v>-2.8713614281764888E-2</c:v>
                </c:pt>
                <c:pt idx="675">
                  <c:v>-2.3460642205458515E-2</c:v>
                </c:pt>
                <c:pt idx="676">
                  <c:v>-6.2403728425295402E-3</c:v>
                </c:pt>
                <c:pt idx="677">
                  <c:v>-1.2164777439867436E-2</c:v>
                </c:pt>
                <c:pt idx="678">
                  <c:v>-2.4500704345880142E-2</c:v>
                </c:pt>
                <c:pt idx="679">
                  <c:v>-1.6891135774188215E-2</c:v>
                </c:pt>
                <c:pt idx="680">
                  <c:v>-1.9984991508353644E-2</c:v>
                </c:pt>
                <c:pt idx="681">
                  <c:v>-3.4216727885514331E-2</c:v>
                </c:pt>
                <c:pt idx="682">
                  <c:v>-3.4664349566202124E-2</c:v>
                </c:pt>
                <c:pt idx="683">
                  <c:v>-3.3268823149940396E-2</c:v>
                </c:pt>
                <c:pt idx="684">
                  <c:v>-4.025962057479926E-2</c:v>
                </c:pt>
                <c:pt idx="685">
                  <c:v>-2.4448042971681794E-2</c:v>
                </c:pt>
                <c:pt idx="686">
                  <c:v>-1.6851639743539648E-2</c:v>
                </c:pt>
                <c:pt idx="687">
                  <c:v>-1.8181339442053357E-2</c:v>
                </c:pt>
                <c:pt idx="688">
                  <c:v>-1.9471543109918055E-2</c:v>
                </c:pt>
                <c:pt idx="689">
                  <c:v>-1.0914069802652082E-2</c:v>
                </c:pt>
                <c:pt idx="690">
                  <c:v>-1.561409744987341E-2</c:v>
                </c:pt>
                <c:pt idx="691">
                  <c:v>-1.8655291809840269E-2</c:v>
                </c:pt>
                <c:pt idx="692">
                  <c:v>-1.0347960030017478E-2</c:v>
                </c:pt>
                <c:pt idx="693">
                  <c:v>-6.0823887199339399E-3</c:v>
                </c:pt>
                <c:pt idx="694">
                  <c:v>-1.3691957291625978E-2</c:v>
                </c:pt>
                <c:pt idx="695">
                  <c:v>-1.0189975907421545E-2</c:v>
                </c:pt>
                <c:pt idx="696">
                  <c:v>-6.2667035296289919E-3</c:v>
                </c:pt>
                <c:pt idx="697">
                  <c:v>-1.1651329041431624E-2</c:v>
                </c:pt>
                <c:pt idx="698">
                  <c:v>-2.1433179298814165E-2</c:v>
                </c:pt>
                <c:pt idx="699">
                  <c:v>-2.3013020524770944E-2</c:v>
                </c:pt>
                <c:pt idx="700">
                  <c:v>-1.4863672867543865E-2</c:v>
                </c:pt>
                <c:pt idx="701">
                  <c:v>-1.600905775636241E-2</c:v>
                </c:pt>
                <c:pt idx="702">
                  <c:v>-2.8160669852680176E-2</c:v>
                </c:pt>
                <c:pt idx="703">
                  <c:v>-2.7173269086457119E-2</c:v>
                </c:pt>
                <c:pt idx="704">
                  <c:v>-2.6962623589662615E-2</c:v>
                </c:pt>
                <c:pt idx="705">
                  <c:v>-2.4632357781376291E-2</c:v>
                </c:pt>
                <c:pt idx="706">
                  <c:v>-3.9640849427965752E-2</c:v>
                </c:pt>
                <c:pt idx="707">
                  <c:v>-2.3539634266756093E-2</c:v>
                </c:pt>
                <c:pt idx="708">
                  <c:v>-1.6509340811248552E-2</c:v>
                </c:pt>
                <c:pt idx="709">
                  <c:v>-2.5014152744318174E-3</c:v>
                </c:pt>
                <c:pt idx="710">
                  <c:v>0</c:v>
                </c:pt>
                <c:pt idx="711">
                  <c:v>-1.9965514111989213E-3</c:v>
                </c:pt>
                <c:pt idx="712">
                  <c:v>-3.5911996162474313E-3</c:v>
                </c:pt>
                <c:pt idx="713">
                  <c:v>0</c:v>
                </c:pt>
                <c:pt idx="714">
                  <c:v>-2.9744199881021061E-4</c:v>
                </c:pt>
                <c:pt idx="715">
                  <c:v>-3.4917104208157523E-3</c:v>
                </c:pt>
                <c:pt idx="716">
                  <c:v>-9.9578408297318344E-4</c:v>
                </c:pt>
                <c:pt idx="717">
                  <c:v>0</c:v>
                </c:pt>
                <c:pt idx="718">
                  <c:v>-1.9797398056254911E-3</c:v>
                </c:pt>
                <c:pt idx="719">
                  <c:v>-6.6976911605903799E-3</c:v>
                </c:pt>
                <c:pt idx="720">
                  <c:v>-1.340823777446376E-2</c:v>
                </c:pt>
                <c:pt idx="721">
                  <c:v>-1.1338509795855378E-2</c:v>
                </c:pt>
                <c:pt idx="722">
                  <c:v>-1.9643132616855907E-2</c:v>
                </c:pt>
                <c:pt idx="723">
                  <c:v>-1.5632231192471702E-2</c:v>
                </c:pt>
                <c:pt idx="724">
                  <c:v>-1.8524708181210325E-2</c:v>
                </c:pt>
                <c:pt idx="725">
                  <c:v>-1.5387977580089252E-2</c:v>
                </c:pt>
                <c:pt idx="726">
                  <c:v>-1.5169434874273469E-2</c:v>
                </c:pt>
                <c:pt idx="727">
                  <c:v>-8.7159973260656498E-3</c:v>
                </c:pt>
                <c:pt idx="728">
                  <c:v>-1.0965701650640036E-2</c:v>
                </c:pt>
                <c:pt idx="729">
                  <c:v>-1.3922455905795106E-2</c:v>
                </c:pt>
                <c:pt idx="730">
                  <c:v>-2.0697279786085154E-2</c:v>
                </c:pt>
                <c:pt idx="731">
                  <c:v>-1.6352136576335496E-2</c:v>
                </c:pt>
                <c:pt idx="732">
                  <c:v>-6.0549184964261427E-3</c:v>
                </c:pt>
                <c:pt idx="733">
                  <c:v>-9.8858435748443441E-3</c:v>
                </c:pt>
                <c:pt idx="734">
                  <c:v>-1.5323700313672917E-2</c:v>
                </c:pt>
                <c:pt idx="735">
                  <c:v>-1.990024168252158E-2</c:v>
                </c:pt>
                <c:pt idx="736">
                  <c:v>-2.5775183832981718E-2</c:v>
                </c:pt>
                <c:pt idx="737">
                  <c:v>-1.7470561011981078E-2</c:v>
                </c:pt>
                <c:pt idx="738">
                  <c:v>-2.1854270581580515E-2</c:v>
                </c:pt>
                <c:pt idx="739">
                  <c:v>-2.6340823777446287E-2</c:v>
                </c:pt>
                <c:pt idx="740">
                  <c:v>-3.0634545174062833E-2</c:v>
                </c:pt>
                <c:pt idx="741">
                  <c:v>-1.9643132616855907E-2</c:v>
                </c:pt>
                <c:pt idx="742">
                  <c:v>-2.0812978865634602E-2</c:v>
                </c:pt>
                <c:pt idx="743">
                  <c:v>-5.6306885380777993E-3</c:v>
                </c:pt>
                <c:pt idx="744">
                  <c:v>-5.7849539774771364E-3</c:v>
                </c:pt>
                <c:pt idx="745">
                  <c:v>-1.2945441456265638E-2</c:v>
                </c:pt>
                <c:pt idx="746">
                  <c:v>-1.3755335013112435E-2</c:v>
                </c:pt>
                <c:pt idx="747">
                  <c:v>-8.3946109939836422E-3</c:v>
                </c:pt>
                <c:pt idx="748">
                  <c:v>-1.5773641178587816E-2</c:v>
                </c:pt>
                <c:pt idx="749">
                  <c:v>-1.7586260091530637E-2</c:v>
                </c:pt>
                <c:pt idx="750">
                  <c:v>-1.4449529490409674E-2</c:v>
                </c:pt>
                <c:pt idx="751">
                  <c:v>0</c:v>
                </c:pt>
              </c:numCache>
            </c:numRef>
          </c:val>
          <c:smooth val="0"/>
          <c:extLst>
            <c:ext xmlns:c16="http://schemas.microsoft.com/office/drawing/2014/chart" uri="{C3380CC4-5D6E-409C-BE32-E72D297353CC}">
              <c16:uniqueId val="{00000001-73B4-4692-B3FA-486F1581FEE0}"/>
            </c:ext>
          </c:extLst>
        </c:ser>
        <c:dLbls>
          <c:showLegendKey val="0"/>
          <c:showVal val="0"/>
          <c:showCatName val="0"/>
          <c:showSerName val="0"/>
          <c:showPercent val="0"/>
          <c:showBubbleSize val="0"/>
        </c:dLbls>
        <c:smooth val="0"/>
        <c:axId val="155986704"/>
        <c:axId val="773822064"/>
      </c:lineChart>
      <c:dateAx>
        <c:axId val="155986704"/>
        <c:scaling>
          <c:orientation val="minMax"/>
        </c:scaling>
        <c:delete val="0"/>
        <c:axPos val="b"/>
        <c:numFmt formatCode="m/d/yyyy" sourceLinked="1"/>
        <c:majorTickMark val="none"/>
        <c:minorTickMark val="none"/>
        <c:tickLblPos val="low"/>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73822064"/>
        <c:crosses val="autoZero"/>
        <c:auto val="1"/>
        <c:lblOffset val="100"/>
        <c:baseTimeUnit val="days"/>
        <c:majorUnit val="2"/>
        <c:majorTimeUnit val="months"/>
      </c:dateAx>
      <c:valAx>
        <c:axId val="7738220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55986704"/>
        <c:crosses val="autoZero"/>
        <c:crossBetween val="between"/>
      </c:valAx>
      <c:spPr>
        <a:noFill/>
        <a:ln>
          <a:noFill/>
        </a:ln>
        <a:effectLst/>
      </c:spPr>
    </c:plotArea>
    <c:legend>
      <c:legendPos val="r"/>
      <c:layout>
        <c:manualLayout>
          <c:xMode val="edge"/>
          <c:yMode val="edge"/>
          <c:x val="0.73334899121368724"/>
          <c:y val="0.46100116595837842"/>
          <c:w val="0.20043955024172397"/>
          <c:h val="0.117502737645340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Label"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7" Type="http://schemas.openxmlformats.org/officeDocument/2006/relationships/chart" Target="../charts/chart6.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2.sv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390525</xdr:colOff>
          <xdr:row>9</xdr:row>
          <xdr:rowOff>142875</xdr:rowOff>
        </xdr:from>
        <xdr:to>
          <xdr:col>4</xdr:col>
          <xdr:colOff>290513</xdr:colOff>
          <xdr:row>12</xdr:row>
          <xdr:rowOff>28575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&gt; Generate &lt;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13</xdr:col>
      <xdr:colOff>9244</xdr:colOff>
      <xdr:row>0</xdr:row>
      <xdr:rowOff>138114</xdr:rowOff>
    </xdr:from>
    <xdr:to>
      <xdr:col>22</xdr:col>
      <xdr:colOff>285750</xdr:colOff>
      <xdr:row>27</xdr:row>
      <xdr:rowOff>152401</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723900</xdr:colOff>
          <xdr:row>1</xdr:row>
          <xdr:rowOff>152400</xdr:rowOff>
        </xdr:from>
        <xdr:to>
          <xdr:col>14</xdr:col>
          <xdr:colOff>33338</xdr:colOff>
          <xdr:row>2</xdr:row>
          <xdr:rowOff>128588</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Refresh</a:t>
              </a:r>
            </a:p>
          </xdr:txBody>
        </xdr:sp>
        <xdr:clientData fPrintsWithSheet="0"/>
      </xdr:twoCellAnchor>
    </mc:Choice>
    <mc:Fallback/>
  </mc:AlternateContent>
  <xdr:twoCellAnchor>
    <xdr:from>
      <xdr:col>3</xdr:col>
      <xdr:colOff>283366</xdr:colOff>
      <xdr:row>6</xdr:row>
      <xdr:rowOff>23811</xdr:rowOff>
    </xdr:from>
    <xdr:to>
      <xdr:col>7</xdr:col>
      <xdr:colOff>500062</xdr:colOff>
      <xdr:row>18</xdr:row>
      <xdr:rowOff>109537</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500064</xdr:colOff>
      <xdr:row>6</xdr:row>
      <xdr:rowOff>23811</xdr:rowOff>
    </xdr:from>
    <xdr:to>
      <xdr:col>10</xdr:col>
      <xdr:colOff>614362</xdr:colOff>
      <xdr:row>18</xdr:row>
      <xdr:rowOff>147637</xdr:rowOff>
    </xdr:to>
    <xdr:graphicFrame macro="">
      <xdr:nvGraphicFramePr>
        <xdr:cNvPr id="4" name="Graphique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28575</xdr:colOff>
      <xdr:row>1</xdr:row>
      <xdr:rowOff>100014</xdr:rowOff>
    </xdr:from>
    <xdr:to>
      <xdr:col>1</xdr:col>
      <xdr:colOff>328613</xdr:colOff>
      <xdr:row>2</xdr:row>
      <xdr:rowOff>180977</xdr:rowOff>
    </xdr:to>
    <xdr:pic>
      <xdr:nvPicPr>
        <xdr:cNvPr id="12" name="Graphique 11" descr="Graphique à barres avec tendance à la hausse avec un remplissage uni">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4313" y="219077"/>
          <a:ext cx="300038" cy="300038"/>
        </a:xfrm>
        <a:prstGeom prst="rect">
          <a:avLst/>
        </a:prstGeom>
      </xdr:spPr>
    </xdr:pic>
    <xdr:clientData/>
  </xdr:twoCellAnchor>
  <xdr:twoCellAnchor>
    <xdr:from>
      <xdr:col>12</xdr:col>
      <xdr:colOff>0</xdr:colOff>
      <xdr:row>6</xdr:row>
      <xdr:rowOff>19051</xdr:rowOff>
    </xdr:from>
    <xdr:to>
      <xdr:col>16</xdr:col>
      <xdr:colOff>102391</xdr:colOff>
      <xdr:row>18</xdr:row>
      <xdr:rowOff>152401</xdr:rowOff>
    </xdr:to>
    <xdr:graphicFrame macro="">
      <xdr:nvGraphicFramePr>
        <xdr:cNvPr id="13" name="Graphique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xdr:col>
          <xdr:colOff>352425</xdr:colOff>
          <xdr:row>13</xdr:row>
          <xdr:rowOff>161925</xdr:rowOff>
        </xdr:from>
        <xdr:to>
          <xdr:col>2</xdr:col>
          <xdr:colOff>614363</xdr:colOff>
          <xdr:row>16</xdr:row>
          <xdr:rowOff>4763</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Aptos Narrow"/>
                </a:rPr>
                <a:t>Optimize Portfolio</a:t>
              </a:r>
            </a:p>
          </xdr:txBody>
        </xdr:sp>
        <xdr:clientData fPrintsWithSheet="0"/>
      </xdr:twoCellAnchor>
    </mc:Choice>
    <mc:Fallback/>
  </mc:AlternateContent>
  <xdr:twoCellAnchor>
    <xdr:from>
      <xdr:col>1</xdr:col>
      <xdr:colOff>9524</xdr:colOff>
      <xdr:row>20</xdr:row>
      <xdr:rowOff>23812</xdr:rowOff>
    </xdr:from>
    <xdr:to>
      <xdr:col>5</xdr:col>
      <xdr:colOff>738187</xdr:colOff>
      <xdr:row>35</xdr:row>
      <xdr:rowOff>0</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721519</xdr:colOff>
      <xdr:row>20</xdr:row>
      <xdr:rowOff>23813</xdr:rowOff>
    </xdr:from>
    <xdr:to>
      <xdr:col>9</xdr:col>
      <xdr:colOff>109538</xdr:colOff>
      <xdr:row>34</xdr:row>
      <xdr:rowOff>57150</xdr:rowOff>
    </xdr:to>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414338</xdr:colOff>
          <xdr:row>11</xdr:row>
          <xdr:rowOff>161925</xdr:rowOff>
        </xdr:from>
        <xdr:to>
          <xdr:col>3</xdr:col>
          <xdr:colOff>4763</xdr:colOff>
          <xdr:row>13</xdr:row>
          <xdr:rowOff>57150</xdr:rowOff>
        </xdr:to>
        <xdr:sp macro="" textlink="">
          <xdr:nvSpPr>
            <xdr:cNvPr id="13316" name="Label 4" hidden="1">
              <a:extLst>
                <a:ext uri="{63B3BB69-23CF-44E3-9099-C40C66FF867C}">
                  <a14:compatExt spid="_x0000_s13316"/>
                </a:ext>
                <a:ext uri="{FF2B5EF4-FFF2-40B4-BE49-F238E27FC236}">
                  <a16:creationId xmlns:a16="http://schemas.microsoft.com/office/drawing/2014/main" id="{00000000-0008-0000-0300-000004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50292" rIns="0" bIns="0" anchor="t" upright="1"/>
            <a:lstStyle/>
            <a:p>
              <a:pPr algn="l" rtl="0">
                <a:defRPr sz="1000"/>
              </a:pPr>
              <a:r>
                <a:rPr lang="en-US" sz="800" b="0" i="0" u="none" strike="noStrike" baseline="0">
                  <a:solidFill>
                    <a:srgbClr val="000000"/>
                  </a:solidFill>
                  <a:latin typeface="Segoe UI"/>
                  <a:cs typeface="Segoe UI"/>
                </a:rPr>
                <a:t>clic for details</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308F4ABF-E717-4719-BE28-856EA2380720}" autoFormatId="16" applyNumberFormats="0" applyBorderFormats="0" applyFontFormats="0" applyPatternFormats="0" applyAlignmentFormats="0" applyWidthHeightFormats="0">
  <queryTableRefresh nextId="13">
    <queryTableFields count="10">
      <queryTableField id="2" name="DATE" tableColumnId="2"/>
      <queryTableField id="4" name="SPY" tableColumnId="1"/>
      <queryTableField id="5" name="AAPL" tableColumnId="3"/>
      <queryTableField id="6" name="MSFT" tableColumnId="4"/>
      <queryTableField id="7" name="JPM" tableColumnId="5"/>
      <queryTableField id="8" name="XOM" tableColumnId="6"/>
      <queryTableField id="9" name="JNJ" tableColumnId="7"/>
      <queryTableField id="10" name="AMZN" tableColumnId="8"/>
      <queryTableField id="11" name="KO" tableColumnId="9"/>
      <queryTableField id="12" name="WM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7">
  <rv s="0">
    <v>https://www.bing.com/financeapi/forcetrigger?t=a1mou2&amp;q=XNAS%3aAAPL&amp;form=skydnc</v>
    <v>Learn more on Bing</v>
  </rv>
  <rv s="1">
    <v>en-US</v>
    <v>a1mou2</v>
    <v>268435456</v>
    <v>1</v>
    <v>Powered by Refinitiv</v>
    <v>0</v>
    <v>APPLE INC. (XNAS:AAPL)</v>
    <v>2</v>
    <v>3</v>
    <v>Finance</v>
    <v>4</v>
    <v>345.34</v>
    <v>243.42</v>
    <v>1.0716000000000001</v>
    <v>5.91</v>
    <v>1.7942E-2</v>
    <v>USD</v>
    <v>Apple Inc. designs, manufactures and markets smartphones, personal computers, tablets, wearables and accessories, and sells a variety of related services. Its product categories include iPhone, Mac, iPad, Wearables, Home and Accessories.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wearables include smartwatches, wireless headphones, and spatial computers. Its products include iPhone 16 Pro, iPhone 16, iPhone 15, iPhone 14, iPhone SE, MacBook Air, MacBook Pro, iMac, Mac mini, Mac Studio, Mac Pro, iPad Pro, iPad Air, AirPods, AirPods Pro, AirPods Max, Apple TV, Apple Vision Pro and others.</v>
    <v>166000</v>
    <v>Nasdaq Stock Market</v>
    <v>XNAS</v>
    <v>XNAS</v>
    <v>One Apple Park Way, CUPERTINO, CA, 95014 US</v>
    <v>339.5</v>
    <v>Computers, Phones &amp; Household Electronics</v>
    <v>Stock</v>
    <v>46295.810415138279</v>
    <v>0</v>
    <v>330.14010000000002</v>
    <v>4893574495800</v>
    <v>APPLE INC.</v>
    <v>APPLE INC.</v>
    <v>330.43</v>
    <v>38.583100000000002</v>
    <v>329.4</v>
    <v>335.31</v>
    <v>14594180000</v>
    <v>AAPL</v>
    <v>APPLE INC. (XNAS:AAPL)</v>
    <v>25507781</v>
    <v>40860762</v>
    <v>1977</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en-US</v>
    <v>a1xzim</v>
    <v>268435456</v>
    <v>1</v>
    <v>Powered by Refinitiv</v>
    <v>5</v>
    <v>MICROSOFT CORPORATION (XNAS:MSFT)</v>
    <v>7</v>
    <v>8</v>
    <v>Finance</v>
    <v>4</v>
    <v>553.72</v>
    <v>349.2</v>
    <v>1.1006</v>
    <v>8.2799999999999994</v>
    <v>1.6268000000000001E-2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223000</v>
    <v>Nasdaq Stock Market</v>
    <v>XNAS</v>
    <v>XNAS</v>
    <v>One Microsoft Way, REDMOND, WA, 98052 US</v>
    <v>519.8297</v>
    <v>6</v>
    <v>Software &amp; IT Services</v>
    <v>Stock</v>
    <v>46295.810419003908</v>
    <v>7</v>
    <v>510.33</v>
    <v>3840788895800</v>
    <v>MICROSOFT CORPORATION</v>
    <v>MICROSOFT CORPORATION</v>
    <v>511.83</v>
    <v>28.820900000000002</v>
    <v>508.96</v>
    <v>517.24</v>
    <v>7425545000</v>
    <v>MSFT</v>
    <v>MICROSOFT CORPORATION (XNAS:MSFT)</v>
    <v>12320961</v>
    <v>21848847</v>
    <v>1993</v>
  </rv>
  <rv s="2">
    <v>8</v>
  </rv>
  <rv s="6">
    <v>en-US</v>
    <v>cerdgh</v>
    <v>268435456</v>
    <v>1</v>
    <v>Powered by Refinitiv</v>
    <v>10</v>
    <v>JPMorgan Nsdq Eq Pm Ic Act ETF (NEOE:JEPQ)</v>
    <v>11</v>
    <v>12</v>
    <v>Finance</v>
    <v>13</v>
    <v>30.25</v>
    <v>25.61</v>
    <v>0.21</v>
    <v>6.9910000000000007E-3</v>
    <v>CAD</v>
    <v>NEO Exchange</v>
    <v>NEOE</v>
    <v>3.9000000000000003E-3</v>
    <v>30.25</v>
    <v>ETF</v>
    <v>46295.769979675781</v>
    <v>30.15</v>
    <v>240108865.77000001</v>
    <v>JPMorgan Nsdq Eq Pm Ic Act ETF</v>
    <v>30.17</v>
    <v>30.04</v>
    <v>30.25</v>
    <v>JEPQ</v>
    <v>JPMorgan Nsdq Eq Pm Ic Act ETF (NEOE:JEPQ)</v>
    <v>10925</v>
  </rv>
  <rv s="2">
    <v>10</v>
  </rv>
  <rv s="0">
    <v>https://www.bing.com/financeapi/forcetrigger?t=a269ec&amp;q=XNYS%3aXOM&amp;form=skydnc</v>
    <v>Learn more on Bing</v>
  </rv>
  <rv s="1">
    <v>en-US</v>
    <v>a269ec</v>
    <v>268435456</v>
    <v>1</v>
    <v>Powered by Refinitiv</v>
    <v>0</v>
    <v>EXXONMOBIL HOLDINGS CORPORATION (XNYS:XOM)</v>
    <v>2</v>
    <v>3</v>
    <v>Finance</v>
    <v>4</v>
    <v>176.41</v>
    <v>110.38500000000001</v>
    <v>0.2097</v>
    <v>1.8046</v>
    <v>1.1184000000000001E-2</v>
    <v>USD</v>
    <v>ExxonMobil Holdings Corporation is a holding company whose direct, wholly owned subsidiary and principal operating company is Exxon Mobil Corporation. Its principal business involves exploration and production of crude oil and natural gas; manufacture, trade, transport and sale of crude oil, natural gas, petroleum products, petrochemicals, and a wide variety of specialty products; and pursuit of lower-emission and other new business opportunities, including carbon capture and storage, hydrogen and ammonia, lower-emission fuels, Proxxima resin systems, carbon materials, low-carbon data centers, and lithium. Affiliates of the Company conduct research programs in support of these businesses. It operates or markets its products in the United States and most other countries of the world. Its Upstream businesses include unconventional, conventional, deepwater, heavy oil and liquefied natural gas. It also manufactures and distributes products derived from crude oil and other feedstocks.</v>
    <v>58000</v>
    <v>New York Stock Exchange</v>
    <v>XNYS</v>
    <v>XNYS</v>
    <v>22777 SPRINGWOODS VILLAGE PKWY, SPRING, TX, 77389-1425 US</v>
    <v>164.3699</v>
    <v>Oil &amp; Gas</v>
    <v>Stock</v>
    <v>46295.810413193751</v>
    <v>12</v>
    <v>161.93</v>
    <v>670877357595</v>
    <v>EXXONMOBIL HOLDINGS CORPORATION</v>
    <v>EXXONMOBIL HOLDINGS CORPORATION</v>
    <v>162.22</v>
    <v>21.040299999999998</v>
    <v>161.35</v>
    <v>163.15459999999999</v>
    <v>4111912000</v>
    <v>XOM</v>
    <v>EXXONMOBIL HOLDINGS CORPORATION (XNYS:XOM)</v>
    <v>5891765</v>
    <v>14364546</v>
    <v>2026</v>
  </rv>
  <rv s="2">
    <v>13</v>
  </rv>
  <rv s="0">
    <v>https://www.bing.com/financeapi/forcetrigger?t=a1w8ec&amp;q=XNYS%3aJNJ&amp;form=skydnc</v>
    <v>Learn more on Bing</v>
  </rv>
  <rv s="1">
    <v>en-US</v>
    <v>a1w8ec</v>
    <v>268435456</v>
    <v>1</v>
    <v>Powered by Refinitiv</v>
    <v>0</v>
    <v>JOHNSON &amp; JOHNSON (XNYS:JNJ)</v>
    <v>2</v>
    <v>3</v>
    <v>Finance</v>
    <v>4</v>
    <v>281.07</v>
    <v>181.07</v>
    <v>0.20469999999999999</v>
    <v>-2.2250000000000001</v>
    <v>-8.3160000000000005E-3</v>
    <v>USD</v>
    <v>Johnson &amp; Johnson and its subsidiaries are engaged in the research and development, manufacture, and sale of a range of products in the healthcare field. Its segments include Innovative Medicine and MedTech. The Innovative Medicine segment focuses on various therapeutic areas, oncology, immunology, neuroscience, pulmonary hypertension, infectious diseases and cardiovascular and metabolism. Its products include CARVYKTI (ciltacabtagene autoleucel), DARZALEX (daratumumab), DARZALEX FASPRO (daratumumab and hyaluronidase-fihj), ERLEADA (apalutamide), among others. The MedTech segment develops and manufactures a broad portfolio of products used in cardiovascular, orthopedics, surgery, and vision supporting physicians, hospitals, eye care professionals and healthcare systems across a range of acute and elective procedures. The Cardiovascular portfolio includes electrophysiology products. It is also focused on proprietary Firelink degrader antibody conjugate platform.</v>
    <v>138200</v>
    <v>New York Stock Exchange</v>
    <v>XNYS</v>
    <v>XNYS</v>
    <v>One Johnson &amp; Johnson Plaza, NEW BRUNSWICK, NJ, 08933 US</v>
    <v>268.48</v>
    <v>Pharmaceuticals</v>
    <v>Stock</v>
    <v>46295.810400995309</v>
    <v>15</v>
    <v>265.17500000000001</v>
    <v>639454650155</v>
    <v>JOHNSON &amp; JOHNSON</v>
    <v>JOHNSON &amp; JOHNSON</v>
    <v>268.19</v>
    <v>30.767499999999998</v>
    <v>267.57</v>
    <v>265.34500000000003</v>
    <v>2409899000</v>
    <v>JNJ</v>
    <v>JOHNSON &amp; JOHNSON (XNYS:JNJ)</v>
    <v>2229242</v>
    <v>6355619</v>
    <v>1887</v>
  </rv>
  <rv s="2">
    <v>16</v>
  </rv>
  <rv s="0">
    <v>https://www.bing.com/financeapi/forcetrigger?t=a1nhlh&amp;q=XNAS%3aAMZN&amp;form=skydnc</v>
    <v>Learn more on Bing</v>
  </rv>
  <rv s="1">
    <v>en-US</v>
    <v>a1nhlh</v>
    <v>268435456</v>
    <v>1</v>
    <v>Powered by Refinitiv</v>
    <v>0</v>
    <v>AMAZON.COM, INC. (XNAS:AMZN)</v>
    <v>2</v>
    <v>3</v>
    <v>Finance</v>
    <v>4</v>
    <v>287.2</v>
    <v>196</v>
    <v>1.4567000000000001</v>
    <v>3.2621000000000002</v>
    <v>1.3225000000000001E-2</v>
    <v>USD</v>
    <v>Amazon.com, Inc. offers a variety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1595000</v>
    <v>Nasdaq Stock Market</v>
    <v>XNAS</v>
    <v>XNAS</v>
    <v>410 Terry Avenue North, SEATTLE, WA, 98109 US</v>
    <v>252.44</v>
    <v>Diversified Retail</v>
    <v>Stock</v>
    <v>46295.810417187502</v>
    <v>18</v>
    <v>246.09</v>
    <v>2695845109551</v>
    <v>AMAZON.COM, INC.</v>
    <v>AMAZON.COM, INC.</v>
    <v>246.76</v>
    <v>20.103000000000002</v>
    <v>246.67</v>
    <v>249.93209999999999</v>
    <v>10786310000</v>
    <v>AMZN</v>
    <v>AMAZON.COM, INC. (XNAS:AMZN)</v>
    <v>23235947</v>
    <v>34251716</v>
    <v>1996</v>
  </rv>
  <rv s="2">
    <v>19</v>
  </rv>
  <rv s="0">
    <v>https://www.bing.com/financeapi/forcetrigger?t=a1wljc&amp;q=XNYS%3aKO&amp;form=skydnc</v>
    <v>Learn more on Bing</v>
  </rv>
  <rv s="1">
    <v>en-US</v>
    <v>a1wljc</v>
    <v>268435456</v>
    <v>1</v>
    <v>Powered by Refinitiv</v>
    <v>0</v>
    <v>THE COCA-COLA COMPANY (XNYS:KO)</v>
    <v>2</v>
    <v>3</v>
    <v>Finance</v>
    <v>4</v>
    <v>92.49</v>
    <v>65.84</v>
    <v>0.31719999999999998</v>
    <v>-0.55000000000000004</v>
    <v>-6.3330000000000001E-3</v>
    <v>USD</v>
    <v>The Coca-Cola Company is a beverage company. The Company's segments include Europe, Middle East and Africa (EMEA); Latin America; North America; Asia Pacific, and Bottling Investments. It sells multiple brands across several beverage categories worldwide. Its portfolio of sparkling soft drink brands includes Coca-Cola, Sprite and Fanta. Its water, sports, coffee and tea brands include Dasani, smartwater, vitaminwater, Topo Chico, BODYARMOR, Powerade, Costa, Georgia, Fuze Tea, Gold Peak and Ayataka. Its juice, value-added dairy and plant-based beverage brands include Minute Maid, Simply, innocent, Del Valle, fairlife and Santa Clara. It operates in two lines of business: concentrate operations and finished product operations. Its concentrate operations sell beverage concentrates, syrups, including fountain syrups, and certain finished beverages to authorized bottling operations. Its finished product operations sell sparkling soft drinks and a variety of other finished beverages.</v>
    <v>65900</v>
    <v>New York Stock Exchange</v>
    <v>XNYS</v>
    <v>XNYS</v>
    <v>1 Coca Cola Plz NW, ATLANTA, GA, 30313-2420 US</v>
    <v>87.515000000000001</v>
    <v>Beverages</v>
    <v>Stock</v>
    <v>46295.810417013279</v>
    <v>21</v>
    <v>86.1</v>
    <v>371266953210</v>
    <v>THE COCA-COLA COMPANY</v>
    <v>THE COCA-COLA COMPANY</v>
    <v>87.35</v>
    <v>25.995699999999999</v>
    <v>86.84</v>
    <v>86.29</v>
    <v>4302549000</v>
    <v>KO</v>
    <v>THE COCA-COLA COMPANY (XNYS:KO)</v>
    <v>6999399</v>
    <v>15406864</v>
    <v>1919</v>
  </rv>
  <rv s="2">
    <v>22</v>
  </rv>
  <rv s="0">
    <v>https://www.bing.com/financeapi/forcetrigger?t=a25ya2&amp;q=XNYS%3aWMT&amp;form=skydnc</v>
    <v>Learn more on Bing</v>
  </rv>
  <rv s="1">
    <v>en-US</v>
    <v>a25ya2</v>
    <v>268435456</v>
    <v>1</v>
    <v>Powered by Refinitiv</v>
    <v>0</v>
    <v>WALMART INC. (XNAS:WMT)</v>
    <v>2</v>
    <v>3</v>
    <v>Finance</v>
    <v>4</v>
    <v>135.155</v>
    <v>98.88</v>
    <v>0.57479999999999998</v>
    <v>-1.915</v>
    <v>-1.7930999999999999E-2</v>
    <v>USD</v>
    <v>Walmart Inc. is a technology-powered omnichannel retailer. The Company is engaged in the operation of retail and wholesale stores and clubs, as well as eCommerce websites and mobile applications, located throughout the United States (U.S.), Africa, Canada, Central America, Chile, China, India and Mexico. It operates in three reportable segments: Walmart U.S., Walmart International and Sam's Club U.S. The Walmart U.S. segment includes the Company's mass merchandising concept in the U.S., as well as eCommerce, which includes omnichannel initiatives and certain other business offerings such as advertising services. The Walmart International segment consists of the Company's operations outside of the U.S., as well as eCommerce, which includes omnichannel initiatives. The Sam's Club U.S. segment includes the warehouse membership clubs in the U.S., as well as eCommerce, which includes omnichannel initiatives.</v>
    <v>2100000</v>
    <v>Nasdaq Stock Market</v>
    <v>XNAS</v>
    <v>XNAS</v>
    <v>1 Customer Drive, BENTONVILLE, AR, 72716 US</v>
    <v>107.03</v>
    <v>Food &amp; Drug Retailing</v>
    <v>Stock</v>
    <v>46295.810393506254</v>
    <v>24</v>
    <v>104.44</v>
    <v>832130949210</v>
    <v>WALMART INC.</v>
    <v>WALMART INC.</v>
    <v>106.88</v>
    <v>38.000399999999999</v>
    <v>106.8</v>
    <v>104.88500000000001</v>
    <v>7933746000</v>
    <v>WMT</v>
    <v>WALMART INC. (XNAS:WMT)</v>
    <v>12660830</v>
    <v>23355993</v>
    <v>1969</v>
  </rv>
  <rv s="2">
    <v>25</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Expense ratio"/>
    <k n="High"/>
    <k n="Instrument type" t="s"/>
    <k n="Last trade time"/>
    <k n="Low"/>
    <k n="Market cap"/>
    <k n="Name" t="s"/>
    <k n="Open"/>
    <k n="Previous close"/>
    <k n="Price"/>
    <k n="Ticker symbol" t="s"/>
    <k n="UniqueName" t="s"/>
    <k n="Volume"/>
  </s>
</rvStructures>
</file>

<file path=xl/richData/rdsupportingpropertybag.xml><?xml version="1.0" encoding="utf-8"?>
<supportingPropertyBags xmlns="http://schemas.microsoft.com/office/spreadsheetml/2017/richdata2">
  <spbArrays count="3">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1">
      <v t="s">%EntityServiceId</v>
      <v t="s">_Format</v>
      <v t="s">%IsRefreshable</v>
      <v t="s">%EntityCulture</v>
      <v t="s">%EntityId</v>
      <v t="s">_Icon</v>
      <v t="s">_Display</v>
      <v t="s">Name</v>
      <v t="s">Price</v>
      <v t="s">Exchange</v>
      <v t="s">_SubLabel</v>
      <v t="s">Last trade time</v>
      <v t="s">Ticker symbol</v>
      <v t="s">Exchange abbreviation</v>
      <v t="s">Change</v>
      <v t="s">Expense ratio</v>
      <v t="s">Change (%)</v>
      <v t="s">Currency</v>
      <v t="s">Previous close</v>
      <v t="s">Open</v>
      <v t="s">High</v>
      <v t="s">Low</v>
      <v t="s">52 week high</v>
      <v t="s">52 week low</v>
      <v t="s">Volume</v>
      <v t="s">Market cap</v>
      <v t="s">Instrument type</v>
      <v t="s">_Flags</v>
      <v t="s">UniqueName</v>
      <v t="s">_DisplayString</v>
      <v t="s">%ProviderInfo</v>
    </a>
  </spbArrays>
  <spbData count="14">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9">
      <v>2</v>
      <v>Name</v>
    </spb>
    <spb s="10">
      <v>1</v>
      <v>1</v>
    </spb>
    <spb s="11">
      <v>11</v>
      <v>11</v>
      <v>3</v>
      <v>11</v>
      <v>11</v>
      <v>11</v>
      <v>4</v>
      <v>5</v>
      <v>12</v>
      <v>11</v>
      <v>11</v>
      <v>5</v>
      <v>11</v>
      <v>7</v>
      <v>9</v>
    </spb>
    <spb s="12">
      <v>from previous close</v>
      <v>from previous close</v>
      <v>GMT</v>
    </spb>
  </spbData>
</supportingPropertyBags>
</file>

<file path=xl/richData/rdsupportingpropertybagstructure.xml><?xml version="1.0" encoding="utf-8"?>
<spbStructures xmlns="http://schemas.microsoft.com/office/spreadsheetml/2017/richdata2" count="13">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Order" t="spba"/>
    <k n="TitleProperty" t="s"/>
  </s>
  <s>
    <k n="UniqueName" t="spb"/>
    <k n="`%ProviderInfo" t="spb"/>
  </s>
  <s>
    <k n="Low" t="i"/>
    <k n="High" t="i"/>
    <k n="Name" t="i"/>
    <k n="Open" t="i"/>
    <k n="Price" t="i"/>
    <k n="Change" t="i"/>
    <k n="Volume" t="i"/>
    <k n="Change (%)" t="i"/>
    <k n="Market cap" t="i"/>
    <k n="52 week low" t="i"/>
    <k n="52 week high" t="i"/>
    <k n="Expense ratio" t="i"/>
    <k n="Previous close" t="i"/>
    <k n="Last trade time" t="i"/>
    <k n="`%EntityServiceId" t="i"/>
  </s>
  <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1">
      <rpv i="0">_-[$$-en-CA]* #,##0.00_-;-[$$-en-CA]* #,##0.00_-;_-[$$-en-CA]* "-"??_-;_-@_-</rpv>
    </rSty>
    <rSty dxfid="1">
      <rpv i="0">_-[$$-en-CA]* #,##0_-;-[$$-en-CA]* #,##0_-;_-[$$-en-CA]* "-"_-;_-@_-</rpv>
    </rSty>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A43085-8AA4-4BF9-97E9-6B92F64AB8B1}" name="Data_Raw" displayName="Data_Raw" ref="A2:J754" tableType="queryTable" totalsRowShown="0" headerRowDxfId="17" dataDxfId="15" headerRowBorderDxfId="16">
  <autoFilter ref="A2:J754" xr:uid="{A9A43085-8AA4-4BF9-97E9-6B92F64AB8B1}"/>
  <sortState xmlns:xlrd2="http://schemas.microsoft.com/office/spreadsheetml/2017/richdata2" ref="A3:J754">
    <sortCondition ref="A2:A754"/>
  </sortState>
  <tableColumns count="10">
    <tableColumn id="2" xr3:uid="{2665737A-2250-42A9-A7A3-7A36E527A370}" uniqueName="2" name="Date" queryTableFieldId="2" dataDxfId="14"/>
    <tableColumn id="1" xr3:uid="{77D9417E-D1BA-41B0-8233-CD447761814B}" uniqueName="1" name="SPY" queryTableFieldId="4" dataDxfId="13"/>
    <tableColumn id="3" xr3:uid="{37A2B320-6701-41CE-9073-20DD446DC346}" uniqueName="3" name="AAPL" queryTableFieldId="5" dataDxfId="12"/>
    <tableColumn id="4" xr3:uid="{FDE2BDA0-5ACD-4505-9C6B-4D16485CFBB6}" uniqueName="4" name="MSFT" queryTableFieldId="6" dataDxfId="11"/>
    <tableColumn id="5" xr3:uid="{A937A95E-BB0B-411B-80A0-68FA5C07EB59}" uniqueName="5" name="JPM" queryTableFieldId="7" dataDxfId="10"/>
    <tableColumn id="6" xr3:uid="{595D1F60-DB03-4B4D-A1FF-57361A48A319}" uniqueName="6" name="XOM" queryTableFieldId="8" dataDxfId="9"/>
    <tableColumn id="7" xr3:uid="{A6FC79B5-D092-486C-AD9E-CD01364F7686}" uniqueName="7" name="JNJ" queryTableFieldId="9" dataDxfId="8"/>
    <tableColumn id="8" xr3:uid="{23ABA045-400D-42DE-A799-D59ED9DD59BF}" uniqueName="8" name="AMZN" queryTableFieldId="10" dataDxfId="7"/>
    <tableColumn id="9" xr3:uid="{611F7CB5-9B1F-4AF9-A33A-3D64F9B24F51}" uniqueName="9" name="KO" queryTableFieldId="11" dataDxfId="6"/>
    <tableColumn id="10" xr3:uid="{3C184E11-5641-4FD1-9D6C-C09C636ECEE1}" uniqueName="10" name="WMT" queryTableFieldId="12" dataDxfId="5"/>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hyperlink" Target="https://fred.stlouisfed.org/graph/?g=1ICIo"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A381F-AEFE-4EC8-9B40-0C5E1A09ADFB}">
  <sheetPr codeName="Feuil1">
    <pageSetUpPr fitToPage="1"/>
  </sheetPr>
  <dimension ref="A1:AB756"/>
  <sheetViews>
    <sheetView showGridLines="0" zoomScaleNormal="100" workbookViewId="0">
      <selection activeCell="B1" sqref="B1:J1"/>
    </sheetView>
  </sheetViews>
  <sheetFormatPr baseColWidth="10" defaultRowHeight="14.25" x14ac:dyDescent="0.45"/>
  <cols>
    <col min="1" max="1" width="9.9296875" bestFit="1" customWidth="1"/>
    <col min="2" max="2" width="8.265625" bestFit="1" customWidth="1"/>
    <col min="3" max="3" width="9.19921875" bestFit="1" customWidth="1"/>
    <col min="4" max="4" width="9.3984375" bestFit="1" customWidth="1"/>
    <col min="5" max="5" width="8.265625" bestFit="1" customWidth="1"/>
    <col min="6" max="6" width="8.86328125" bestFit="1" customWidth="1"/>
    <col min="7" max="7" width="8.19921875" bestFit="1" customWidth="1"/>
    <col min="8" max="8" width="9.796875" bestFit="1" customWidth="1"/>
    <col min="9" max="9" width="7.46484375" bestFit="1" customWidth="1"/>
    <col min="10" max="10" width="9" bestFit="1" customWidth="1"/>
    <col min="11" max="11" width="9.9296875" bestFit="1" customWidth="1"/>
    <col min="12" max="20" width="10.59765625" customWidth="1"/>
    <col min="22" max="23" width="13.33203125" style="51" customWidth="1"/>
    <col min="24" max="25" width="13.33203125" style="52" customWidth="1"/>
    <col min="27" max="28" width="10.6640625" style="53"/>
  </cols>
  <sheetData>
    <row r="1" spans="1:28" ht="14.65" thickBot="1" x14ac:dyDescent="0.5">
      <c r="B1" s="134" t="s">
        <v>29</v>
      </c>
      <c r="C1" s="135"/>
      <c r="D1" s="135"/>
      <c r="E1" s="135"/>
      <c r="F1" s="135"/>
      <c r="G1" s="135"/>
      <c r="H1" s="135"/>
      <c r="I1" s="135"/>
      <c r="J1" s="136"/>
      <c r="L1" s="137" t="s">
        <v>30</v>
      </c>
      <c r="M1" s="138"/>
      <c r="N1" s="138"/>
      <c r="O1" s="138"/>
      <c r="P1" s="138"/>
      <c r="Q1" s="138"/>
      <c r="R1" s="138"/>
      <c r="S1" s="138"/>
      <c r="T1" s="139"/>
      <c r="V1" s="137" t="s">
        <v>53</v>
      </c>
      <c r="W1" s="138"/>
      <c r="X1" s="138"/>
      <c r="Y1" s="139"/>
      <c r="AA1" s="140" t="s">
        <v>60</v>
      </c>
      <c r="AB1" s="141"/>
    </row>
    <row r="2" spans="1:28" ht="14.65" thickBot="1" x14ac:dyDescent="0.5">
      <c r="A2" s="20" t="s">
        <v>0</v>
      </c>
      <c r="B2" s="21" t="s">
        <v>1</v>
      </c>
      <c r="C2" s="22" t="s">
        <v>2</v>
      </c>
      <c r="D2" s="22" t="s">
        <v>3</v>
      </c>
      <c r="E2" s="22" t="s">
        <v>4</v>
      </c>
      <c r="F2" s="22" t="s">
        <v>5</v>
      </c>
      <c r="G2" s="22" t="s">
        <v>6</v>
      </c>
      <c r="H2" s="22" t="s">
        <v>7</v>
      </c>
      <c r="I2" s="22" t="s">
        <v>8</v>
      </c>
      <c r="J2" s="23" t="s">
        <v>9</v>
      </c>
      <c r="L2" s="21" t="s">
        <v>1</v>
      </c>
      <c r="M2" s="22" t="s">
        <v>2</v>
      </c>
      <c r="N2" s="22" t="s">
        <v>3</v>
      </c>
      <c r="O2" s="22" t="s">
        <v>4</v>
      </c>
      <c r="P2" s="22" t="s">
        <v>5</v>
      </c>
      <c r="Q2" s="22" t="s">
        <v>6</v>
      </c>
      <c r="R2" s="22" t="s">
        <v>7</v>
      </c>
      <c r="S2" s="22" t="s">
        <v>8</v>
      </c>
      <c r="T2" s="23" t="s">
        <v>9</v>
      </c>
      <c r="V2" s="24" t="s">
        <v>54</v>
      </c>
      <c r="W2" s="25" t="s">
        <v>55</v>
      </c>
      <c r="X2" s="26" t="s">
        <v>56</v>
      </c>
      <c r="Y2" s="27" t="s">
        <v>57</v>
      </c>
      <c r="AA2" s="28" t="s">
        <v>1</v>
      </c>
      <c r="AB2" s="29" t="s">
        <v>16</v>
      </c>
    </row>
    <row r="3" spans="1:28" x14ac:dyDescent="0.45">
      <c r="A3" s="122">
        <v>45201</v>
      </c>
      <c r="B3" s="124">
        <v>427.31</v>
      </c>
      <c r="C3" s="124">
        <v>173.75</v>
      </c>
      <c r="D3" s="124">
        <v>321.8</v>
      </c>
      <c r="E3" s="124">
        <v>143.77000000000001</v>
      </c>
      <c r="F3" s="124">
        <v>115.63</v>
      </c>
      <c r="G3" s="124">
        <v>155.15</v>
      </c>
      <c r="H3" s="124">
        <v>129.46</v>
      </c>
      <c r="I3" s="124">
        <v>55.48</v>
      </c>
      <c r="J3" s="125">
        <v>53.37</v>
      </c>
      <c r="L3" s="30" t="s">
        <v>1</v>
      </c>
      <c r="M3" s="31" t="s">
        <v>2</v>
      </c>
      <c r="N3" s="31" t="s">
        <v>3</v>
      </c>
      <c r="O3" s="31" t="s">
        <v>4</v>
      </c>
      <c r="P3" s="31" t="s">
        <v>5</v>
      </c>
      <c r="Q3" s="31" t="s">
        <v>6</v>
      </c>
      <c r="R3" s="31" t="s">
        <v>7</v>
      </c>
      <c r="S3" s="31" t="s">
        <v>8</v>
      </c>
      <c r="T3" s="32" t="s">
        <v>9</v>
      </c>
      <c r="V3" s="33" t="s">
        <v>54</v>
      </c>
      <c r="W3" s="34" t="s">
        <v>55</v>
      </c>
      <c r="X3" s="35" t="s">
        <v>56</v>
      </c>
      <c r="Y3" s="36" t="s">
        <v>57</v>
      </c>
      <c r="AA3" s="37" t="s">
        <v>1</v>
      </c>
      <c r="AB3" s="38" t="s">
        <v>16</v>
      </c>
    </row>
    <row r="4" spans="1:28" x14ac:dyDescent="0.45">
      <c r="A4" s="121">
        <v>45202</v>
      </c>
      <c r="B4" s="124">
        <v>421.59</v>
      </c>
      <c r="C4" s="124">
        <v>172.4</v>
      </c>
      <c r="D4" s="124">
        <v>313.39</v>
      </c>
      <c r="E4" s="124">
        <v>142.71</v>
      </c>
      <c r="F4" s="124">
        <v>115.83</v>
      </c>
      <c r="G4" s="124">
        <v>155.34</v>
      </c>
      <c r="H4" s="124">
        <v>124.72</v>
      </c>
      <c r="I4" s="124">
        <v>54.88</v>
      </c>
      <c r="J4" s="125">
        <v>53.03</v>
      </c>
      <c r="L4" s="39">
        <f>IF(B4="","",(B4-B3)/B3)</f>
        <v>-1.3386066321874113E-2</v>
      </c>
      <c r="M4" s="40">
        <f t="shared" ref="M4:M67" si="0">IF(C4="","",(C4-C3)/C3)</f>
        <v>-7.769784172661838E-3</v>
      </c>
      <c r="N4" s="40">
        <f t="shared" ref="N4:N67" si="1">IF(D4="","",(D4-D3)/D3)</f>
        <v>-2.613424487259175E-2</v>
      </c>
      <c r="O4" s="40">
        <f t="shared" ref="O4:O67" si="2">IF(E4="","",(E4-E3)/E3)</f>
        <v>-7.3728872504695148E-3</v>
      </c>
      <c r="P4" s="40">
        <f t="shared" ref="P4:P67" si="3">IF(F4="","",(F4-F3)/F3)</f>
        <v>1.7296549338407235E-3</v>
      </c>
      <c r="Q4" s="40">
        <f t="shared" ref="Q4:Q67" si="4">IF(G4="","",(G4-G3)/G3)</f>
        <v>1.2246213341927021E-3</v>
      </c>
      <c r="R4" s="40">
        <f t="shared" ref="R4:R67" si="5">IF(H4="","",(H4-H3)/H3)</f>
        <v>-3.6613625830372386E-2</v>
      </c>
      <c r="S4" s="40">
        <f t="shared" ref="S4:S67" si="6">IF(I4="","",(I4-I3)/I3)</f>
        <v>-1.0814708002883821E-2</v>
      </c>
      <c r="T4" s="41">
        <f t="shared" ref="T4:T67" si="7">IF(J4="","",(J4-J3)/J3)</f>
        <v>-6.370620198613384E-3</v>
      </c>
      <c r="V4" s="39">
        <f>L4</f>
        <v>-1.3386066321874113E-2</v>
      </c>
      <c r="W4" s="40" cm="1">
        <f t="array" ref="W4">IF(M4="","",SUMPRODUCT(M4:T4,TRANSPOSE('04_Dashboard'!$C$53:$C$60)))</f>
        <v>-8.6544259411424872E-3</v>
      </c>
      <c r="X4" s="42">
        <f>1+V4</f>
        <v>0.98661393367812589</v>
      </c>
      <c r="Y4" s="118">
        <f>1+W4</f>
        <v>0.99134557405885748</v>
      </c>
      <c r="AA4" s="43">
        <f>IF(X4="","",X4/MAX($X$4:X4)-1)</f>
        <v>0</v>
      </c>
      <c r="AB4" s="44">
        <f>IF(Y4="","",Y4/MAX($Y$4:Y4)-1)</f>
        <v>0</v>
      </c>
    </row>
    <row r="5" spans="1:28" x14ac:dyDescent="0.45">
      <c r="A5" s="121">
        <v>45203</v>
      </c>
      <c r="B5" s="124">
        <v>424.66</v>
      </c>
      <c r="C5" s="124">
        <v>173.66</v>
      </c>
      <c r="D5" s="124">
        <v>318.95999999999998</v>
      </c>
      <c r="E5" s="124">
        <v>143.35</v>
      </c>
      <c r="F5" s="124">
        <v>111.5</v>
      </c>
      <c r="G5" s="124">
        <v>155.52000000000001</v>
      </c>
      <c r="H5" s="124">
        <v>127</v>
      </c>
      <c r="I5" s="124">
        <v>55.04</v>
      </c>
      <c r="J5" s="125">
        <v>53.67</v>
      </c>
      <c r="L5" s="39">
        <f t="shared" ref="L5:L68" si="8">IF(B5="","",(B5-B4)/B4)</f>
        <v>7.2819564031406112E-3</v>
      </c>
      <c r="M5" s="40">
        <f t="shared" si="0"/>
        <v>7.3085846867748886E-3</v>
      </c>
      <c r="N5" s="40">
        <f t="shared" si="1"/>
        <v>1.7773381409745024E-2</v>
      </c>
      <c r="O5" s="40">
        <f t="shared" si="2"/>
        <v>4.4846191577323684E-3</v>
      </c>
      <c r="P5" s="40">
        <f t="shared" si="3"/>
        <v>-3.7382370715704036E-2</v>
      </c>
      <c r="Q5" s="40">
        <f t="shared" si="4"/>
        <v>1.1587485515643543E-3</v>
      </c>
      <c r="R5" s="40">
        <f t="shared" si="5"/>
        <v>1.8280949326491349E-2</v>
      </c>
      <c r="S5" s="40">
        <f t="shared" si="6"/>
        <v>2.9154518950436693E-3</v>
      </c>
      <c r="T5" s="41">
        <f t="shared" si="7"/>
        <v>1.2068640392230823E-2</v>
      </c>
      <c r="V5" s="39">
        <f t="shared" ref="V5:V68" si="9">L5</f>
        <v>7.2819564031406112E-3</v>
      </c>
      <c r="W5" s="40" cm="1">
        <f t="array" ref="W5">IF(M5="","",SUMPRODUCT(M5:T5,TRANSPOSE('04_Dashboard'!$C$53:$C$60)))</f>
        <v>4.5139056247356143E-3</v>
      </c>
      <c r="X5" s="42">
        <f>IF(V5="","",X4*(1+V5))</f>
        <v>0.99379841332990104</v>
      </c>
      <c r="Y5" s="118">
        <f>IF(W5="","",Y4*(1+W5))</f>
        <v>0.99582041442165858</v>
      </c>
      <c r="AA5" s="43">
        <f>IF(X5="","",X5/MAX($X$4:X5)-1)</f>
        <v>0</v>
      </c>
      <c r="AB5" s="44">
        <f>IF(Y5="","",Y5/MAX($Y$4:Y5)-1)</f>
        <v>0</v>
      </c>
    </row>
    <row r="6" spans="1:28" x14ac:dyDescent="0.45">
      <c r="A6" s="121">
        <v>45204</v>
      </c>
      <c r="B6" s="124">
        <v>424.5</v>
      </c>
      <c r="C6" s="124">
        <v>174.91</v>
      </c>
      <c r="D6" s="124">
        <v>319.36</v>
      </c>
      <c r="E6" s="124">
        <v>142.9</v>
      </c>
      <c r="F6" s="124">
        <v>108.99</v>
      </c>
      <c r="G6" s="124">
        <v>157.13999999999999</v>
      </c>
      <c r="H6" s="124">
        <v>125.96</v>
      </c>
      <c r="I6" s="124">
        <v>52.38</v>
      </c>
      <c r="J6" s="125">
        <v>53.03</v>
      </c>
      <c r="L6" s="39">
        <f t="shared" si="8"/>
        <v>-3.7677200584002496E-4</v>
      </c>
      <c r="M6" s="40">
        <f t="shared" si="0"/>
        <v>7.1979730507888981E-3</v>
      </c>
      <c r="N6" s="40">
        <f t="shared" si="1"/>
        <v>1.254075746175176E-3</v>
      </c>
      <c r="O6" s="40">
        <f t="shared" si="2"/>
        <v>-3.1391698639692267E-3</v>
      </c>
      <c r="P6" s="40">
        <f t="shared" si="3"/>
        <v>-2.2511210762331885E-2</v>
      </c>
      <c r="Q6" s="40">
        <f t="shared" si="4"/>
        <v>1.0416666666666512E-2</v>
      </c>
      <c r="R6" s="40">
        <f t="shared" si="5"/>
        <v>-8.1889763779528051E-3</v>
      </c>
      <c r="S6" s="40">
        <f t="shared" si="6"/>
        <v>-4.8328488372092963E-2</v>
      </c>
      <c r="T6" s="41">
        <f t="shared" si="7"/>
        <v>-1.1924725172349554E-2</v>
      </c>
      <c r="V6" s="39">
        <f t="shared" si="9"/>
        <v>-3.7677200584002496E-4</v>
      </c>
      <c r="W6" s="40" cm="1">
        <f t="array" ref="W6">IF(M6="","",SUMPRODUCT(M6:T6,TRANSPOSE('04_Dashboard'!$C$53:$C$60)))</f>
        <v>-7.8620374994275242E-3</v>
      </c>
      <c r="X6" s="42">
        <f t="shared" ref="X6:X69" si="10">IF(V6="","",X5*(1+V6))</f>
        <v>0.99342397790831005</v>
      </c>
      <c r="Y6" s="118">
        <f t="shared" ref="Y6:Y69" si="11">IF(W6="","",Y5*(1+W6))</f>
        <v>0.98799123698078006</v>
      </c>
      <c r="AA6" s="43">
        <f>IF(X6="","",X6/MAX($X$4:X6)-1)</f>
        <v>-3.7677200584007586E-4</v>
      </c>
      <c r="AB6" s="44">
        <f>IF(Y6="","",Y6/MAX($Y$4:Y6)-1)</f>
        <v>-7.8620374994274878E-3</v>
      </c>
    </row>
    <row r="7" spans="1:28" x14ac:dyDescent="0.45">
      <c r="A7" s="121">
        <v>45205</v>
      </c>
      <c r="B7" s="124">
        <v>429.54</v>
      </c>
      <c r="C7" s="124">
        <v>177.49</v>
      </c>
      <c r="D7" s="124">
        <v>327.26</v>
      </c>
      <c r="E7" s="124">
        <v>145.1</v>
      </c>
      <c r="F7" s="124">
        <v>107.17</v>
      </c>
      <c r="G7" s="124">
        <v>157.63999999999999</v>
      </c>
      <c r="H7" s="124">
        <v>127.96</v>
      </c>
      <c r="I7" s="124">
        <v>53.14</v>
      </c>
      <c r="J7" s="125">
        <v>52.14</v>
      </c>
      <c r="L7" s="39">
        <f t="shared" si="8"/>
        <v>1.1872791519434676E-2</v>
      </c>
      <c r="M7" s="40">
        <f t="shared" si="0"/>
        <v>1.4750443085015223E-2</v>
      </c>
      <c r="N7" s="40">
        <f t="shared" si="1"/>
        <v>2.4736973947895719E-2</v>
      </c>
      <c r="O7" s="40">
        <f t="shared" si="2"/>
        <v>1.5395381385584245E-2</v>
      </c>
      <c r="P7" s="40">
        <f t="shared" si="3"/>
        <v>-1.6698779704559991E-2</v>
      </c>
      <c r="Q7" s="40">
        <f t="shared" si="4"/>
        <v>3.1818760341097113E-3</v>
      </c>
      <c r="R7" s="40">
        <f t="shared" si="5"/>
        <v>1.5878056525881232E-2</v>
      </c>
      <c r="S7" s="40">
        <f t="shared" si="6"/>
        <v>1.4509354715540244E-2</v>
      </c>
      <c r="T7" s="41">
        <f t="shared" si="7"/>
        <v>-1.6782953045445984E-2</v>
      </c>
      <c r="V7" s="39">
        <f t="shared" si="9"/>
        <v>1.1872791519434676E-2</v>
      </c>
      <c r="W7" s="40" cm="1">
        <f t="array" ref="W7">IF(M7="","",SUMPRODUCT(M7:T7,TRANSPOSE('04_Dashboard'!$C$53:$C$60)))</f>
        <v>6.903680875695207E-3</v>
      </c>
      <c r="X7" s="42">
        <f t="shared" si="10"/>
        <v>1.0052186936884231</v>
      </c>
      <c r="Y7" s="118">
        <f t="shared" si="11"/>
        <v>0.9948120131888788</v>
      </c>
      <c r="AA7" s="43">
        <f>IF(X7="","",X7/MAX($X$4:X7)-1)</f>
        <v>0</v>
      </c>
      <c r="AB7" s="44">
        <f>IF(Y7="","",Y7/MAX($Y$4:Y7)-1)</f>
        <v>-1.012633621661041E-3</v>
      </c>
    </row>
    <row r="8" spans="1:28" x14ac:dyDescent="0.45">
      <c r="A8" s="121">
        <v>45208</v>
      </c>
      <c r="B8" s="124">
        <v>432.29</v>
      </c>
      <c r="C8" s="124">
        <v>178.99</v>
      </c>
      <c r="D8" s="124">
        <v>329.82</v>
      </c>
      <c r="E8" s="124">
        <v>144.77000000000001</v>
      </c>
      <c r="F8" s="124">
        <v>110.92</v>
      </c>
      <c r="G8" s="124">
        <v>158.54</v>
      </c>
      <c r="H8" s="124">
        <v>128.26</v>
      </c>
      <c r="I8" s="124">
        <v>52.88</v>
      </c>
      <c r="J8" s="125">
        <v>51.95</v>
      </c>
      <c r="L8" s="39">
        <f t="shared" si="8"/>
        <v>6.4021976998649716E-3</v>
      </c>
      <c r="M8" s="40">
        <f t="shared" si="0"/>
        <v>8.4511803481886298E-3</v>
      </c>
      <c r="N8" s="40">
        <f t="shared" si="1"/>
        <v>7.822526431583458E-3</v>
      </c>
      <c r="O8" s="40">
        <f t="shared" si="2"/>
        <v>-2.2742935906270439E-3</v>
      </c>
      <c r="P8" s="40">
        <f t="shared" si="3"/>
        <v>3.4991135578986657E-2</v>
      </c>
      <c r="Q8" s="40">
        <f t="shared" si="4"/>
        <v>5.7092108601878066E-3</v>
      </c>
      <c r="R8" s="40">
        <f t="shared" si="5"/>
        <v>2.3444826508283619E-3</v>
      </c>
      <c r="S8" s="40">
        <f t="shared" si="6"/>
        <v>-4.8927361686111779E-3</v>
      </c>
      <c r="T8" s="41">
        <f t="shared" si="7"/>
        <v>-3.644035289604866E-3</v>
      </c>
      <c r="V8" s="39">
        <f t="shared" si="9"/>
        <v>6.4021976998649716E-3</v>
      </c>
      <c r="W8" s="40" cm="1">
        <f t="array" ref="W8">IF(M8="","",SUMPRODUCT(M8:T8,TRANSPOSE('04_Dashboard'!$C$53:$C$60)))</f>
        <v>2.555687218897968E-3</v>
      </c>
      <c r="X8" s="42">
        <f t="shared" si="10"/>
        <v>1.0116543024970164</v>
      </c>
      <c r="Y8" s="118">
        <f t="shared" si="11"/>
        <v>0.99735444153619168</v>
      </c>
      <c r="AA8" s="43">
        <f>IF(X8="","",X8/MAX($X$4:X8)-1)</f>
        <v>0</v>
      </c>
      <c r="AB8" s="44">
        <f>IF(Y8="","",Y8/MAX($Y$4:Y8)-1)</f>
        <v>0</v>
      </c>
    </row>
    <row r="9" spans="1:28" x14ac:dyDescent="0.45">
      <c r="A9" s="121">
        <v>45209</v>
      </c>
      <c r="B9" s="124">
        <v>434.54</v>
      </c>
      <c r="C9" s="124">
        <v>178.39</v>
      </c>
      <c r="D9" s="124">
        <v>328.39</v>
      </c>
      <c r="E9" s="124">
        <v>145.65</v>
      </c>
      <c r="F9" s="124">
        <v>110.45</v>
      </c>
      <c r="G9" s="124">
        <v>158.36000000000001</v>
      </c>
      <c r="H9" s="124">
        <v>129.47999999999999</v>
      </c>
      <c r="I9" s="124">
        <v>54.03</v>
      </c>
      <c r="J9" s="125">
        <v>52.53</v>
      </c>
      <c r="L9" s="39">
        <f t="shared" si="8"/>
        <v>5.2048393439589162E-3</v>
      </c>
      <c r="M9" s="40">
        <f t="shared" si="0"/>
        <v>-3.3521425777977691E-3</v>
      </c>
      <c r="N9" s="40">
        <f t="shared" si="1"/>
        <v>-4.3356982596568037E-3</v>
      </c>
      <c r="O9" s="40">
        <f t="shared" si="2"/>
        <v>6.07860744629409E-3</v>
      </c>
      <c r="P9" s="40">
        <f t="shared" si="3"/>
        <v>-4.2372881355932099E-3</v>
      </c>
      <c r="Q9" s="40">
        <f t="shared" si="4"/>
        <v>-1.1353601614733091E-3</v>
      </c>
      <c r="R9" s="40">
        <f t="shared" si="5"/>
        <v>9.5119288944331745E-3</v>
      </c>
      <c r="S9" s="40">
        <f t="shared" si="6"/>
        <v>2.1747352496217825E-2</v>
      </c>
      <c r="T9" s="41">
        <f t="shared" si="7"/>
        <v>1.116458132820016E-2</v>
      </c>
      <c r="V9" s="39">
        <f t="shared" si="9"/>
        <v>5.2048393439589162E-3</v>
      </c>
      <c r="W9" s="40" cm="1">
        <f t="array" ref="W9">IF(M9="","",SUMPRODUCT(M9:T9,TRANSPOSE('04_Dashboard'!$C$53:$C$60)))</f>
        <v>5.7466967837960731E-3</v>
      </c>
      <c r="X9" s="42">
        <f t="shared" si="10"/>
        <v>1.0169198006131381</v>
      </c>
      <c r="Y9" s="118">
        <f t="shared" si="11"/>
        <v>1.0030859350976724</v>
      </c>
      <c r="AA9" s="43">
        <f>IF(X9="","",X9/MAX($X$4:X9)-1)</f>
        <v>0</v>
      </c>
      <c r="AB9" s="44">
        <f>IF(Y9="","",Y9/MAX($Y$4:Y9)-1)</f>
        <v>0</v>
      </c>
    </row>
    <row r="10" spans="1:28" x14ac:dyDescent="0.45">
      <c r="A10" s="121">
        <v>45210</v>
      </c>
      <c r="B10" s="124">
        <v>436.32</v>
      </c>
      <c r="C10" s="124">
        <v>179.8</v>
      </c>
      <c r="D10" s="124">
        <v>332.42</v>
      </c>
      <c r="E10" s="124">
        <v>146.15</v>
      </c>
      <c r="F10" s="124">
        <v>106.49</v>
      </c>
      <c r="G10" s="124">
        <v>156.18</v>
      </c>
      <c r="H10" s="124">
        <v>131.83000000000001</v>
      </c>
      <c r="I10" s="124">
        <v>53.71</v>
      </c>
      <c r="J10" s="125">
        <v>52.74</v>
      </c>
      <c r="L10" s="39">
        <f t="shared" si="8"/>
        <v>4.0962857274358467E-3</v>
      </c>
      <c r="M10" s="40">
        <f t="shared" si="0"/>
        <v>7.9040304949830435E-3</v>
      </c>
      <c r="N10" s="40">
        <f t="shared" si="1"/>
        <v>1.2271993666067876E-2</v>
      </c>
      <c r="O10" s="40">
        <f t="shared" si="2"/>
        <v>3.4328870580157913E-3</v>
      </c>
      <c r="P10" s="40">
        <f t="shared" si="3"/>
        <v>-3.5853327297419718E-2</v>
      </c>
      <c r="Q10" s="40">
        <f t="shared" si="4"/>
        <v>-1.3766102551149321E-2</v>
      </c>
      <c r="R10" s="40">
        <f t="shared" si="5"/>
        <v>1.814952116156953E-2</v>
      </c>
      <c r="S10" s="40">
        <f t="shared" si="6"/>
        <v>-5.9226355728299145E-3</v>
      </c>
      <c r="T10" s="41">
        <f t="shared" si="7"/>
        <v>3.997715591090821E-3</v>
      </c>
      <c r="V10" s="39">
        <f t="shared" si="9"/>
        <v>4.0962857274358467E-3</v>
      </c>
      <c r="W10" s="40" cm="1">
        <f t="array" ref="W10">IF(M10="","",SUMPRODUCT(M10:T10,TRANSPOSE('04_Dashboard'!$C$53:$C$60)))</f>
        <v>-1.9162925276390778E-3</v>
      </c>
      <c r="X10" s="42">
        <f t="shared" si="10"/>
        <v>1.0210853946783367</v>
      </c>
      <c r="Y10" s="118">
        <f t="shared" si="11"/>
        <v>1.001163729015665</v>
      </c>
      <c r="AA10" s="43">
        <f>IF(X10="","",X10/MAX($X$4:X10)-1)</f>
        <v>0</v>
      </c>
      <c r="AB10" s="44">
        <f>IF(Y10="","",Y10/MAX($Y$4:Y10)-1)</f>
        <v>-1.9162925276390297E-3</v>
      </c>
    </row>
    <row r="11" spans="1:28" x14ac:dyDescent="0.45">
      <c r="A11" s="121">
        <v>45211</v>
      </c>
      <c r="B11" s="124">
        <v>433.66</v>
      </c>
      <c r="C11" s="124">
        <v>180.71</v>
      </c>
      <c r="D11" s="124">
        <v>331.16</v>
      </c>
      <c r="E11" s="124">
        <v>145.81</v>
      </c>
      <c r="F11" s="124">
        <v>106.47</v>
      </c>
      <c r="G11" s="124">
        <v>156.33000000000001</v>
      </c>
      <c r="H11" s="124">
        <v>132.33000000000001</v>
      </c>
      <c r="I11" s="124">
        <v>52.81</v>
      </c>
      <c r="J11" s="125">
        <v>52.98</v>
      </c>
      <c r="L11" s="39">
        <f t="shared" si="8"/>
        <v>-6.0964429776310235E-3</v>
      </c>
      <c r="M11" s="40">
        <f t="shared" si="0"/>
        <v>5.0611790878753978E-3</v>
      </c>
      <c r="N11" s="40">
        <f t="shared" si="1"/>
        <v>-3.7903856566993289E-3</v>
      </c>
      <c r="O11" s="40">
        <f t="shared" si="2"/>
        <v>-2.3263770099213369E-3</v>
      </c>
      <c r="P11" s="40">
        <f t="shared" si="3"/>
        <v>-1.8781106207151866E-4</v>
      </c>
      <c r="Q11" s="40">
        <f t="shared" si="4"/>
        <v>9.6043027276223377E-4</v>
      </c>
      <c r="R11" s="40">
        <f t="shared" si="5"/>
        <v>3.792763407418645E-3</v>
      </c>
      <c r="S11" s="40">
        <f t="shared" si="6"/>
        <v>-1.6756656116179457E-2</v>
      </c>
      <c r="T11" s="41">
        <f t="shared" si="7"/>
        <v>4.55062571103517E-3</v>
      </c>
      <c r="V11" s="39">
        <f t="shared" si="9"/>
        <v>-6.0964429776310235E-3</v>
      </c>
      <c r="W11" s="40" cm="1">
        <f t="array" ref="W11">IF(M11="","",SUMPRODUCT(M11:T11,TRANSPOSE('04_Dashboard'!$C$53:$C$60)))</f>
        <v>-1.716900969560997E-3</v>
      </c>
      <c r="X11" s="42">
        <f t="shared" si="10"/>
        <v>1.0148604057943884</v>
      </c>
      <c r="Y11" s="118">
        <f t="shared" si="11"/>
        <v>0.99944483003862861</v>
      </c>
      <c r="AA11" s="43">
        <f>IF(X11="","",X11/MAX($X$4:X11)-1)</f>
        <v>-6.0964429776310114E-3</v>
      </c>
      <c r="AB11" s="44">
        <f>IF(Y11="","",Y11/MAX($Y$4:Y11)-1)</f>
        <v>-3.6299034127014185E-3</v>
      </c>
    </row>
    <row r="12" spans="1:28" x14ac:dyDescent="0.45">
      <c r="A12" s="121">
        <v>45212</v>
      </c>
      <c r="B12" s="124">
        <v>431.5</v>
      </c>
      <c r="C12" s="124">
        <v>178.85</v>
      </c>
      <c r="D12" s="124">
        <v>327.73</v>
      </c>
      <c r="E12" s="124">
        <v>148</v>
      </c>
      <c r="F12" s="124">
        <v>109.87</v>
      </c>
      <c r="G12" s="124">
        <v>156.85</v>
      </c>
      <c r="H12" s="124">
        <v>129.79</v>
      </c>
      <c r="I12" s="124">
        <v>52.89</v>
      </c>
      <c r="J12" s="125">
        <v>53.28</v>
      </c>
      <c r="L12" s="39">
        <f t="shared" si="8"/>
        <v>-4.9808605820228398E-3</v>
      </c>
      <c r="M12" s="40">
        <f t="shared" si="0"/>
        <v>-1.0292734215040749E-2</v>
      </c>
      <c r="N12" s="40">
        <f t="shared" si="1"/>
        <v>-1.0357531102790212E-2</v>
      </c>
      <c r="O12" s="40">
        <f t="shared" si="2"/>
        <v>1.5019545984500362E-2</v>
      </c>
      <c r="P12" s="40">
        <f t="shared" si="3"/>
        <v>3.1933878087724292E-2</v>
      </c>
      <c r="Q12" s="40">
        <f t="shared" si="4"/>
        <v>3.3262969359686674E-3</v>
      </c>
      <c r="R12" s="40">
        <f t="shared" si="5"/>
        <v>-1.9194438147056753E-2</v>
      </c>
      <c r="S12" s="40">
        <f t="shared" si="6"/>
        <v>1.5148646089755404E-3</v>
      </c>
      <c r="T12" s="41">
        <f t="shared" si="7"/>
        <v>5.6625141562854711E-3</v>
      </c>
      <c r="V12" s="39">
        <f t="shared" si="9"/>
        <v>-4.9808605820228398E-3</v>
      </c>
      <c r="W12" s="40" cm="1">
        <f t="array" ref="W12">IF(M12="","",SUMPRODUCT(M12:T12,TRANSPOSE('04_Dashboard'!$C$53:$C$60)))</f>
        <v>4.2655557302507018E-3</v>
      </c>
      <c r="X12" s="42">
        <f t="shared" si="10"/>
        <v>1.0098055276029114</v>
      </c>
      <c r="Y12" s="118">
        <f t="shared" si="11"/>
        <v>1.0037080176604694</v>
      </c>
      <c r="AA12" s="43">
        <f>IF(X12="","",X12/MAX($X$4:X12)-1)</f>
        <v>-1.1046938027135966E-2</v>
      </c>
      <c r="AB12" s="44">
        <f>IF(Y12="","",Y12/MAX($Y$4:Y12)-1)</f>
        <v>0</v>
      </c>
    </row>
    <row r="13" spans="1:28" x14ac:dyDescent="0.45">
      <c r="A13" s="121">
        <v>45215</v>
      </c>
      <c r="B13" s="124">
        <v>436.04</v>
      </c>
      <c r="C13" s="124">
        <v>178.72</v>
      </c>
      <c r="D13" s="124">
        <v>332.64</v>
      </c>
      <c r="E13" s="124">
        <v>147.85</v>
      </c>
      <c r="F13" s="124">
        <v>109.95</v>
      </c>
      <c r="G13" s="124">
        <v>157.53</v>
      </c>
      <c r="H13" s="124">
        <v>132.55000000000001</v>
      </c>
      <c r="I13" s="124">
        <v>53.43</v>
      </c>
      <c r="J13" s="125">
        <v>53.74</v>
      </c>
      <c r="L13" s="39">
        <f t="shared" si="8"/>
        <v>1.0521436848203987E-2</v>
      </c>
      <c r="M13" s="40">
        <f t="shared" si="0"/>
        <v>-7.2686608890128851E-4</v>
      </c>
      <c r="N13" s="40">
        <f t="shared" si="1"/>
        <v>1.4981844811277479E-2</v>
      </c>
      <c r="O13" s="40">
        <f t="shared" si="2"/>
        <v>-1.013513513513552E-3</v>
      </c>
      <c r="P13" s="40">
        <f t="shared" si="3"/>
        <v>7.2813324838443883E-4</v>
      </c>
      <c r="Q13" s="40">
        <f t="shared" si="4"/>
        <v>4.3353522473701424E-3</v>
      </c>
      <c r="R13" s="40">
        <f t="shared" si="5"/>
        <v>2.1265120579397639E-2</v>
      </c>
      <c r="S13" s="40">
        <f t="shared" si="6"/>
        <v>1.0209869540555855E-2</v>
      </c>
      <c r="T13" s="41">
        <f t="shared" si="7"/>
        <v>8.633633633633649E-3</v>
      </c>
      <c r="V13" s="39">
        <f t="shared" si="9"/>
        <v>1.0521436848203987E-2</v>
      </c>
      <c r="W13" s="40" cm="1">
        <f t="array" ref="W13">IF(M13="","",SUMPRODUCT(M13:T13,TRANSPOSE('04_Dashboard'!$C$53:$C$60)))</f>
        <v>5.9904659011916052E-3</v>
      </c>
      <c r="X13" s="42">
        <f t="shared" si="10"/>
        <v>1.0204301326905529</v>
      </c>
      <c r="Y13" s="118">
        <f t="shared" si="11"/>
        <v>1.0097206963150169</v>
      </c>
      <c r="AA13" s="43">
        <f>IF(X13="","",X13/MAX($X$4:X13)-1)</f>
        <v>-6.4173083975038736E-4</v>
      </c>
      <c r="AB13" s="44">
        <f>IF(Y13="","",Y13/MAX($Y$4:Y13)-1)</f>
        <v>0</v>
      </c>
    </row>
    <row r="14" spans="1:28" x14ac:dyDescent="0.45">
      <c r="A14" s="121">
        <v>45216</v>
      </c>
      <c r="B14" s="124">
        <v>436.02</v>
      </c>
      <c r="C14" s="124">
        <v>177.15</v>
      </c>
      <c r="D14" s="124">
        <v>332.06</v>
      </c>
      <c r="E14" s="124">
        <v>147.53</v>
      </c>
      <c r="F14" s="124">
        <v>111.39</v>
      </c>
      <c r="G14" s="124">
        <v>156.09</v>
      </c>
      <c r="H14" s="124">
        <v>131.47</v>
      </c>
      <c r="I14" s="124">
        <v>54.07</v>
      </c>
      <c r="J14" s="125">
        <v>53.81</v>
      </c>
      <c r="L14" s="39">
        <f t="shared" si="8"/>
        <v>-4.5867351619206157E-5</v>
      </c>
      <c r="M14" s="40">
        <f t="shared" si="0"/>
        <v>-8.7846911369739988E-3</v>
      </c>
      <c r="N14" s="40">
        <f t="shared" si="1"/>
        <v>-1.7436267436266959E-3</v>
      </c>
      <c r="O14" s="40">
        <f t="shared" si="2"/>
        <v>-2.1643557659789866E-3</v>
      </c>
      <c r="P14" s="40">
        <f t="shared" si="3"/>
        <v>1.3096862210095477E-2</v>
      </c>
      <c r="Q14" s="40">
        <f t="shared" si="4"/>
        <v>-9.1411159779089552E-3</v>
      </c>
      <c r="R14" s="40">
        <f t="shared" si="5"/>
        <v>-8.1478687287816851E-3</v>
      </c>
      <c r="S14" s="40">
        <f t="shared" si="6"/>
        <v>1.1978289350552136E-2</v>
      </c>
      <c r="T14" s="41">
        <f t="shared" si="7"/>
        <v>1.3025679196129564E-3</v>
      </c>
      <c r="V14" s="39">
        <f t="shared" si="9"/>
        <v>-4.5867351619206157E-5</v>
      </c>
      <c r="W14" s="40" cm="1">
        <f t="array" ref="W14">IF(M14="","",SUMPRODUCT(M14:T14,TRANSPOSE('04_Dashboard'!$C$53:$C$60)))</f>
        <v>-1.3986097893245758E-3</v>
      </c>
      <c r="X14" s="42">
        <f t="shared" si="10"/>
        <v>1.0203833282628541</v>
      </c>
      <c r="Y14" s="118">
        <f t="shared" si="11"/>
        <v>1.0083084910646671</v>
      </c>
      <c r="AA14" s="43">
        <f>IF(X14="","",X14/MAX($X$4:X14)-1)</f>
        <v>-6.8756875687547847E-4</v>
      </c>
      <c r="AB14" s="44">
        <f>IF(Y14="","",Y14/MAX($Y$4:Y14)-1)</f>
        <v>-1.3986097893246008E-3</v>
      </c>
    </row>
    <row r="15" spans="1:28" x14ac:dyDescent="0.45">
      <c r="A15" s="121">
        <v>45217</v>
      </c>
      <c r="B15" s="124">
        <v>430.21</v>
      </c>
      <c r="C15" s="124">
        <v>175.84</v>
      </c>
      <c r="D15" s="124">
        <v>330.11</v>
      </c>
      <c r="E15" s="124">
        <v>145.91</v>
      </c>
      <c r="F15" s="124">
        <v>112.95</v>
      </c>
      <c r="G15" s="124">
        <v>152.72999999999999</v>
      </c>
      <c r="H15" s="124">
        <v>128.13</v>
      </c>
      <c r="I15" s="124">
        <v>54.05</v>
      </c>
      <c r="J15" s="125">
        <v>53.85</v>
      </c>
      <c r="L15" s="39">
        <f t="shared" si="8"/>
        <v>-1.3325076831338017E-2</v>
      </c>
      <c r="M15" s="40">
        <f t="shared" si="0"/>
        <v>-7.3948631103584661E-3</v>
      </c>
      <c r="N15" s="40">
        <f t="shared" si="1"/>
        <v>-5.8724326928867934E-3</v>
      </c>
      <c r="O15" s="40">
        <f t="shared" si="2"/>
        <v>-1.098081746085545E-2</v>
      </c>
      <c r="P15" s="40">
        <f t="shared" si="3"/>
        <v>1.4004847831941846E-2</v>
      </c>
      <c r="Q15" s="40">
        <f t="shared" si="4"/>
        <v>-2.1526042667691803E-2</v>
      </c>
      <c r="R15" s="40">
        <f t="shared" si="5"/>
        <v>-2.5405035369285796E-2</v>
      </c>
      <c r="S15" s="40">
        <f t="shared" si="6"/>
        <v>-3.6989088218981187E-4</v>
      </c>
      <c r="T15" s="41">
        <f t="shared" si="7"/>
        <v>7.4335625348446652E-4</v>
      </c>
      <c r="V15" s="39">
        <f t="shared" si="9"/>
        <v>-1.3325076831338017E-2</v>
      </c>
      <c r="W15" s="40" cm="1">
        <f t="array" ref="W15">IF(M15="","",SUMPRODUCT(M15:T15,TRANSPOSE('04_Dashboard'!$C$53:$C$60)))</f>
        <v>-9.6554995713995957E-3</v>
      </c>
      <c r="X15" s="42">
        <f t="shared" si="10"/>
        <v>1.0067866420163352</v>
      </c>
      <c r="Y15" s="118">
        <f t="shared" si="11"/>
        <v>0.99857276886135371</v>
      </c>
      <c r="AA15" s="43">
        <f>IF(X15="","",X15/MAX($X$4:X15)-1)</f>
        <v>-1.4003483681701234E-2</v>
      </c>
      <c r="AB15" s="44">
        <f>IF(Y15="","",Y15/MAX($Y$4:Y15)-1)</f>
        <v>-1.1040605084502775E-2</v>
      </c>
    </row>
    <row r="16" spans="1:28" x14ac:dyDescent="0.45">
      <c r="A16" s="121">
        <v>45218</v>
      </c>
      <c r="B16" s="124">
        <v>426.43</v>
      </c>
      <c r="C16" s="124">
        <v>175.46</v>
      </c>
      <c r="D16" s="124">
        <v>331.32</v>
      </c>
      <c r="E16" s="124">
        <v>145.29</v>
      </c>
      <c r="F16" s="124">
        <v>113.02</v>
      </c>
      <c r="G16" s="124">
        <v>152.32</v>
      </c>
      <c r="H16" s="124">
        <v>128.4</v>
      </c>
      <c r="I16" s="124">
        <v>54.35</v>
      </c>
      <c r="J16" s="125">
        <v>53.59</v>
      </c>
      <c r="L16" s="39">
        <f t="shared" si="8"/>
        <v>-8.7864066386182868E-3</v>
      </c>
      <c r="M16" s="40">
        <f t="shared" si="0"/>
        <v>-2.1610555050045237E-3</v>
      </c>
      <c r="N16" s="40">
        <f t="shared" si="1"/>
        <v>3.6654448517160327E-3</v>
      </c>
      <c r="O16" s="40">
        <f t="shared" si="2"/>
        <v>-4.2491947090672645E-3</v>
      </c>
      <c r="P16" s="40">
        <f t="shared" si="3"/>
        <v>6.1974324922526051E-4</v>
      </c>
      <c r="Q16" s="40">
        <f t="shared" si="4"/>
        <v>-2.6844758724546363E-3</v>
      </c>
      <c r="R16" s="40">
        <f t="shared" si="5"/>
        <v>2.1072348396160949E-3</v>
      </c>
      <c r="S16" s="40">
        <f t="shared" si="6"/>
        <v>5.5504162812211703E-3</v>
      </c>
      <c r="T16" s="41">
        <f t="shared" si="7"/>
        <v>-4.8282265552460164E-3</v>
      </c>
      <c r="V16" s="39">
        <f t="shared" si="9"/>
        <v>-8.7864066386182868E-3</v>
      </c>
      <c r="W16" s="40" cm="1">
        <f t="array" ref="W16">IF(M16="","",SUMPRODUCT(M16:T16,TRANSPOSE('04_Dashboard'!$C$53:$C$60)))</f>
        <v>-1.2358919859553226E-3</v>
      </c>
      <c r="X16" s="42">
        <f t="shared" si="10"/>
        <v>0.99794060518125061</v>
      </c>
      <c r="Y16" s="118">
        <f t="shared" si="11"/>
        <v>0.99733864077892476</v>
      </c>
      <c r="AA16" s="43">
        <f>IF(X16="","",X16/MAX($X$4:X16)-1)</f>
        <v>-2.2666850018334794E-2</v>
      </c>
      <c r="AB16" s="44">
        <f>IF(Y16="","",Y16/MAX($Y$4:Y16)-1)</f>
        <v>-1.2262852075114017E-2</v>
      </c>
    </row>
    <row r="17" spans="1:28" x14ac:dyDescent="0.45">
      <c r="A17" s="121">
        <v>45219</v>
      </c>
      <c r="B17" s="124">
        <v>421.19</v>
      </c>
      <c r="C17" s="124">
        <v>172.88</v>
      </c>
      <c r="D17" s="124">
        <v>326.67</v>
      </c>
      <c r="E17" s="124">
        <v>142.94999999999999</v>
      </c>
      <c r="F17" s="124">
        <v>111.08</v>
      </c>
      <c r="G17" s="124">
        <v>153</v>
      </c>
      <c r="H17" s="124">
        <v>125.17</v>
      </c>
      <c r="I17" s="124">
        <v>54.57</v>
      </c>
      <c r="J17" s="125">
        <v>52.92</v>
      </c>
      <c r="L17" s="39">
        <f t="shared" si="8"/>
        <v>-1.2288066036629713E-2</v>
      </c>
      <c r="M17" s="40">
        <f t="shared" si="0"/>
        <v>-1.4704206086857474E-2</v>
      </c>
      <c r="N17" s="40">
        <f t="shared" si="1"/>
        <v>-1.403477001086556E-2</v>
      </c>
      <c r="O17" s="40">
        <f t="shared" si="2"/>
        <v>-1.6105719595292198E-2</v>
      </c>
      <c r="P17" s="40">
        <f t="shared" si="3"/>
        <v>-1.7165103521500601E-2</v>
      </c>
      <c r="Q17" s="40">
        <f t="shared" si="4"/>
        <v>4.4642857142857591E-3</v>
      </c>
      <c r="R17" s="40">
        <f t="shared" si="5"/>
        <v>-2.5155763239875419E-2</v>
      </c>
      <c r="S17" s="40">
        <f t="shared" si="6"/>
        <v>4.0478380864765202E-3</v>
      </c>
      <c r="T17" s="41">
        <f t="shared" si="7"/>
        <v>-1.2502332524724793E-2</v>
      </c>
      <c r="V17" s="39">
        <f t="shared" si="9"/>
        <v>-1.2288066036629713E-2</v>
      </c>
      <c r="W17" s="40" cm="1">
        <f t="array" ref="W17">IF(M17="","",SUMPRODUCT(M17:T17,TRANSPOSE('04_Dashboard'!$C$53:$C$60)))</f>
        <v>-8.4113370656826551E-3</v>
      </c>
      <c r="X17" s="42">
        <f t="shared" si="10"/>
        <v>0.98567784512414924</v>
      </c>
      <c r="Y17" s="118">
        <f t="shared" si="11"/>
        <v>0.98894968930270344</v>
      </c>
      <c r="AA17" s="43">
        <f>IF(X17="","",X17/MAX($X$4:X17)-1)</f>
        <v>-3.4676384305096786E-2</v>
      </c>
      <c r="AB17" s="44">
        <f>IF(Y17="","",Y17/MAX($Y$4:Y17)-1)</f>
        <v>-2.0571042158606279E-2</v>
      </c>
    </row>
    <row r="18" spans="1:28" x14ac:dyDescent="0.45">
      <c r="A18" s="121">
        <v>45222</v>
      </c>
      <c r="B18" s="124">
        <v>420.46</v>
      </c>
      <c r="C18" s="124">
        <v>173</v>
      </c>
      <c r="D18" s="124">
        <v>329.32</v>
      </c>
      <c r="E18" s="124">
        <v>141</v>
      </c>
      <c r="F18" s="124">
        <v>109.45</v>
      </c>
      <c r="G18" s="124">
        <v>151.38999999999999</v>
      </c>
      <c r="H18" s="124">
        <v>126.56</v>
      </c>
      <c r="I18" s="124">
        <v>54.08</v>
      </c>
      <c r="J18" s="125">
        <v>53.67</v>
      </c>
      <c r="L18" s="39">
        <f t="shared" si="8"/>
        <v>-1.7331845485410817E-3</v>
      </c>
      <c r="M18" s="40">
        <f t="shared" si="0"/>
        <v>6.9412309116152564E-4</v>
      </c>
      <c r="N18" s="40">
        <f t="shared" si="1"/>
        <v>8.1121621207946165E-3</v>
      </c>
      <c r="O18" s="40">
        <f t="shared" si="2"/>
        <v>-1.3641133263378725E-2</v>
      </c>
      <c r="P18" s="40">
        <f t="shared" si="3"/>
        <v>-1.4674108750450086E-2</v>
      </c>
      <c r="Q18" s="40">
        <f t="shared" si="4"/>
        <v>-1.0522875816993554E-2</v>
      </c>
      <c r="R18" s="40">
        <f t="shared" si="5"/>
        <v>1.1104897339618124E-2</v>
      </c>
      <c r="S18" s="40">
        <f t="shared" si="6"/>
        <v>-8.9792926516401323E-3</v>
      </c>
      <c r="T18" s="41">
        <f t="shared" si="7"/>
        <v>1.4172335600907028E-2</v>
      </c>
      <c r="V18" s="39">
        <f t="shared" si="9"/>
        <v>-1.7331845485410817E-3</v>
      </c>
      <c r="W18" s="40" cm="1">
        <f t="array" ref="W18">IF(M18="","",SUMPRODUCT(M18:T18,TRANSPOSE('04_Dashboard'!$C$53:$C$60)))</f>
        <v>-4.333873506611961E-3</v>
      </c>
      <c r="X18" s="42">
        <f t="shared" si="10"/>
        <v>0.98396948351314073</v>
      </c>
      <c r="Y18" s="118">
        <f t="shared" si="11"/>
        <v>0.98466370644486234</v>
      </c>
      <c r="AA18" s="43">
        <f>IF(X18="","",X18/MAX($X$4:X18)-1)</f>
        <v>-3.6349468280161057E-2</v>
      </c>
      <c r="AB18" s="44">
        <f>IF(Y18="","",Y18/MAX($Y$4:Y18)-1)</f>
        <v>-2.481576337060365E-2</v>
      </c>
    </row>
    <row r="19" spans="1:28" x14ac:dyDescent="0.45">
      <c r="A19" s="121">
        <v>45223</v>
      </c>
      <c r="B19" s="124">
        <v>423.63</v>
      </c>
      <c r="C19" s="124">
        <v>173.44</v>
      </c>
      <c r="D19" s="124">
        <v>330.53</v>
      </c>
      <c r="E19" s="124">
        <v>141.16999999999999</v>
      </c>
      <c r="F19" s="124">
        <v>108.39</v>
      </c>
      <c r="G19" s="124">
        <v>151.22999999999999</v>
      </c>
      <c r="H19" s="124">
        <v>128.56</v>
      </c>
      <c r="I19" s="124">
        <v>55.64</v>
      </c>
      <c r="J19" s="125">
        <v>54.42</v>
      </c>
      <c r="L19" s="39">
        <f t="shared" si="8"/>
        <v>7.5393616515245588E-3</v>
      </c>
      <c r="M19" s="40">
        <f t="shared" si="0"/>
        <v>2.5433526011560564E-3</v>
      </c>
      <c r="N19" s="40">
        <f t="shared" si="1"/>
        <v>3.6742378233935976E-3</v>
      </c>
      <c r="O19" s="40">
        <f t="shared" si="2"/>
        <v>1.2056737588651595E-3</v>
      </c>
      <c r="P19" s="40">
        <f t="shared" si="3"/>
        <v>-9.6847875742348301E-3</v>
      </c>
      <c r="Q19" s="40">
        <f t="shared" si="4"/>
        <v>-1.0568729770790448E-3</v>
      </c>
      <c r="R19" s="40">
        <f t="shared" si="5"/>
        <v>1.5802781289506952E-2</v>
      </c>
      <c r="S19" s="40">
        <f t="shared" si="6"/>
        <v>2.8846153846153889E-2</v>
      </c>
      <c r="T19" s="41">
        <f t="shared" si="7"/>
        <v>1.397428731134712E-2</v>
      </c>
      <c r="V19" s="39">
        <f t="shared" si="9"/>
        <v>7.5393616515245588E-3</v>
      </c>
      <c r="W19" s="40" cm="1">
        <f t="array" ref="W19">IF(M19="","",SUMPRODUCT(M19:T19,TRANSPOSE('04_Dashboard'!$C$53:$C$60)))</f>
        <v>7.0453235207426756E-3</v>
      </c>
      <c r="X19" s="42">
        <f t="shared" si="10"/>
        <v>0.99138798530340999</v>
      </c>
      <c r="Y19" s="118">
        <f t="shared" si="11"/>
        <v>0.99160098081589998</v>
      </c>
      <c r="AA19" s="43">
        <f>IF(X19="","",X19/MAX($X$4:X19)-1)</f>
        <v>-2.9084158415841443E-2</v>
      </c>
      <c r="AB19" s="44">
        <f>IF(Y19="","",Y19/MAX($Y$4:Y19)-1)</f>
        <v>-1.7945274931221111E-2</v>
      </c>
    </row>
    <row r="20" spans="1:28" x14ac:dyDescent="0.45">
      <c r="A20" s="121">
        <v>45224</v>
      </c>
      <c r="B20" s="124">
        <v>417.55</v>
      </c>
      <c r="C20" s="124">
        <v>171.1</v>
      </c>
      <c r="D20" s="124">
        <v>340.67</v>
      </c>
      <c r="E20" s="124">
        <v>140.4</v>
      </c>
      <c r="F20" s="124">
        <v>108.59</v>
      </c>
      <c r="G20" s="124">
        <v>151.57</v>
      </c>
      <c r="H20" s="124">
        <v>121.39</v>
      </c>
      <c r="I20" s="124">
        <v>56.12</v>
      </c>
      <c r="J20" s="125">
        <v>54.25</v>
      </c>
      <c r="L20" s="39">
        <f t="shared" si="8"/>
        <v>-1.4352146920661861E-2</v>
      </c>
      <c r="M20" s="40">
        <f t="shared" si="0"/>
        <v>-1.349169741697419E-2</v>
      </c>
      <c r="N20" s="40">
        <f t="shared" si="1"/>
        <v>3.0678001996793162E-2</v>
      </c>
      <c r="O20" s="40">
        <f t="shared" si="2"/>
        <v>-5.4544166607634901E-3</v>
      </c>
      <c r="P20" s="40">
        <f t="shared" si="3"/>
        <v>1.845188670541589E-3</v>
      </c>
      <c r="Q20" s="40">
        <f t="shared" si="4"/>
        <v>2.2482311710639649E-3</v>
      </c>
      <c r="R20" s="40">
        <f t="shared" si="5"/>
        <v>-5.5771624144368398E-2</v>
      </c>
      <c r="S20" s="40">
        <f t="shared" si="6"/>
        <v>8.6268871315599727E-3</v>
      </c>
      <c r="T20" s="41">
        <f t="shared" si="7"/>
        <v>-3.1238515251745995E-3</v>
      </c>
      <c r="V20" s="39">
        <f t="shared" si="9"/>
        <v>-1.4352146920661861E-2</v>
      </c>
      <c r="W20" s="40" cm="1">
        <f t="array" ref="W20">IF(M20="","",SUMPRODUCT(M20:T20,TRANSPOSE('04_Dashboard'!$C$53:$C$60)))</f>
        <v>-2.6649146999007849E-3</v>
      </c>
      <c r="X20" s="42">
        <f t="shared" si="10"/>
        <v>0.97715943928295645</v>
      </c>
      <c r="Y20" s="118">
        <f t="shared" si="11"/>
        <v>0.98895844878568762</v>
      </c>
      <c r="AA20" s="43">
        <f>IF(X20="","",X20/MAX($X$4:X20)-1)</f>
        <v>-4.3018885221855374E-2</v>
      </c>
      <c r="AB20" s="44">
        <f>IF(Y20="","",Y20/MAX($Y$4:Y20)-1)</f>
        <v>-2.0562367004163917E-2</v>
      </c>
    </row>
    <row r="21" spans="1:28" x14ac:dyDescent="0.45">
      <c r="A21" s="121">
        <v>45225</v>
      </c>
      <c r="B21" s="124">
        <v>412.55</v>
      </c>
      <c r="C21" s="124">
        <v>166.89</v>
      </c>
      <c r="D21" s="124">
        <v>327.89</v>
      </c>
      <c r="E21" s="124">
        <v>140.76</v>
      </c>
      <c r="F21" s="124">
        <v>107.6</v>
      </c>
      <c r="G21" s="124">
        <v>149</v>
      </c>
      <c r="H21" s="124">
        <v>119.57</v>
      </c>
      <c r="I21" s="124">
        <v>55.78</v>
      </c>
      <c r="J21" s="125">
        <v>53.92</v>
      </c>
      <c r="L21" s="39">
        <f t="shared" si="8"/>
        <v>-1.1974613818704346E-2</v>
      </c>
      <c r="M21" s="40">
        <f t="shared" si="0"/>
        <v>-2.4605493863237921E-2</v>
      </c>
      <c r="N21" s="40">
        <f t="shared" si="1"/>
        <v>-3.7514310036105405E-2</v>
      </c>
      <c r="O21" s="40">
        <f t="shared" si="2"/>
        <v>2.5641025641024587E-3</v>
      </c>
      <c r="P21" s="40">
        <f t="shared" si="3"/>
        <v>-9.1168615894650432E-3</v>
      </c>
      <c r="Q21" s="40">
        <f t="shared" si="4"/>
        <v>-1.6955861977963931E-2</v>
      </c>
      <c r="R21" s="40">
        <f t="shared" si="5"/>
        <v>-1.4992997775764128E-2</v>
      </c>
      <c r="S21" s="40">
        <f t="shared" si="6"/>
        <v>-6.0584461867426286E-3</v>
      </c>
      <c r="T21" s="41">
        <f t="shared" si="7"/>
        <v>-6.0829493087557291E-3</v>
      </c>
      <c r="V21" s="39">
        <f t="shared" si="9"/>
        <v>-1.1974613818704346E-2</v>
      </c>
      <c r="W21" s="40" cm="1">
        <f t="array" ref="W21">IF(M21="","",SUMPRODUCT(M21:T21,TRANSPOSE('04_Dashboard'!$C$53:$C$60)))</f>
        <v>-1.0587263487502413E-2</v>
      </c>
      <c r="X21" s="42">
        <f t="shared" si="10"/>
        <v>0.96545833235824141</v>
      </c>
      <c r="Y21" s="118">
        <f t="shared" si="11"/>
        <v>0.97848808511020191</v>
      </c>
      <c r="AA21" s="43">
        <f>IF(X21="","",X21/MAX($X$4:X21)-1)</f>
        <v>-5.4478364503116827E-2</v>
      </c>
      <c r="AB21" s="44">
        <f>IF(Y21="","",Y21/MAX($Y$4:Y21)-1)</f>
        <v>-3.0931931294266524E-2</v>
      </c>
    </row>
    <row r="22" spans="1:28" x14ac:dyDescent="0.45">
      <c r="A22" s="121">
        <v>45226</v>
      </c>
      <c r="B22" s="124">
        <v>410.68</v>
      </c>
      <c r="C22" s="124">
        <v>168.22</v>
      </c>
      <c r="D22" s="124">
        <v>329.81</v>
      </c>
      <c r="E22" s="124">
        <v>135.69</v>
      </c>
      <c r="F22" s="124">
        <v>105.55</v>
      </c>
      <c r="G22" s="124">
        <v>145.6</v>
      </c>
      <c r="H22" s="124">
        <v>127.74</v>
      </c>
      <c r="I22" s="124">
        <v>55.24</v>
      </c>
      <c r="J22" s="125">
        <v>53.72</v>
      </c>
      <c r="L22" s="39">
        <f t="shared" si="8"/>
        <v>-4.5327839049812257E-3</v>
      </c>
      <c r="M22" s="40">
        <f t="shared" si="0"/>
        <v>7.9693211097130595E-3</v>
      </c>
      <c r="N22" s="40">
        <f t="shared" si="1"/>
        <v>5.8556223123609015E-3</v>
      </c>
      <c r="O22" s="40">
        <f t="shared" si="2"/>
        <v>-3.6018755328218195E-2</v>
      </c>
      <c r="P22" s="40">
        <f t="shared" si="3"/>
        <v>-1.9052044609665402E-2</v>
      </c>
      <c r="Q22" s="40">
        <f t="shared" si="4"/>
        <v>-2.2818791946308762E-2</v>
      </c>
      <c r="R22" s="40">
        <f t="shared" si="5"/>
        <v>6.8328175963870558E-2</v>
      </c>
      <c r="S22" s="40">
        <f t="shared" si="6"/>
        <v>-9.6808892076012745E-3</v>
      </c>
      <c r="T22" s="41">
        <f t="shared" si="7"/>
        <v>-3.7091988130564324E-3</v>
      </c>
      <c r="V22" s="39">
        <f t="shared" si="9"/>
        <v>-4.5327839049812257E-3</v>
      </c>
      <c r="W22" s="40" cm="1">
        <f t="array" ref="W22">IF(M22="","",SUMPRODUCT(M22:T22,TRANSPOSE('04_Dashboard'!$C$53:$C$60)))</f>
        <v>-1.0922885913122828E-2</v>
      </c>
      <c r="X22" s="42">
        <f t="shared" si="10"/>
        <v>0.96108211836839796</v>
      </c>
      <c r="Y22" s="118">
        <f t="shared" si="11"/>
        <v>0.96780017138919316</v>
      </c>
      <c r="AA22" s="43">
        <f>IF(X22="","",X22/MAX($X$4:X22)-1)</f>
        <v>-5.8764209754308627E-2</v>
      </c>
      <c r="AB22" s="44">
        <f>IF(Y22="","",Y22/MAX($Y$4:Y22)-1)</f>
        <v>-4.1516951250789469E-2</v>
      </c>
    </row>
    <row r="23" spans="1:28" x14ac:dyDescent="0.45">
      <c r="A23" s="121">
        <v>45229</v>
      </c>
      <c r="B23" s="124">
        <v>415.59</v>
      </c>
      <c r="C23" s="124">
        <v>170.29</v>
      </c>
      <c r="D23" s="124">
        <v>337.31</v>
      </c>
      <c r="E23" s="124">
        <v>137.41999999999999</v>
      </c>
      <c r="F23" s="124">
        <v>105.88</v>
      </c>
      <c r="G23" s="124">
        <v>147.03</v>
      </c>
      <c r="H23" s="124">
        <v>132.71</v>
      </c>
      <c r="I23" s="124">
        <v>56.15</v>
      </c>
      <c r="J23" s="125">
        <v>54.34</v>
      </c>
      <c r="L23" s="39">
        <f t="shared" si="8"/>
        <v>1.1955780656472115E-2</v>
      </c>
      <c r="M23" s="40">
        <f t="shared" si="0"/>
        <v>1.2305314469147505E-2</v>
      </c>
      <c r="N23" s="40">
        <f t="shared" si="1"/>
        <v>2.2740365665079896E-2</v>
      </c>
      <c r="O23" s="40">
        <f t="shared" si="2"/>
        <v>1.2749649937357136E-2</v>
      </c>
      <c r="P23" s="40">
        <f t="shared" si="3"/>
        <v>3.1264803410705664E-3</v>
      </c>
      <c r="Q23" s="40">
        <f t="shared" si="4"/>
        <v>9.8214285714286181E-3</v>
      </c>
      <c r="R23" s="40">
        <f t="shared" si="5"/>
        <v>3.8907155158916656E-2</v>
      </c>
      <c r="S23" s="40">
        <f t="shared" si="6"/>
        <v>1.6473569876900733E-2</v>
      </c>
      <c r="T23" s="41">
        <f t="shared" si="7"/>
        <v>1.1541325390915945E-2</v>
      </c>
      <c r="V23" s="39">
        <f t="shared" si="9"/>
        <v>1.1955780656472115E-2</v>
      </c>
      <c r="W23" s="40" cm="1">
        <f t="array" ref="W23">IF(M23="","",SUMPRODUCT(M23:T23,TRANSPOSE('04_Dashboard'!$C$53:$C$60)))</f>
        <v>1.4496682088831234E-2</v>
      </c>
      <c r="X23" s="42">
        <f t="shared" si="10"/>
        <v>0.97257260536846801</v>
      </c>
      <c r="Y23" s="118">
        <f t="shared" si="11"/>
        <v>0.98183006279933871</v>
      </c>
      <c r="AA23" s="43">
        <f>IF(X23="","",X23/MAX($X$4:X23)-1)</f>
        <v>-4.7511001100109973E-2</v>
      </c>
      <c r="AB23" s="44">
        <f>IF(Y23="","",Y23/MAX($Y$4:Y23)-1)</f>
        <v>-2.762212720553836E-2</v>
      </c>
    </row>
    <row r="24" spans="1:28" x14ac:dyDescent="0.45">
      <c r="A24" s="121">
        <v>45230</v>
      </c>
      <c r="B24" s="124">
        <v>418.2</v>
      </c>
      <c r="C24" s="124">
        <v>170.77</v>
      </c>
      <c r="D24" s="124">
        <v>338.11</v>
      </c>
      <c r="E24" s="124">
        <v>139.06</v>
      </c>
      <c r="F24" s="124">
        <v>105.85</v>
      </c>
      <c r="G24" s="124">
        <v>148.34</v>
      </c>
      <c r="H24" s="124">
        <v>133.09</v>
      </c>
      <c r="I24" s="124">
        <v>56.49</v>
      </c>
      <c r="J24" s="125">
        <v>54.47</v>
      </c>
      <c r="L24" s="39">
        <f t="shared" si="8"/>
        <v>6.2802281094348125E-3</v>
      </c>
      <c r="M24" s="40">
        <f t="shared" si="0"/>
        <v>2.8187210053439321E-3</v>
      </c>
      <c r="N24" s="40">
        <f t="shared" si="1"/>
        <v>2.3717055527556589E-3</v>
      </c>
      <c r="O24" s="40">
        <f t="shared" si="2"/>
        <v>1.1934216271285219E-2</v>
      </c>
      <c r="P24" s="40">
        <f t="shared" si="3"/>
        <v>-2.8333962976956117E-4</v>
      </c>
      <c r="Q24" s="40">
        <f t="shared" si="4"/>
        <v>8.9097463102768299E-3</v>
      </c>
      <c r="R24" s="40">
        <f t="shared" si="5"/>
        <v>2.8633863310978482E-3</v>
      </c>
      <c r="S24" s="40">
        <f t="shared" si="6"/>
        <v>6.0552092609083424E-3</v>
      </c>
      <c r="T24" s="41">
        <f t="shared" si="7"/>
        <v>2.3923444976075717E-3</v>
      </c>
      <c r="V24" s="39">
        <f t="shared" si="9"/>
        <v>6.2802281094348125E-3</v>
      </c>
      <c r="W24" s="40" cm="1">
        <f t="array" ref="W24">IF(M24="","",SUMPRODUCT(M24:T24,TRANSPOSE('04_Dashboard'!$C$53:$C$60)))</f>
        <v>6.6373145677952172E-3</v>
      </c>
      <c r="X24" s="42">
        <f t="shared" si="10"/>
        <v>0.97868058318316919</v>
      </c>
      <c r="Y24" s="118">
        <f t="shared" si="11"/>
        <v>0.98834677777825597</v>
      </c>
      <c r="AA24" s="43">
        <f>IF(X24="","",X24/MAX($X$4:X24)-1)</f>
        <v>-4.1529152915291578E-2</v>
      </c>
      <c r="AB24" s="44">
        <f>IF(Y24="","",Y24/MAX($Y$4:Y24)-1)</f>
        <v>-2.1168149385038082E-2</v>
      </c>
    </row>
    <row r="25" spans="1:28" x14ac:dyDescent="0.45">
      <c r="A25" s="121">
        <v>45231</v>
      </c>
      <c r="B25" s="124">
        <v>422.66</v>
      </c>
      <c r="C25" s="124">
        <v>173.97</v>
      </c>
      <c r="D25" s="124">
        <v>346.07</v>
      </c>
      <c r="E25" s="124">
        <v>138.94</v>
      </c>
      <c r="F25" s="124">
        <v>105.64</v>
      </c>
      <c r="G25" s="124">
        <v>148.69</v>
      </c>
      <c r="H25" s="124">
        <v>137</v>
      </c>
      <c r="I25" s="124">
        <v>56.44</v>
      </c>
      <c r="J25" s="125">
        <v>54.96</v>
      </c>
      <c r="L25" s="39">
        <f t="shared" si="8"/>
        <v>1.0664753706360681E-2</v>
      </c>
      <c r="M25" s="40">
        <f t="shared" si="0"/>
        <v>1.873865433038583E-2</v>
      </c>
      <c r="N25" s="40">
        <f t="shared" si="1"/>
        <v>2.3542634054006032E-2</v>
      </c>
      <c r="O25" s="40">
        <f t="shared" si="2"/>
        <v>-8.6293686178631204E-4</v>
      </c>
      <c r="P25" s="40">
        <f t="shared" si="3"/>
        <v>-1.9839395370807155E-3</v>
      </c>
      <c r="Q25" s="40">
        <f t="shared" si="4"/>
        <v>2.3594445193474067E-3</v>
      </c>
      <c r="R25" s="40">
        <f t="shared" si="5"/>
        <v>2.9378615974152804E-2</v>
      </c>
      <c r="S25" s="40">
        <f t="shared" si="6"/>
        <v>-8.8511240927605344E-4</v>
      </c>
      <c r="T25" s="41">
        <f t="shared" si="7"/>
        <v>8.995777492197576E-3</v>
      </c>
      <c r="V25" s="39">
        <f t="shared" si="9"/>
        <v>1.0664753706360681E-2</v>
      </c>
      <c r="W25" s="40" cm="1">
        <f t="array" ref="W25">IF(M25="","",SUMPRODUCT(M25:T25,TRANSPOSE('04_Dashboard'!$C$53:$C$60)))</f>
        <v>6.1862759374978152E-3</v>
      </c>
      <c r="X25" s="42">
        <f t="shared" si="10"/>
        <v>0.98911797056001516</v>
      </c>
      <c r="Y25" s="118">
        <f t="shared" si="11"/>
        <v>0.99446096366752901</v>
      </c>
      <c r="AA25" s="43">
        <f>IF(X25="","",X25/MAX($X$4:X25)-1)</f>
        <v>-3.1307297396406253E-2</v>
      </c>
      <c r="AB25" s="44">
        <f>IF(Y25="","",Y25/MAX($Y$4:Y25)-1)</f>
        <v>-1.5112825460722346E-2</v>
      </c>
    </row>
    <row r="26" spans="1:28" x14ac:dyDescent="0.45">
      <c r="A26" s="121">
        <v>45232</v>
      </c>
      <c r="B26" s="124">
        <v>430.76</v>
      </c>
      <c r="C26" s="124">
        <v>177.57</v>
      </c>
      <c r="D26" s="124">
        <v>348.32</v>
      </c>
      <c r="E26" s="124">
        <v>141.41999999999999</v>
      </c>
      <c r="F26" s="124">
        <v>109.11</v>
      </c>
      <c r="G26" s="124">
        <v>150.24</v>
      </c>
      <c r="H26" s="124">
        <v>138.07</v>
      </c>
      <c r="I26" s="124">
        <v>57.09</v>
      </c>
      <c r="J26" s="125">
        <v>55.17</v>
      </c>
      <c r="L26" s="39">
        <f t="shared" si="8"/>
        <v>1.9164340131547733E-2</v>
      </c>
      <c r="M26" s="40">
        <f t="shared" si="0"/>
        <v>2.0693222969477464E-2</v>
      </c>
      <c r="N26" s="40">
        <f t="shared" si="1"/>
        <v>6.5015748259022741E-3</v>
      </c>
      <c r="O26" s="40">
        <f t="shared" si="2"/>
        <v>1.7849431409241327E-2</v>
      </c>
      <c r="P26" s="40">
        <f t="shared" si="3"/>
        <v>3.2847406285497906E-2</v>
      </c>
      <c r="Q26" s="40">
        <f t="shared" si="4"/>
        <v>1.0424372856278239E-2</v>
      </c>
      <c r="R26" s="40">
        <f t="shared" si="5"/>
        <v>7.8102189781021399E-3</v>
      </c>
      <c r="S26" s="40">
        <f t="shared" si="6"/>
        <v>1.1516654854713071E-2</v>
      </c>
      <c r="T26" s="41">
        <f t="shared" si="7"/>
        <v>3.8209606986899717E-3</v>
      </c>
      <c r="V26" s="39">
        <f t="shared" si="9"/>
        <v>1.9164340131547733E-2</v>
      </c>
      <c r="W26" s="40" cm="1">
        <f t="array" ref="W26">IF(M26="","",SUMPRODUCT(M26:T26,TRANSPOSE('04_Dashboard'!$C$53:$C$60)))</f>
        <v>1.2642425744861923E-2</v>
      </c>
      <c r="X26" s="42">
        <f t="shared" si="10"/>
        <v>1.0080737637780535</v>
      </c>
      <c r="Y26" s="118">
        <f t="shared" si="11"/>
        <v>1.0070333625568595</v>
      </c>
      <c r="AA26" s="43">
        <f>IF(X26="","",X26/MAX($X$4:X26)-1)</f>
        <v>-1.2742940960762783E-2</v>
      </c>
      <c r="AB26" s="44">
        <f>IF(Y26="","",Y26/MAX($Y$4:Y26)-1)</f>
        <v>-2.6614624895427985E-3</v>
      </c>
    </row>
    <row r="27" spans="1:28" x14ac:dyDescent="0.45">
      <c r="A27" s="121">
        <v>45233</v>
      </c>
      <c r="B27" s="124">
        <v>434.69</v>
      </c>
      <c r="C27" s="124">
        <v>176.65</v>
      </c>
      <c r="D27" s="124">
        <v>352.8</v>
      </c>
      <c r="E27" s="124">
        <v>143</v>
      </c>
      <c r="F27" s="124">
        <v>107.78</v>
      </c>
      <c r="G27" s="124">
        <v>151.34</v>
      </c>
      <c r="H27" s="124">
        <v>138.6</v>
      </c>
      <c r="I27" s="124">
        <v>56.74</v>
      </c>
      <c r="J27" s="125">
        <v>54.89</v>
      </c>
      <c r="L27" s="39">
        <f t="shared" si="8"/>
        <v>9.1234097873526022E-3</v>
      </c>
      <c r="M27" s="40">
        <f t="shared" si="0"/>
        <v>-5.1810553584501181E-3</v>
      </c>
      <c r="N27" s="40">
        <f t="shared" si="1"/>
        <v>1.2861736334405197E-2</v>
      </c>
      <c r="O27" s="40">
        <f t="shared" si="2"/>
        <v>1.1172394286522504E-2</v>
      </c>
      <c r="P27" s="40">
        <f t="shared" si="3"/>
        <v>-1.2189533498304447E-2</v>
      </c>
      <c r="Q27" s="40">
        <f t="shared" si="4"/>
        <v>7.3216187433439448E-3</v>
      </c>
      <c r="R27" s="40">
        <f t="shared" si="5"/>
        <v>3.8386325776779977E-3</v>
      </c>
      <c r="S27" s="40">
        <f t="shared" si="6"/>
        <v>-6.130670870555288E-3</v>
      </c>
      <c r="T27" s="41">
        <f t="shared" si="7"/>
        <v>-5.0752220409643126E-3</v>
      </c>
      <c r="V27" s="39">
        <f t="shared" si="9"/>
        <v>9.1234097873526022E-3</v>
      </c>
      <c r="W27" s="40" cm="1">
        <f t="array" ref="W27">IF(M27="","",SUMPRODUCT(M27:T27,TRANSPOSE('04_Dashboard'!$C$53:$C$60)))</f>
        <v>3.0984573657771306E-3</v>
      </c>
      <c r="X27" s="42">
        <f t="shared" si="10"/>
        <v>1.0172708338208796</v>
      </c>
      <c r="Y27" s="118">
        <f t="shared" si="11"/>
        <v>1.010153612496657</v>
      </c>
      <c r="AA27" s="43">
        <f>IF(X27="","",X27/MAX($X$4:X27)-1)</f>
        <v>-3.7357902456912617E-3</v>
      </c>
      <c r="AB27" s="44">
        <f>IF(Y27="","",Y27/MAX($Y$4:Y27)-1)</f>
        <v>0</v>
      </c>
    </row>
    <row r="28" spans="1:28" x14ac:dyDescent="0.45">
      <c r="A28" s="121">
        <v>45236</v>
      </c>
      <c r="B28" s="124">
        <v>435.69</v>
      </c>
      <c r="C28" s="124">
        <v>179.23</v>
      </c>
      <c r="D28" s="124">
        <v>356.53</v>
      </c>
      <c r="E28" s="124">
        <v>144.08000000000001</v>
      </c>
      <c r="F28" s="124">
        <v>105.87</v>
      </c>
      <c r="G28" s="124">
        <v>151.69999999999999</v>
      </c>
      <c r="H28" s="124">
        <v>139.74</v>
      </c>
      <c r="I28" s="124">
        <v>56.97</v>
      </c>
      <c r="J28" s="125">
        <v>54.96</v>
      </c>
      <c r="L28" s="39">
        <f t="shared" si="8"/>
        <v>2.3004900043709312E-3</v>
      </c>
      <c r="M28" s="40">
        <f t="shared" si="0"/>
        <v>1.460515142938004E-2</v>
      </c>
      <c r="N28" s="40">
        <f t="shared" si="1"/>
        <v>1.0572562358276534E-2</v>
      </c>
      <c r="O28" s="40">
        <f t="shared" si="2"/>
        <v>7.55244755244764E-3</v>
      </c>
      <c r="P28" s="40">
        <f t="shared" si="3"/>
        <v>-1.7721284097235078E-2</v>
      </c>
      <c r="Q28" s="40">
        <f t="shared" si="4"/>
        <v>2.3787498348089415E-3</v>
      </c>
      <c r="R28" s="40">
        <f t="shared" si="5"/>
        <v>8.2251082251083314E-3</v>
      </c>
      <c r="S28" s="40">
        <f t="shared" si="6"/>
        <v>4.0535777229467199E-3</v>
      </c>
      <c r="T28" s="41">
        <f t="shared" si="7"/>
        <v>1.275277828384046E-3</v>
      </c>
      <c r="V28" s="39">
        <f t="shared" si="9"/>
        <v>2.3004900043709312E-3</v>
      </c>
      <c r="W28" s="40" cm="1">
        <f t="array" ref="W28">IF(M28="","",SUMPRODUCT(M28:T28,TRANSPOSE('04_Dashboard'!$C$53:$C$60)))</f>
        <v>4.3394016180121949E-3</v>
      </c>
      <c r="X28" s="42">
        <f t="shared" si="10"/>
        <v>1.0196110552058224</v>
      </c>
      <c r="Y28" s="118">
        <f t="shared" si="11"/>
        <v>1.014537074717166</v>
      </c>
      <c r="AA28" s="43">
        <f>IF(X28="","",X28/MAX($X$4:X28)-1)</f>
        <v>-1.4438943894391487E-3</v>
      </c>
      <c r="AB28" s="44">
        <f>IF(Y28="","",Y28/MAX($Y$4:Y28)-1)</f>
        <v>0</v>
      </c>
    </row>
    <row r="29" spans="1:28" x14ac:dyDescent="0.45">
      <c r="A29" s="121">
        <v>45237</v>
      </c>
      <c r="B29" s="124">
        <v>436.93</v>
      </c>
      <c r="C29" s="124">
        <v>181.82</v>
      </c>
      <c r="D29" s="124">
        <v>360.53</v>
      </c>
      <c r="E29" s="124">
        <v>144.01</v>
      </c>
      <c r="F29" s="124">
        <v>104.21</v>
      </c>
      <c r="G29" s="124">
        <v>150.9</v>
      </c>
      <c r="H29" s="124">
        <v>142.71</v>
      </c>
      <c r="I29" s="124">
        <v>57.18</v>
      </c>
      <c r="J29" s="125">
        <v>55.22</v>
      </c>
      <c r="L29" s="39">
        <f t="shared" si="8"/>
        <v>2.8460602722119146E-3</v>
      </c>
      <c r="M29" s="40">
        <f t="shared" si="0"/>
        <v>1.4450705797020609E-2</v>
      </c>
      <c r="N29" s="40">
        <f t="shared" si="1"/>
        <v>1.1219252236838416E-2</v>
      </c>
      <c r="O29" s="40">
        <f t="shared" si="2"/>
        <v>-4.8584119933385339E-4</v>
      </c>
      <c r="P29" s="40">
        <f t="shared" si="3"/>
        <v>-1.5679607065268827E-2</v>
      </c>
      <c r="Q29" s="40">
        <f t="shared" si="4"/>
        <v>-5.273566249175893E-3</v>
      </c>
      <c r="R29" s="40">
        <f t="shared" si="5"/>
        <v>2.1253756977243441E-2</v>
      </c>
      <c r="S29" s="40">
        <f t="shared" si="6"/>
        <v>3.6861506055819002E-3</v>
      </c>
      <c r="T29" s="41">
        <f t="shared" si="7"/>
        <v>4.7307132459970527E-3</v>
      </c>
      <c r="V29" s="39">
        <f t="shared" si="9"/>
        <v>2.8460602722119146E-3</v>
      </c>
      <c r="W29" s="40" cm="1">
        <f t="array" ref="W29">IF(M29="","",SUMPRODUCT(M29:T29,TRANSPOSE('04_Dashboard'!$C$53:$C$60)))</f>
        <v>2.1374511858539636E-3</v>
      </c>
      <c r="X29" s="42">
        <f t="shared" si="10"/>
        <v>1.0225129297231519</v>
      </c>
      <c r="Y29" s="118">
        <f t="shared" si="11"/>
        <v>1.0167055981906132</v>
      </c>
      <c r="AA29" s="43">
        <f>IF(X29="","",X29/MAX($X$4:X29)-1)</f>
        <v>0</v>
      </c>
      <c r="AB29" s="44">
        <f>IF(Y29="","",Y29/MAX($Y$4:Y29)-1)</f>
        <v>0</v>
      </c>
    </row>
    <row r="30" spans="1:28" x14ac:dyDescent="0.45">
      <c r="A30" s="121">
        <v>45238</v>
      </c>
      <c r="B30" s="124">
        <v>437.25</v>
      </c>
      <c r="C30" s="124">
        <v>182.89</v>
      </c>
      <c r="D30" s="124">
        <v>363.2</v>
      </c>
      <c r="E30" s="124">
        <v>144.72</v>
      </c>
      <c r="F30" s="124">
        <v>102.93</v>
      </c>
      <c r="G30" s="124">
        <v>150.35</v>
      </c>
      <c r="H30" s="124">
        <v>142.08000000000001</v>
      </c>
      <c r="I30" s="124">
        <v>57.09</v>
      </c>
      <c r="J30" s="125">
        <v>54.77</v>
      </c>
      <c r="L30" s="39">
        <f t="shared" si="8"/>
        <v>7.3238276154073462E-4</v>
      </c>
      <c r="M30" s="40">
        <f t="shared" si="0"/>
        <v>5.8849411505884569E-3</v>
      </c>
      <c r="N30" s="40">
        <f t="shared" si="1"/>
        <v>7.4057637367209829E-3</v>
      </c>
      <c r="O30" s="40">
        <f t="shared" si="2"/>
        <v>4.9302131796403583E-3</v>
      </c>
      <c r="P30" s="40">
        <f t="shared" si="3"/>
        <v>-1.2282890317627741E-2</v>
      </c>
      <c r="Q30" s="40">
        <f t="shared" si="4"/>
        <v>-3.6447978793903999E-3</v>
      </c>
      <c r="R30" s="40">
        <f t="shared" si="5"/>
        <v>-4.4145469833928629E-3</v>
      </c>
      <c r="S30" s="40">
        <f t="shared" si="6"/>
        <v>-1.573976915005182E-3</v>
      </c>
      <c r="T30" s="41">
        <f t="shared" si="7"/>
        <v>-8.1492212966315786E-3</v>
      </c>
      <c r="V30" s="39">
        <f t="shared" si="9"/>
        <v>7.3238276154073462E-4</v>
      </c>
      <c r="W30" s="40" cm="1">
        <f t="array" ref="W30">IF(M30="","",SUMPRODUCT(M30:T30,TRANSPOSE('04_Dashboard'!$C$53:$C$60)))</f>
        <v>-1.1653697153556259E-3</v>
      </c>
      <c r="X30" s="42">
        <f t="shared" si="10"/>
        <v>1.0232618005663336</v>
      </c>
      <c r="Y30" s="118">
        <f t="shared" si="11"/>
        <v>1.0155207602770493</v>
      </c>
      <c r="AA30" s="43">
        <f>IF(X30="","",X30/MAX($X$4:X30)-1)</f>
        <v>0</v>
      </c>
      <c r="AB30" s="44">
        <f>IF(Y30="","",Y30/MAX($Y$4:Y30)-1)</f>
        <v>-1.1653697153557463E-3</v>
      </c>
    </row>
    <row r="31" spans="1:28" x14ac:dyDescent="0.45">
      <c r="A31" s="121">
        <v>45239</v>
      </c>
      <c r="B31" s="124">
        <v>433.84</v>
      </c>
      <c r="C31" s="124">
        <v>182.41</v>
      </c>
      <c r="D31" s="124">
        <v>360.69</v>
      </c>
      <c r="E31" s="124">
        <v>144.29</v>
      </c>
      <c r="F31" s="124">
        <v>102.96</v>
      </c>
      <c r="G31" s="124">
        <v>147.41999999999999</v>
      </c>
      <c r="H31" s="124">
        <v>140.6</v>
      </c>
      <c r="I31" s="124">
        <v>56.66</v>
      </c>
      <c r="J31" s="125">
        <v>54.64</v>
      </c>
      <c r="L31" s="39">
        <f t="shared" si="8"/>
        <v>-7.7987421383648369E-3</v>
      </c>
      <c r="M31" s="40">
        <f t="shared" si="0"/>
        <v>-2.6245284050521616E-3</v>
      </c>
      <c r="N31" s="40">
        <f t="shared" si="1"/>
        <v>-6.9107929515418252E-3</v>
      </c>
      <c r="O31" s="40">
        <f t="shared" si="2"/>
        <v>-2.9712548369265259E-3</v>
      </c>
      <c r="P31" s="40">
        <f t="shared" si="3"/>
        <v>2.9146021568043256E-4</v>
      </c>
      <c r="Q31" s="40">
        <f t="shared" si="4"/>
        <v>-1.9487861656135731E-2</v>
      </c>
      <c r="R31" s="40">
        <f t="shared" si="5"/>
        <v>-1.0416666666666794E-2</v>
      </c>
      <c r="S31" s="40">
        <f t="shared" si="6"/>
        <v>-7.5319670695394433E-3</v>
      </c>
      <c r="T31" s="41">
        <f t="shared" si="7"/>
        <v>-2.3735621690707059E-3</v>
      </c>
      <c r="V31" s="39">
        <f t="shared" si="9"/>
        <v>-7.7987421383648369E-3</v>
      </c>
      <c r="W31" s="40" cm="1">
        <f t="array" ref="W31">IF(M31="","",SUMPRODUCT(M31:T31,TRANSPOSE('04_Dashboard'!$C$53:$C$60)))</f>
        <v>-8.0886246322453507E-3</v>
      </c>
      <c r="X31" s="42">
        <f t="shared" si="10"/>
        <v>1.015281645643678</v>
      </c>
      <c r="Y31" s="118">
        <f t="shared" si="11"/>
        <v>1.0073065940409158</v>
      </c>
      <c r="AA31" s="43">
        <f>IF(X31="","",X31/MAX($X$4:X31)-1)</f>
        <v>-7.7987421383647337E-3</v>
      </c>
      <c r="AB31" s="44">
        <f>IF(Y31="","",Y31/MAX($Y$4:Y31)-1)</f>
        <v>-9.2445681094157628E-3</v>
      </c>
    </row>
    <row r="32" spans="1:28" x14ac:dyDescent="0.45">
      <c r="A32" s="121">
        <v>45240</v>
      </c>
      <c r="B32" s="124">
        <v>440.61</v>
      </c>
      <c r="C32" s="124">
        <v>186.4</v>
      </c>
      <c r="D32" s="124">
        <v>369.67</v>
      </c>
      <c r="E32" s="124">
        <v>146.43</v>
      </c>
      <c r="F32" s="124">
        <v>103.75</v>
      </c>
      <c r="G32" s="124">
        <v>147.25</v>
      </c>
      <c r="H32" s="124">
        <v>143.56</v>
      </c>
      <c r="I32" s="124">
        <v>56.72</v>
      </c>
      <c r="J32" s="125">
        <v>55.4</v>
      </c>
      <c r="L32" s="39">
        <f t="shared" si="8"/>
        <v>1.5604831274202561E-2</v>
      </c>
      <c r="M32" s="40">
        <f t="shared" si="0"/>
        <v>2.1873800778466145E-2</v>
      </c>
      <c r="N32" s="40">
        <f t="shared" si="1"/>
        <v>2.4896725720147547E-2</v>
      </c>
      <c r="O32" s="40">
        <f t="shared" si="2"/>
        <v>1.4831242636357439E-2</v>
      </c>
      <c r="P32" s="40">
        <f t="shared" si="3"/>
        <v>7.6728826728827337E-3</v>
      </c>
      <c r="Q32" s="40">
        <f t="shared" si="4"/>
        <v>-1.1531678198344018E-3</v>
      </c>
      <c r="R32" s="40">
        <f t="shared" si="5"/>
        <v>2.1052631578947427E-2</v>
      </c>
      <c r="S32" s="40">
        <f t="shared" si="6"/>
        <v>1.0589481115425745E-3</v>
      </c>
      <c r="T32" s="41">
        <f t="shared" si="7"/>
        <v>1.3909224011712995E-2</v>
      </c>
      <c r="V32" s="39">
        <f t="shared" si="9"/>
        <v>1.5604831274202561E-2</v>
      </c>
      <c r="W32" s="40" cm="1">
        <f t="array" ref="W32">IF(M32="","",SUMPRODUCT(M32:T32,TRANSPOSE('04_Dashboard'!$C$53:$C$60)))</f>
        <v>1.0159345920187298E-2</v>
      </c>
      <c r="X32" s="42">
        <f t="shared" si="10"/>
        <v>1.0311249444197423</v>
      </c>
      <c r="Y32" s="118">
        <f t="shared" si="11"/>
        <v>1.0175401701774631</v>
      </c>
      <c r="AA32" s="43">
        <f>IF(X32="","",X32/MAX($X$4:X32)-1)</f>
        <v>0</v>
      </c>
      <c r="AB32" s="44">
        <f>IF(Y32="","",Y32/MAX($Y$4:Y32)-1)</f>
        <v>0</v>
      </c>
    </row>
    <row r="33" spans="1:28" x14ac:dyDescent="0.45">
      <c r="A33" s="121">
        <v>45243</v>
      </c>
      <c r="B33" s="124">
        <v>440.19</v>
      </c>
      <c r="C33" s="124">
        <v>184.8</v>
      </c>
      <c r="D33" s="124">
        <v>366.68</v>
      </c>
      <c r="E33" s="124">
        <v>145.78</v>
      </c>
      <c r="F33" s="124">
        <v>104.84</v>
      </c>
      <c r="G33" s="124">
        <v>147.63</v>
      </c>
      <c r="H33" s="124">
        <v>142.59</v>
      </c>
      <c r="I33" s="124">
        <v>56.93</v>
      </c>
      <c r="J33" s="125">
        <v>55.89</v>
      </c>
      <c r="L33" s="39">
        <f t="shared" si="8"/>
        <v>-9.5322393953840335E-4</v>
      </c>
      <c r="M33" s="40">
        <f t="shared" si="0"/>
        <v>-8.5836909871244323E-3</v>
      </c>
      <c r="N33" s="40">
        <f t="shared" si="1"/>
        <v>-8.0882949657803144E-3</v>
      </c>
      <c r="O33" s="40">
        <f t="shared" si="2"/>
        <v>-4.438981083111423E-3</v>
      </c>
      <c r="P33" s="40">
        <f t="shared" si="3"/>
        <v>1.0506024096385576E-2</v>
      </c>
      <c r="Q33" s="40">
        <f t="shared" si="4"/>
        <v>2.5806451612902918E-3</v>
      </c>
      <c r="R33" s="40">
        <f t="shared" si="5"/>
        <v>-6.7567567567567485E-3</v>
      </c>
      <c r="S33" s="40">
        <f t="shared" si="6"/>
        <v>3.7023977433004382E-3</v>
      </c>
      <c r="T33" s="41">
        <f t="shared" si="7"/>
        <v>8.8447653429603243E-3</v>
      </c>
      <c r="V33" s="39">
        <f t="shared" si="9"/>
        <v>-9.5322393953840335E-4</v>
      </c>
      <c r="W33" s="40" cm="1">
        <f t="array" ref="W33">IF(M33="","",SUMPRODUCT(M33:T33,TRANSPOSE('04_Dashboard'!$C$53:$C$60)))</f>
        <v>3.1425628458652325E-4</v>
      </c>
      <c r="X33" s="42">
        <f t="shared" si="10"/>
        <v>1.0301420514380661</v>
      </c>
      <c r="Y33" s="118">
        <f t="shared" si="11"/>
        <v>1.0178599385707607</v>
      </c>
      <c r="AA33" s="43">
        <f>IF(X33="","",X33/MAX($X$4:X33)-1)</f>
        <v>-9.5322393953845008E-4</v>
      </c>
      <c r="AB33" s="44">
        <f>IF(Y33="","",Y33/MAX($Y$4:Y33)-1)</f>
        <v>0</v>
      </c>
    </row>
    <row r="34" spans="1:28" x14ac:dyDescent="0.45">
      <c r="A34" s="121">
        <v>45244</v>
      </c>
      <c r="B34" s="124">
        <v>448.73</v>
      </c>
      <c r="C34" s="124">
        <v>187.44</v>
      </c>
      <c r="D34" s="124">
        <v>370.27</v>
      </c>
      <c r="E34" s="124">
        <v>148.44</v>
      </c>
      <c r="F34" s="124">
        <v>104.29</v>
      </c>
      <c r="G34" s="124">
        <v>147.66</v>
      </c>
      <c r="H34" s="124">
        <v>145.80000000000001</v>
      </c>
      <c r="I34" s="124">
        <v>57.1</v>
      </c>
      <c r="J34" s="125">
        <v>55.88</v>
      </c>
      <c r="L34" s="39">
        <f t="shared" si="8"/>
        <v>1.9400713328335539E-2</v>
      </c>
      <c r="M34" s="40">
        <f t="shared" si="0"/>
        <v>1.4285714285714211E-2</v>
      </c>
      <c r="N34" s="40">
        <f t="shared" si="1"/>
        <v>9.790553070797358E-3</v>
      </c>
      <c r="O34" s="40">
        <f t="shared" si="2"/>
        <v>1.8246673069008072E-2</v>
      </c>
      <c r="P34" s="40">
        <f t="shared" si="3"/>
        <v>-5.2460892789011554E-3</v>
      </c>
      <c r="Q34" s="40">
        <f t="shared" si="4"/>
        <v>2.032107295265267E-4</v>
      </c>
      <c r="R34" s="40">
        <f t="shared" si="5"/>
        <v>2.2512097622554232E-2</v>
      </c>
      <c r="S34" s="40">
        <f t="shared" si="6"/>
        <v>2.9861233093272741E-3</v>
      </c>
      <c r="T34" s="41">
        <f t="shared" si="7"/>
        <v>-1.789228842368583E-4</v>
      </c>
      <c r="V34" s="39">
        <f t="shared" si="9"/>
        <v>1.9400713328335539E-2</v>
      </c>
      <c r="W34" s="40" cm="1">
        <f t="array" ref="W34">IF(M34="","",SUMPRODUCT(M34:T34,TRANSPOSE('04_Dashboard'!$C$53:$C$60)))</f>
        <v>7.6089537607993227E-3</v>
      </c>
      <c r="X34" s="42">
        <f t="shared" si="10"/>
        <v>1.0501275420654796</v>
      </c>
      <c r="Y34" s="118">
        <f t="shared" si="11"/>
        <v>1.0256047877783157</v>
      </c>
      <c r="AA34" s="43">
        <f>IF(X34="","",X34/MAX($X$4:X34)-1)</f>
        <v>0</v>
      </c>
      <c r="AB34" s="44">
        <f>IF(Y34="","",Y34/MAX($Y$4:Y34)-1)</f>
        <v>0</v>
      </c>
    </row>
    <row r="35" spans="1:28" x14ac:dyDescent="0.45">
      <c r="A35" s="121">
        <v>45245</v>
      </c>
      <c r="B35" s="124">
        <v>449.68</v>
      </c>
      <c r="C35" s="124">
        <v>188.01</v>
      </c>
      <c r="D35" s="124">
        <v>369.67</v>
      </c>
      <c r="E35" s="124">
        <v>149.74</v>
      </c>
      <c r="F35" s="124">
        <v>103.66</v>
      </c>
      <c r="G35" s="124">
        <v>148.80000000000001</v>
      </c>
      <c r="H35" s="124">
        <v>143.19999999999999</v>
      </c>
      <c r="I35" s="124">
        <v>57.21</v>
      </c>
      <c r="J35" s="125">
        <v>56.59</v>
      </c>
      <c r="L35" s="39">
        <f t="shared" si="8"/>
        <v>2.1170859982617357E-3</v>
      </c>
      <c r="M35" s="40">
        <f t="shared" si="0"/>
        <v>3.0409731113956104E-3</v>
      </c>
      <c r="N35" s="40">
        <f t="shared" si="1"/>
        <v>-1.6204391390065788E-3</v>
      </c>
      <c r="O35" s="40">
        <f t="shared" si="2"/>
        <v>8.7577472379413331E-3</v>
      </c>
      <c r="P35" s="40">
        <f t="shared" si="3"/>
        <v>-6.0408476363985964E-3</v>
      </c>
      <c r="Q35" s="40">
        <f t="shared" si="4"/>
        <v>7.7204388459976622E-3</v>
      </c>
      <c r="R35" s="40">
        <f t="shared" si="5"/>
        <v>-1.7832647462277248E-2</v>
      </c>
      <c r="S35" s="40">
        <f t="shared" si="6"/>
        <v>1.9264448336252088E-3</v>
      </c>
      <c r="T35" s="41">
        <f t="shared" si="7"/>
        <v>1.270579813886902E-2</v>
      </c>
      <c r="V35" s="39">
        <f t="shared" si="9"/>
        <v>2.1170859982617357E-3</v>
      </c>
      <c r="W35" s="40" cm="1">
        <f t="array" ref="W35">IF(M35="","",SUMPRODUCT(M35:T35,TRANSPOSE('04_Dashboard'!$C$53:$C$60)))</f>
        <v>4.3988265477654647E-3</v>
      </c>
      <c r="X35" s="42">
        <f t="shared" si="10"/>
        <v>1.0523507523811755</v>
      </c>
      <c r="Y35" s="118">
        <f t="shared" si="11"/>
        <v>1.0301162453463102</v>
      </c>
      <c r="AA35" s="43">
        <f>IF(X35="","",X35/MAX($X$4:X35)-1)</f>
        <v>0</v>
      </c>
      <c r="AB35" s="44">
        <f>IF(Y35="","",Y35/MAX($Y$4:Y35)-1)</f>
        <v>0</v>
      </c>
    </row>
    <row r="36" spans="1:28" x14ac:dyDescent="0.45">
      <c r="A36" s="121">
        <v>45246</v>
      </c>
      <c r="B36" s="124">
        <v>450.23</v>
      </c>
      <c r="C36" s="124">
        <v>189.71</v>
      </c>
      <c r="D36" s="124">
        <v>376.17</v>
      </c>
      <c r="E36" s="124">
        <v>151.44999999999999</v>
      </c>
      <c r="F36" s="124">
        <v>102.46</v>
      </c>
      <c r="G36" s="124">
        <v>150.1</v>
      </c>
      <c r="H36" s="124">
        <v>142.83000000000001</v>
      </c>
      <c r="I36" s="124">
        <v>57.15</v>
      </c>
      <c r="J36" s="125">
        <v>52.01</v>
      </c>
      <c r="L36" s="39">
        <f t="shared" si="8"/>
        <v>1.2230919765166594E-3</v>
      </c>
      <c r="M36" s="40">
        <f t="shared" si="0"/>
        <v>9.042072230200612E-3</v>
      </c>
      <c r="N36" s="40">
        <f t="shared" si="1"/>
        <v>1.7583249925609327E-2</v>
      </c>
      <c r="O36" s="40">
        <f t="shared" si="2"/>
        <v>1.1419794310137435E-2</v>
      </c>
      <c r="P36" s="40">
        <f t="shared" si="3"/>
        <v>-1.157630715801662E-2</v>
      </c>
      <c r="Q36" s="40">
        <f t="shared" si="4"/>
        <v>8.7365591397848309E-3</v>
      </c>
      <c r="R36" s="40">
        <f t="shared" si="5"/>
        <v>-2.5837988826813976E-3</v>
      </c>
      <c r="S36" s="40">
        <f t="shared" si="6"/>
        <v>-1.0487676979549427E-3</v>
      </c>
      <c r="T36" s="41">
        <f t="shared" si="7"/>
        <v>-8.0933027036578994E-2</v>
      </c>
      <c r="V36" s="39">
        <f t="shared" si="9"/>
        <v>1.2230919765166594E-3</v>
      </c>
      <c r="W36" s="40" cm="1">
        <f t="array" ref="W36">IF(M36="","",SUMPRODUCT(M36:T36,TRANSPOSE('04_Dashboard'!$C$53:$C$60)))</f>
        <v>-5.7216460924446998E-3</v>
      </c>
      <c r="X36" s="42">
        <f t="shared" si="10"/>
        <v>1.053637874142894</v>
      </c>
      <c r="Y36" s="118">
        <f t="shared" si="11"/>
        <v>1.0242222847563607</v>
      </c>
      <c r="AA36" s="43">
        <f>IF(X36="","",X36/MAX($X$4:X36)-1)</f>
        <v>0</v>
      </c>
      <c r="AB36" s="44">
        <f>IF(Y36="","",Y36/MAX($Y$4:Y36)-1)</f>
        <v>-5.7216460924447432E-3</v>
      </c>
    </row>
    <row r="37" spans="1:28" x14ac:dyDescent="0.45">
      <c r="A37" s="121">
        <v>45247</v>
      </c>
      <c r="B37" s="124">
        <v>450.79</v>
      </c>
      <c r="C37" s="124">
        <v>189.69</v>
      </c>
      <c r="D37" s="124">
        <v>369.85</v>
      </c>
      <c r="E37" s="124">
        <v>152.82</v>
      </c>
      <c r="F37" s="124">
        <v>104.96</v>
      </c>
      <c r="G37" s="124">
        <v>149.79</v>
      </c>
      <c r="H37" s="124">
        <v>145.18</v>
      </c>
      <c r="I37" s="124">
        <v>57.26</v>
      </c>
      <c r="J37" s="125">
        <v>51.78</v>
      </c>
      <c r="L37" s="39">
        <f t="shared" si="8"/>
        <v>1.2438087199875669E-3</v>
      </c>
      <c r="M37" s="40">
        <f t="shared" si="0"/>
        <v>-1.0542406831485019E-4</v>
      </c>
      <c r="N37" s="40">
        <f t="shared" si="1"/>
        <v>-1.6800914480155232E-2</v>
      </c>
      <c r="O37" s="40">
        <f t="shared" si="2"/>
        <v>9.0458897325850426E-3</v>
      </c>
      <c r="P37" s="40">
        <f t="shared" si="3"/>
        <v>2.4399765762248685E-2</v>
      </c>
      <c r="Q37" s="40">
        <f t="shared" si="4"/>
        <v>-2.0652898067954851E-3</v>
      </c>
      <c r="R37" s="40">
        <f t="shared" si="5"/>
        <v>1.6453126093957812E-2</v>
      </c>
      <c r="S37" s="40">
        <f t="shared" si="6"/>
        <v>1.9247594050743558E-3</v>
      </c>
      <c r="T37" s="41">
        <f t="shared" si="7"/>
        <v>-4.4222264949047661E-3</v>
      </c>
      <c r="V37" s="39">
        <f t="shared" si="9"/>
        <v>1.2438087199875669E-3</v>
      </c>
      <c r="W37" s="40" cm="1">
        <f t="array" ref="W37">IF(M37="","",SUMPRODUCT(M37:T37,TRANSPOSE('04_Dashboard'!$C$53:$C$60)))</f>
        <v>2.5828735329225579E-3</v>
      </c>
      <c r="X37" s="42">
        <f t="shared" si="10"/>
        <v>1.054948398118462</v>
      </c>
      <c r="Y37" s="118">
        <f t="shared" si="11"/>
        <v>1.0268677213874873</v>
      </c>
      <c r="AA37" s="43">
        <f>IF(X37="","",X37/MAX($X$4:X37)-1)</f>
        <v>0</v>
      </c>
      <c r="AB37" s="44">
        <f>IF(Y37="","",Y37/MAX($Y$4:Y37)-1)</f>
        <v>-3.1535508477791296E-3</v>
      </c>
    </row>
    <row r="38" spans="1:28" x14ac:dyDescent="0.45">
      <c r="A38" s="121">
        <v>45250</v>
      </c>
      <c r="B38" s="124">
        <v>454.26</v>
      </c>
      <c r="C38" s="124">
        <v>191.45</v>
      </c>
      <c r="D38" s="124">
        <v>377.44</v>
      </c>
      <c r="E38" s="124">
        <v>153.29</v>
      </c>
      <c r="F38" s="124">
        <v>104.5</v>
      </c>
      <c r="G38" s="124">
        <v>149.91</v>
      </c>
      <c r="H38" s="124">
        <v>146.13</v>
      </c>
      <c r="I38" s="124">
        <v>57.4</v>
      </c>
      <c r="J38" s="125">
        <v>51.77</v>
      </c>
      <c r="L38" s="39">
        <f t="shared" si="8"/>
        <v>7.6975975509660155E-3</v>
      </c>
      <c r="M38" s="40">
        <f t="shared" si="0"/>
        <v>9.278296167431024E-3</v>
      </c>
      <c r="N38" s="40">
        <f t="shared" si="1"/>
        <v>2.0521833175611667E-2</v>
      </c>
      <c r="O38" s="40">
        <f t="shared" si="2"/>
        <v>3.0755136762203828E-3</v>
      </c>
      <c r="P38" s="40">
        <f t="shared" si="3"/>
        <v>-4.3826219512194528E-3</v>
      </c>
      <c r="Q38" s="40">
        <f t="shared" si="4"/>
        <v>8.0112157019830797E-4</v>
      </c>
      <c r="R38" s="40">
        <f t="shared" si="5"/>
        <v>6.5436010469760893E-3</v>
      </c>
      <c r="S38" s="40">
        <f t="shared" si="6"/>
        <v>2.4449877750611347E-3</v>
      </c>
      <c r="T38" s="41">
        <f t="shared" si="7"/>
        <v>-1.9312475859401332E-4</v>
      </c>
      <c r="V38" s="39">
        <f t="shared" si="9"/>
        <v>7.6975975509660155E-3</v>
      </c>
      <c r="W38" s="40" cm="1">
        <f t="array" ref="W38">IF(M38="","",SUMPRODUCT(M38:T38,TRANSPOSE('04_Dashboard'!$C$53:$C$60)))</f>
        <v>3.4011612698001685E-3</v>
      </c>
      <c r="X38" s="42">
        <f t="shared" si="10"/>
        <v>1.0630689663242143</v>
      </c>
      <c r="Y38" s="118">
        <f t="shared" si="11"/>
        <v>1.0303602641106784</v>
      </c>
      <c r="AA38" s="43">
        <f>IF(X38="","",X38/MAX($X$4:X38)-1)</f>
        <v>0</v>
      </c>
      <c r="AB38" s="44">
        <f>IF(Y38="","",Y38/MAX($Y$4:Y38)-1)</f>
        <v>0</v>
      </c>
    </row>
    <row r="39" spans="1:28" x14ac:dyDescent="0.45">
      <c r="A39" s="121">
        <v>45251</v>
      </c>
      <c r="B39" s="124">
        <v>453.27</v>
      </c>
      <c r="C39" s="124">
        <v>190.64</v>
      </c>
      <c r="D39" s="124">
        <v>373.07</v>
      </c>
      <c r="E39" s="124">
        <v>152.97</v>
      </c>
      <c r="F39" s="124">
        <v>104.46</v>
      </c>
      <c r="G39" s="124">
        <v>151.12</v>
      </c>
      <c r="H39" s="124">
        <v>143.9</v>
      </c>
      <c r="I39" s="124">
        <v>58.03</v>
      </c>
      <c r="J39" s="125">
        <v>51.95</v>
      </c>
      <c r="L39" s="39">
        <f t="shared" si="8"/>
        <v>-2.1793686435081431E-3</v>
      </c>
      <c r="M39" s="40">
        <f t="shared" si="0"/>
        <v>-4.230869678767314E-3</v>
      </c>
      <c r="N39" s="40">
        <f t="shared" si="1"/>
        <v>-1.1577999152183141E-2</v>
      </c>
      <c r="O39" s="40">
        <f t="shared" si="2"/>
        <v>-2.0875464805270613E-3</v>
      </c>
      <c r="P39" s="40">
        <f t="shared" si="3"/>
        <v>-3.8277511961728474E-4</v>
      </c>
      <c r="Q39" s="40">
        <f t="shared" si="4"/>
        <v>8.0715095724101654E-3</v>
      </c>
      <c r="R39" s="40">
        <f t="shared" si="5"/>
        <v>-1.5260384589064462E-2</v>
      </c>
      <c r="S39" s="40">
        <f t="shared" si="6"/>
        <v>1.0975609756097605E-2</v>
      </c>
      <c r="T39" s="41">
        <f t="shared" si="7"/>
        <v>3.4769171334749797E-3</v>
      </c>
      <c r="V39" s="39">
        <f t="shared" si="9"/>
        <v>-2.1793686435081431E-3</v>
      </c>
      <c r="W39" s="40" cm="1">
        <f t="array" ref="W39">IF(M39="","",SUMPRODUCT(M39:T39,TRANSPOSE('04_Dashboard'!$C$53:$C$60)))</f>
        <v>1.2708743092661298E-3</v>
      </c>
      <c r="X39" s="42">
        <f t="shared" si="10"/>
        <v>1.0607521471531207</v>
      </c>
      <c r="Y39" s="118">
        <f t="shared" si="11"/>
        <v>1.0316697224996254</v>
      </c>
      <c r="AA39" s="43">
        <f>IF(X39="","",X39/MAX($X$4:X39)-1)</f>
        <v>-2.179368643508095E-3</v>
      </c>
      <c r="AB39" s="44">
        <f>IF(Y39="","",Y39/MAX($Y$4:Y39)-1)</f>
        <v>0</v>
      </c>
    </row>
    <row r="40" spans="1:28" x14ac:dyDescent="0.45">
      <c r="A40" s="121">
        <v>45252</v>
      </c>
      <c r="B40" s="124">
        <v>455.02</v>
      </c>
      <c r="C40" s="124">
        <v>191.31</v>
      </c>
      <c r="D40" s="124">
        <v>377.85</v>
      </c>
      <c r="E40" s="124">
        <v>153.33000000000001</v>
      </c>
      <c r="F40" s="124">
        <v>104.01</v>
      </c>
      <c r="G40" s="124">
        <v>150.82</v>
      </c>
      <c r="H40" s="124">
        <v>146.71</v>
      </c>
      <c r="I40" s="124">
        <v>58.42</v>
      </c>
      <c r="J40" s="125">
        <v>51.56</v>
      </c>
      <c r="L40" s="39">
        <f t="shared" si="8"/>
        <v>3.8608334987976262E-3</v>
      </c>
      <c r="M40" s="40">
        <f t="shared" si="0"/>
        <v>3.514477549307679E-3</v>
      </c>
      <c r="N40" s="40">
        <f t="shared" si="1"/>
        <v>1.2812608893773366E-2</v>
      </c>
      <c r="O40" s="40">
        <f t="shared" si="2"/>
        <v>2.353402627966357E-3</v>
      </c>
      <c r="P40" s="40">
        <f t="shared" si="3"/>
        <v>-4.3078690407810519E-3</v>
      </c>
      <c r="Q40" s="40">
        <f t="shared" si="4"/>
        <v>-1.9851773425093393E-3</v>
      </c>
      <c r="R40" s="40">
        <f t="shared" si="5"/>
        <v>1.9527449617790148E-2</v>
      </c>
      <c r="S40" s="40">
        <f t="shared" si="6"/>
        <v>6.7206617266930991E-3</v>
      </c>
      <c r="T40" s="41">
        <f t="shared" si="7"/>
        <v>-7.5072184793070363E-3</v>
      </c>
      <c r="V40" s="39">
        <f t="shared" si="9"/>
        <v>3.8608334987976262E-3</v>
      </c>
      <c r="W40" s="40" cm="1">
        <f t="array" ref="W40">IF(M40="","",SUMPRODUCT(M40:T40,TRANSPOSE('04_Dashboard'!$C$53:$C$60)))</f>
        <v>2.2540552015241273E-3</v>
      </c>
      <c r="X40" s="42">
        <f t="shared" si="10"/>
        <v>1.0648475345767712</v>
      </c>
      <c r="Y40" s="118">
        <f t="shared" si="11"/>
        <v>1.0339951630038808</v>
      </c>
      <c r="AA40" s="43">
        <f>IF(X40="","",X40/MAX($X$4:X40)-1)</f>
        <v>0</v>
      </c>
      <c r="AB40" s="44">
        <f>IF(Y40="","",Y40/MAX($Y$4:Y40)-1)</f>
        <v>0</v>
      </c>
    </row>
    <row r="41" spans="1:28" x14ac:dyDescent="0.45">
      <c r="A41" s="121">
        <v>45254</v>
      </c>
      <c r="B41" s="124">
        <v>455.3</v>
      </c>
      <c r="C41" s="124">
        <v>189.97</v>
      </c>
      <c r="D41" s="124">
        <v>377.43</v>
      </c>
      <c r="E41" s="124">
        <v>153.54</v>
      </c>
      <c r="F41" s="124">
        <v>104.57</v>
      </c>
      <c r="G41" s="124">
        <v>152.5</v>
      </c>
      <c r="H41" s="124">
        <v>146.74</v>
      </c>
      <c r="I41" s="124">
        <v>58.57</v>
      </c>
      <c r="J41" s="125">
        <v>52.02</v>
      </c>
      <c r="L41" s="39">
        <f t="shared" si="8"/>
        <v>6.1535756670042983E-4</v>
      </c>
      <c r="M41" s="40">
        <f t="shared" si="0"/>
        <v>-7.0043385081804575E-3</v>
      </c>
      <c r="N41" s="40">
        <f t="shared" si="1"/>
        <v>-1.1115522032553022E-3</v>
      </c>
      <c r="O41" s="40">
        <f t="shared" si="2"/>
        <v>1.3695949911953272E-3</v>
      </c>
      <c r="P41" s="40">
        <f t="shared" si="3"/>
        <v>5.3840976829149893E-3</v>
      </c>
      <c r="Q41" s="40">
        <f t="shared" si="4"/>
        <v>1.1139106219334352E-2</v>
      </c>
      <c r="R41" s="40">
        <f t="shared" si="5"/>
        <v>2.0448503851135667E-4</v>
      </c>
      <c r="S41" s="40">
        <f t="shared" si="6"/>
        <v>2.5676138308798114E-3</v>
      </c>
      <c r="T41" s="41">
        <f t="shared" si="7"/>
        <v>8.9216446858029642E-3</v>
      </c>
      <c r="V41" s="39">
        <f t="shared" si="9"/>
        <v>6.1535756670042983E-4</v>
      </c>
      <c r="W41" s="40" cm="1">
        <f t="array" ref="W41">IF(M41="","",SUMPRODUCT(M41:T41,TRANSPOSE('04_Dashboard'!$C$53:$C$60)))</f>
        <v>4.4018190442311738E-3</v>
      </c>
      <c r="X41" s="42">
        <f t="shared" si="10"/>
        <v>1.0655027965645554</v>
      </c>
      <c r="Y41" s="118">
        <f t="shared" si="11"/>
        <v>1.0385466226040343</v>
      </c>
      <c r="AA41" s="43">
        <f>IF(X41="","",X41/MAX($X$4:X41)-1)</f>
        <v>0</v>
      </c>
      <c r="AB41" s="44">
        <f>IF(Y41="","",Y41/MAX($Y$4:Y41)-1)</f>
        <v>0</v>
      </c>
    </row>
    <row r="42" spans="1:28" x14ac:dyDescent="0.45">
      <c r="A42" s="121">
        <v>45257</v>
      </c>
      <c r="B42" s="124">
        <v>454.48</v>
      </c>
      <c r="C42" s="124">
        <v>189.79</v>
      </c>
      <c r="D42" s="124">
        <v>378.61</v>
      </c>
      <c r="E42" s="124">
        <v>153.19</v>
      </c>
      <c r="F42" s="124">
        <v>103.96</v>
      </c>
      <c r="G42" s="124">
        <v>151.28</v>
      </c>
      <c r="H42" s="124">
        <v>147.72999999999999</v>
      </c>
      <c r="I42" s="124">
        <v>58.46</v>
      </c>
      <c r="J42" s="125">
        <v>52.26</v>
      </c>
      <c r="L42" s="39">
        <f t="shared" si="8"/>
        <v>-1.8010103228640307E-3</v>
      </c>
      <c r="M42" s="40">
        <f t="shared" si="0"/>
        <v>-9.4751802916253529E-4</v>
      </c>
      <c r="N42" s="40">
        <f t="shared" si="1"/>
        <v>3.1264075457700948E-3</v>
      </c>
      <c r="O42" s="40">
        <f t="shared" si="2"/>
        <v>-2.2795362771915744E-3</v>
      </c>
      <c r="P42" s="40">
        <f t="shared" si="3"/>
        <v>-5.8334130247680929E-3</v>
      </c>
      <c r="Q42" s="40">
        <f t="shared" si="4"/>
        <v>-7.9999999999999932E-3</v>
      </c>
      <c r="R42" s="40">
        <f t="shared" si="5"/>
        <v>6.7466266866565393E-3</v>
      </c>
      <c r="S42" s="40">
        <f t="shared" si="6"/>
        <v>-1.8780945876728603E-3</v>
      </c>
      <c r="T42" s="41">
        <f t="shared" si="7"/>
        <v>4.6136101499422311E-3</v>
      </c>
      <c r="V42" s="39">
        <f t="shared" si="9"/>
        <v>-1.8010103228640307E-3</v>
      </c>
      <c r="W42" s="40" cm="1">
        <f t="array" ref="W42">IF(M42="","",SUMPRODUCT(M42:T42,TRANSPOSE('04_Dashboard'!$C$53:$C$60)))</f>
        <v>-1.6981452338024016E-3</v>
      </c>
      <c r="X42" s="42">
        <f t="shared" si="10"/>
        <v>1.0635838150289021</v>
      </c>
      <c r="Y42" s="118">
        <f t="shared" si="11"/>
        <v>1.0367830196067778</v>
      </c>
      <c r="AA42" s="43">
        <f>IF(X42="","",X42/MAX($X$4:X42)-1)</f>
        <v>-1.8010103228640606E-3</v>
      </c>
      <c r="AB42" s="44">
        <f>IF(Y42="","",Y42/MAX($Y$4:Y42)-1)</f>
        <v>-1.6981452338022951E-3</v>
      </c>
    </row>
    <row r="43" spans="1:28" x14ac:dyDescent="0.45">
      <c r="A43" s="121">
        <v>45258</v>
      </c>
      <c r="B43" s="124">
        <v>454.93</v>
      </c>
      <c r="C43" s="124">
        <v>190.4</v>
      </c>
      <c r="D43" s="124">
        <v>382.7</v>
      </c>
      <c r="E43" s="124">
        <v>153.54</v>
      </c>
      <c r="F43" s="124">
        <v>103.9</v>
      </c>
      <c r="G43" s="124">
        <v>151.63</v>
      </c>
      <c r="H43" s="124">
        <v>147.03</v>
      </c>
      <c r="I43" s="124">
        <v>58.58</v>
      </c>
      <c r="J43" s="125">
        <v>52.88</v>
      </c>
      <c r="L43" s="39">
        <f t="shared" si="8"/>
        <v>9.9014258053157144E-4</v>
      </c>
      <c r="M43" s="40">
        <f t="shared" si="0"/>
        <v>3.2140787185837697E-3</v>
      </c>
      <c r="N43" s="40">
        <f t="shared" si="1"/>
        <v>1.0802672935210308E-2</v>
      </c>
      <c r="O43" s="40">
        <f t="shared" si="2"/>
        <v>2.2847444350153033E-3</v>
      </c>
      <c r="P43" s="40">
        <f t="shared" si="3"/>
        <v>-5.7714505579057392E-4</v>
      </c>
      <c r="Q43" s="40">
        <f t="shared" si="4"/>
        <v>2.3135906927551184E-3</v>
      </c>
      <c r="R43" s="40">
        <f t="shared" si="5"/>
        <v>-4.7383740607864931E-3</v>
      </c>
      <c r="S43" s="40">
        <f t="shared" si="6"/>
        <v>2.0526855969893506E-3</v>
      </c>
      <c r="T43" s="41">
        <f t="shared" si="7"/>
        <v>1.1863758132414937E-2</v>
      </c>
      <c r="V43" s="39">
        <f t="shared" si="9"/>
        <v>9.9014258053157144E-4</v>
      </c>
      <c r="W43" s="40" cm="1">
        <f t="array" ref="W43">IF(M43="","",SUMPRODUCT(M43:T43,TRANSPOSE('04_Dashboard'!$C$53:$C$60)))</f>
        <v>3.5669427721127809E-3</v>
      </c>
      <c r="X43" s="42">
        <f t="shared" si="10"/>
        <v>1.0646369146521264</v>
      </c>
      <c r="Y43" s="118">
        <f t="shared" si="11"/>
        <v>1.0404811653048134</v>
      </c>
      <c r="AA43" s="43">
        <f>IF(X43="","",X43/MAX($X$4:X43)-1)</f>
        <v>-8.1265099934113572E-4</v>
      </c>
      <c r="AB43" s="44">
        <f>IF(Y43="","",Y43/MAX($Y$4:Y43)-1)</f>
        <v>0</v>
      </c>
    </row>
    <row r="44" spans="1:28" x14ac:dyDescent="0.45">
      <c r="A44" s="121">
        <v>45259</v>
      </c>
      <c r="B44" s="124">
        <v>454.61</v>
      </c>
      <c r="C44" s="124">
        <v>189.37</v>
      </c>
      <c r="D44" s="124">
        <v>378.85</v>
      </c>
      <c r="E44" s="124">
        <v>154.32</v>
      </c>
      <c r="F44" s="124">
        <v>102.34</v>
      </c>
      <c r="G44" s="124">
        <v>152.11000000000001</v>
      </c>
      <c r="H44" s="124">
        <v>146.32</v>
      </c>
      <c r="I44" s="124">
        <v>58.23</v>
      </c>
      <c r="J44" s="125">
        <v>52.03</v>
      </c>
      <c r="L44" s="39">
        <f t="shared" si="8"/>
        <v>-7.0340491943814035E-4</v>
      </c>
      <c r="M44" s="40">
        <f t="shared" si="0"/>
        <v>-5.4096638655462244E-3</v>
      </c>
      <c r="N44" s="40">
        <f t="shared" si="1"/>
        <v>-1.0060099294486454E-2</v>
      </c>
      <c r="O44" s="40">
        <f t="shared" si="2"/>
        <v>5.0801094177413131E-3</v>
      </c>
      <c r="P44" s="40">
        <f t="shared" si="3"/>
        <v>-1.5014436958614073E-2</v>
      </c>
      <c r="Q44" s="40">
        <f t="shared" si="4"/>
        <v>3.1656004748401912E-3</v>
      </c>
      <c r="R44" s="40">
        <f t="shared" si="5"/>
        <v>-4.8289464735088621E-3</v>
      </c>
      <c r="S44" s="40">
        <f t="shared" si="6"/>
        <v>-5.9747354045749648E-3</v>
      </c>
      <c r="T44" s="41">
        <f t="shared" si="7"/>
        <v>-1.6074130105900176E-2</v>
      </c>
      <c r="V44" s="39">
        <f t="shared" si="9"/>
        <v>-7.0340491943814035E-4</v>
      </c>
      <c r="W44" s="40" cm="1">
        <f t="array" ref="W44">IF(M44="","",SUMPRODUCT(M44:T44,TRANSPOSE('04_Dashboard'!$C$53:$C$60)))</f>
        <v>-3.199621544066303E-3</v>
      </c>
      <c r="X44" s="42">
        <f t="shared" si="10"/>
        <v>1.0638880438089446</v>
      </c>
      <c r="Y44" s="118">
        <f t="shared" si="11"/>
        <v>1.0371520193521089</v>
      </c>
      <c r="AA44" s="43">
        <f>IF(X44="","",X44/MAX($X$4:X44)-1)</f>
        <v>-1.5154842960686254E-3</v>
      </c>
      <c r="AB44" s="44">
        <f>IF(Y44="","",Y44/MAX($Y$4:Y44)-1)</f>
        <v>-3.1996215440662779E-3</v>
      </c>
    </row>
    <row r="45" spans="1:28" x14ac:dyDescent="0.45">
      <c r="A45" s="121">
        <v>45260</v>
      </c>
      <c r="B45" s="124">
        <v>456.4</v>
      </c>
      <c r="C45" s="124">
        <v>189.95</v>
      </c>
      <c r="D45" s="124">
        <v>378.91</v>
      </c>
      <c r="E45" s="124">
        <v>156.08000000000001</v>
      </c>
      <c r="F45" s="124">
        <v>102.74</v>
      </c>
      <c r="G45" s="124">
        <v>154.66</v>
      </c>
      <c r="H45" s="124">
        <v>146.09</v>
      </c>
      <c r="I45" s="124">
        <v>58.44</v>
      </c>
      <c r="J45" s="125">
        <v>51.9</v>
      </c>
      <c r="L45" s="39">
        <f t="shared" si="8"/>
        <v>3.9374408833944777E-3</v>
      </c>
      <c r="M45" s="40">
        <f t="shared" si="0"/>
        <v>3.0627871362939436E-3</v>
      </c>
      <c r="N45" s="40">
        <f t="shared" si="1"/>
        <v>1.5837402665963381E-4</v>
      </c>
      <c r="O45" s="40">
        <f t="shared" si="2"/>
        <v>1.1404872991187269E-2</v>
      </c>
      <c r="P45" s="40">
        <f t="shared" si="3"/>
        <v>3.9085401602500635E-3</v>
      </c>
      <c r="Q45" s="40">
        <f t="shared" si="4"/>
        <v>1.6764183814344767E-2</v>
      </c>
      <c r="R45" s="40">
        <f t="shared" si="5"/>
        <v>-1.5718972115909636E-3</v>
      </c>
      <c r="S45" s="40">
        <f t="shared" si="6"/>
        <v>3.6063884595569445E-3</v>
      </c>
      <c r="T45" s="41">
        <f t="shared" si="7"/>
        <v>-2.4985585239285517E-3</v>
      </c>
      <c r="V45" s="39">
        <f t="shared" si="9"/>
        <v>3.9374408833944777E-3</v>
      </c>
      <c r="W45" s="40" cm="1">
        <f t="array" ref="W45">IF(M45="","",SUMPRODUCT(M45:T45,TRANSPOSE('04_Dashboard'!$C$53:$C$60)))</f>
        <v>7.1084925846525548E-3</v>
      </c>
      <c r="X45" s="42">
        <f t="shared" si="10"/>
        <v>1.0680770400879926</v>
      </c>
      <c r="Y45" s="118">
        <f t="shared" si="11"/>
        <v>1.0445246067908307</v>
      </c>
      <c r="AA45" s="43">
        <f>IF(X45="","",X45/MAX($X$4:X45)-1)</f>
        <v>0</v>
      </c>
      <c r="AB45" s="44">
        <f>IF(Y45="","",Y45/MAX($Y$4:Y45)-1)</f>
        <v>0</v>
      </c>
    </row>
    <row r="46" spans="1:28" x14ac:dyDescent="0.45">
      <c r="A46" s="121">
        <v>45261</v>
      </c>
      <c r="B46" s="124">
        <v>459.1</v>
      </c>
      <c r="C46" s="124">
        <v>191.24</v>
      </c>
      <c r="D46" s="124">
        <v>374.51</v>
      </c>
      <c r="E46" s="124">
        <v>156.84</v>
      </c>
      <c r="F46" s="124">
        <v>102.99</v>
      </c>
      <c r="G46" s="124">
        <v>158.38</v>
      </c>
      <c r="H46" s="124">
        <v>147.03</v>
      </c>
      <c r="I46" s="124">
        <v>58.64</v>
      </c>
      <c r="J46" s="125">
        <v>51.45</v>
      </c>
      <c r="L46" s="39">
        <f t="shared" si="8"/>
        <v>5.9158632778265677E-3</v>
      </c>
      <c r="M46" s="40">
        <f t="shared" si="0"/>
        <v>6.791260858120666E-3</v>
      </c>
      <c r="N46" s="40">
        <f t="shared" si="1"/>
        <v>-1.1612256208598437E-2</v>
      </c>
      <c r="O46" s="40">
        <f t="shared" si="2"/>
        <v>4.8692977960019916E-3</v>
      </c>
      <c r="P46" s="40">
        <f t="shared" si="3"/>
        <v>2.4333268444617483E-3</v>
      </c>
      <c r="Q46" s="40">
        <f t="shared" si="4"/>
        <v>2.4052760894866153E-2</v>
      </c>
      <c r="R46" s="40">
        <f t="shared" si="5"/>
        <v>6.434389759737133E-3</v>
      </c>
      <c r="S46" s="40">
        <f t="shared" si="6"/>
        <v>3.4223134839151755E-3</v>
      </c>
      <c r="T46" s="41">
        <f t="shared" si="7"/>
        <v>-8.6705202312137904E-3</v>
      </c>
      <c r="V46" s="39">
        <f t="shared" si="9"/>
        <v>5.9158632778265677E-3</v>
      </c>
      <c r="W46" s="40" cm="1">
        <f t="array" ref="W46">IF(M46="","",SUMPRODUCT(M46:T46,TRANSPOSE('04_Dashboard'!$C$53:$C$60)))</f>
        <v>6.3295399778425521E-3</v>
      </c>
      <c r="X46" s="42">
        <f t="shared" si="10"/>
        <v>1.0743956378273389</v>
      </c>
      <c r="Y46" s="118">
        <f t="shared" si="11"/>
        <v>1.0511359670473535</v>
      </c>
      <c r="AA46" s="43">
        <f>IF(X46="","",X46/MAX($X$4:X46)-1)</f>
        <v>0</v>
      </c>
      <c r="AB46" s="44">
        <f>IF(Y46="","",Y46/MAX($Y$4:Y46)-1)</f>
        <v>0</v>
      </c>
    </row>
    <row r="47" spans="1:28" x14ac:dyDescent="0.45">
      <c r="A47" s="121">
        <v>45264</v>
      </c>
      <c r="B47" s="124">
        <v>456.69</v>
      </c>
      <c r="C47" s="124">
        <v>189.43</v>
      </c>
      <c r="D47" s="124">
        <v>369.14</v>
      </c>
      <c r="E47" s="124">
        <v>157.99</v>
      </c>
      <c r="F47" s="124">
        <v>102.43</v>
      </c>
      <c r="G47" s="124">
        <v>158.88</v>
      </c>
      <c r="H47" s="124">
        <v>144.84</v>
      </c>
      <c r="I47" s="124">
        <v>58.57</v>
      </c>
      <c r="J47" s="125">
        <v>51.43</v>
      </c>
      <c r="L47" s="39">
        <f t="shared" si="8"/>
        <v>-5.2494010019604118E-3</v>
      </c>
      <c r="M47" s="40">
        <f t="shared" si="0"/>
        <v>-9.4645471658648932E-3</v>
      </c>
      <c r="N47" s="40">
        <f t="shared" si="1"/>
        <v>-1.4338735948305798E-2</v>
      </c>
      <c r="O47" s="40">
        <f t="shared" si="2"/>
        <v>7.3323131854119211E-3</v>
      </c>
      <c r="P47" s="40">
        <f t="shared" si="3"/>
        <v>-5.4374211088454036E-3</v>
      </c>
      <c r="Q47" s="40">
        <f t="shared" si="4"/>
        <v>3.1569642631645409E-3</v>
      </c>
      <c r="R47" s="40">
        <f t="shared" si="5"/>
        <v>-1.4894919404203209E-2</v>
      </c>
      <c r="S47" s="40">
        <f t="shared" si="6"/>
        <v>-1.1937244201910007E-3</v>
      </c>
      <c r="T47" s="41">
        <f t="shared" si="7"/>
        <v>-3.8872691933922496E-4</v>
      </c>
      <c r="V47" s="39">
        <f t="shared" si="9"/>
        <v>-5.2494010019604118E-3</v>
      </c>
      <c r="W47" s="40" cm="1">
        <f t="array" ref="W47">IF(M47="","",SUMPRODUCT(M47:T47,TRANSPOSE('04_Dashboard'!$C$53:$C$60)))</f>
        <v>-5.9369515099146606E-4</v>
      </c>
      <c r="X47" s="42">
        <f t="shared" si="10"/>
        <v>1.0687557042896263</v>
      </c>
      <c r="Y47" s="118">
        <f t="shared" si="11"/>
        <v>1.0505119127206848</v>
      </c>
      <c r="AA47" s="43">
        <f>IF(X47="","",X47/MAX($X$4:X47)-1)</f>
        <v>-5.2494010019603632E-3</v>
      </c>
      <c r="AB47" s="44">
        <f>IF(Y47="","",Y47/MAX($Y$4:Y47)-1)</f>
        <v>-5.9369515099139125E-4</v>
      </c>
    </row>
    <row r="48" spans="1:28" x14ac:dyDescent="0.45">
      <c r="A48" s="121">
        <v>45265</v>
      </c>
      <c r="B48" s="124">
        <v>456.6</v>
      </c>
      <c r="C48" s="124">
        <v>193.42</v>
      </c>
      <c r="D48" s="124">
        <v>372.52</v>
      </c>
      <c r="E48" s="124">
        <v>157.97</v>
      </c>
      <c r="F48" s="124">
        <v>100.44</v>
      </c>
      <c r="G48" s="124">
        <v>158.55000000000001</v>
      </c>
      <c r="H48" s="124">
        <v>146.88</v>
      </c>
      <c r="I48" s="124">
        <v>58.66</v>
      </c>
      <c r="J48" s="125">
        <v>51.91</v>
      </c>
      <c r="L48" s="39">
        <f t="shared" si="8"/>
        <v>-1.9707022268929686E-4</v>
      </c>
      <c r="M48" s="40">
        <f t="shared" si="0"/>
        <v>2.1063189568706016E-2</v>
      </c>
      <c r="N48" s="40">
        <f t="shared" si="1"/>
        <v>9.1564176193314074E-3</v>
      </c>
      <c r="O48" s="40">
        <f t="shared" si="2"/>
        <v>-1.265902905247815E-4</v>
      </c>
      <c r="P48" s="40">
        <f t="shared" si="3"/>
        <v>-1.9427901981841345E-2</v>
      </c>
      <c r="Q48" s="40">
        <f t="shared" si="4"/>
        <v>-2.0770392749243712E-3</v>
      </c>
      <c r="R48" s="40">
        <f t="shared" si="5"/>
        <v>1.4084507042253466E-2</v>
      </c>
      <c r="S48" s="40">
        <f t="shared" si="6"/>
        <v>1.5366228444595579E-3</v>
      </c>
      <c r="T48" s="41">
        <f t="shared" si="7"/>
        <v>9.3330740812754588E-3</v>
      </c>
      <c r="V48" s="39">
        <f t="shared" si="9"/>
        <v>-1.9707022268929686E-4</v>
      </c>
      <c r="W48" s="40" cm="1">
        <f t="array" ref="W48">IF(M48="","",SUMPRODUCT(M48:T48,TRANSPOSE('04_Dashboard'!$C$53:$C$60)))</f>
        <v>2.8383099422117615E-3</v>
      </c>
      <c r="X48" s="42">
        <f t="shared" si="10"/>
        <v>1.0685450843649815</v>
      </c>
      <c r="Y48" s="118">
        <f t="shared" si="11"/>
        <v>1.0534935911269718</v>
      </c>
      <c r="AA48" s="43">
        <f>IF(X48="","",X48/MAX($X$4:X48)-1)</f>
        <v>-5.4454367240251988E-3</v>
      </c>
      <c r="AB48" s="44">
        <f>IF(Y48="","",Y48/MAX($Y$4:Y48)-1)</f>
        <v>0</v>
      </c>
    </row>
    <row r="49" spans="1:28" x14ac:dyDescent="0.45">
      <c r="A49" s="121">
        <v>45266</v>
      </c>
      <c r="B49" s="124">
        <v>454.76</v>
      </c>
      <c r="C49" s="124">
        <v>192.32</v>
      </c>
      <c r="D49" s="124">
        <v>368.8</v>
      </c>
      <c r="E49" s="124">
        <v>156.31</v>
      </c>
      <c r="F49" s="124">
        <v>99.11</v>
      </c>
      <c r="G49" s="124">
        <v>156.62</v>
      </c>
      <c r="H49" s="124">
        <v>144.52000000000001</v>
      </c>
      <c r="I49" s="124">
        <v>58.6</v>
      </c>
      <c r="J49" s="125">
        <v>51.35</v>
      </c>
      <c r="L49" s="39">
        <f t="shared" si="8"/>
        <v>-4.0297853701270958E-3</v>
      </c>
      <c r="M49" s="40">
        <f t="shared" si="0"/>
        <v>-5.6871057801674823E-3</v>
      </c>
      <c r="N49" s="40">
        <f t="shared" si="1"/>
        <v>-9.9860410179318446E-3</v>
      </c>
      <c r="O49" s="40">
        <f t="shared" si="2"/>
        <v>-1.0508324365385811E-2</v>
      </c>
      <c r="P49" s="40">
        <f t="shared" si="3"/>
        <v>-1.3241736360015913E-2</v>
      </c>
      <c r="Q49" s="40">
        <f t="shared" si="4"/>
        <v>-1.2172816146326123E-2</v>
      </c>
      <c r="R49" s="40">
        <f t="shared" si="5"/>
        <v>-1.6067538126361556E-2</v>
      </c>
      <c r="S49" s="40">
        <f t="shared" si="6"/>
        <v>-1.0228435049436614E-3</v>
      </c>
      <c r="T49" s="41">
        <f t="shared" si="7"/>
        <v>-1.0787902138316225E-2</v>
      </c>
      <c r="V49" s="39">
        <f t="shared" si="9"/>
        <v>-4.0297853701270958E-3</v>
      </c>
      <c r="W49" s="40" cm="1">
        <f t="array" ref="W49">IF(M49="","",SUMPRODUCT(M49:T49,TRANSPOSE('04_Dashboard'!$C$53:$C$60)))</f>
        <v>-9.8750082194531234E-3</v>
      </c>
      <c r="X49" s="42">
        <f t="shared" si="10"/>
        <v>1.0642390770166863</v>
      </c>
      <c r="Y49" s="118">
        <f t="shared" si="11"/>
        <v>1.0430903332554518</v>
      </c>
      <c r="AA49" s="43">
        <f>IF(X49="","",X49/MAX($X$4:X49)-1)</f>
        <v>-9.4532781529078624E-3</v>
      </c>
      <c r="AB49" s="44">
        <f>IF(Y49="","",Y49/MAX($Y$4:Y49)-1)</f>
        <v>-9.8750082194531963E-3</v>
      </c>
    </row>
    <row r="50" spans="1:28" x14ac:dyDescent="0.45">
      <c r="A50" s="121">
        <v>45267</v>
      </c>
      <c r="B50" s="124">
        <v>458.23</v>
      </c>
      <c r="C50" s="124">
        <v>194.27</v>
      </c>
      <c r="D50" s="124">
        <v>370.95</v>
      </c>
      <c r="E50" s="124">
        <v>156.79</v>
      </c>
      <c r="F50" s="124">
        <v>98.42</v>
      </c>
      <c r="G50" s="124">
        <v>155.4</v>
      </c>
      <c r="H50" s="124">
        <v>146.88</v>
      </c>
      <c r="I50" s="124">
        <v>58.74</v>
      </c>
      <c r="J50" s="125">
        <v>50.82</v>
      </c>
      <c r="L50" s="39">
        <f t="shared" si="8"/>
        <v>7.6303984519307489E-3</v>
      </c>
      <c r="M50" s="40">
        <f t="shared" si="0"/>
        <v>1.0139351081530872E-2</v>
      </c>
      <c r="N50" s="40">
        <f t="shared" si="1"/>
        <v>5.8297180043383329E-3</v>
      </c>
      <c r="O50" s="40">
        <f t="shared" si="2"/>
        <v>3.0708208048108869E-3</v>
      </c>
      <c r="P50" s="40">
        <f t="shared" si="3"/>
        <v>-6.9619614569669834E-3</v>
      </c>
      <c r="Q50" s="40">
        <f t="shared" si="4"/>
        <v>-7.7895543353339218E-3</v>
      </c>
      <c r="R50" s="40">
        <f t="shared" si="5"/>
        <v>1.6329919734292729E-2</v>
      </c>
      <c r="S50" s="40">
        <f t="shared" si="6"/>
        <v>2.3890784982935251E-3</v>
      </c>
      <c r="T50" s="41">
        <f t="shared" si="7"/>
        <v>-1.0321324245374901E-2</v>
      </c>
      <c r="V50" s="39">
        <f t="shared" si="9"/>
        <v>7.6303984519307489E-3</v>
      </c>
      <c r="W50" s="40" cm="1">
        <f t="array" ref="W50">IF(M50="","",SUMPRODUCT(M50:T50,TRANSPOSE('04_Dashboard'!$C$53:$C$60)))</f>
        <v>-4.291301602345535E-4</v>
      </c>
      <c r="X50" s="42">
        <f t="shared" si="10"/>
        <v>1.0723596452224387</v>
      </c>
      <c r="Y50" s="118">
        <f t="shared" si="11"/>
        <v>1.0426427117336026</v>
      </c>
      <c r="AA50" s="43">
        <f>IF(X50="","",X50/MAX($X$4:X50)-1)</f>
        <v>-1.8950119799606702E-3</v>
      </c>
      <c r="AB50" s="44">
        <f>IF(Y50="","",Y50/MAX($Y$4:Y50)-1)</f>
        <v>-1.0299900715828314E-2</v>
      </c>
    </row>
    <row r="51" spans="1:28" x14ac:dyDescent="0.45">
      <c r="A51" s="121">
        <v>45268</v>
      </c>
      <c r="B51" s="124">
        <v>460.2</v>
      </c>
      <c r="C51" s="124">
        <v>195.71</v>
      </c>
      <c r="D51" s="124">
        <v>374.23</v>
      </c>
      <c r="E51" s="124">
        <v>158.52000000000001</v>
      </c>
      <c r="F51" s="124">
        <v>99.55</v>
      </c>
      <c r="G51" s="124">
        <v>154.41999999999999</v>
      </c>
      <c r="H51" s="124">
        <v>147.41999999999999</v>
      </c>
      <c r="I51" s="124">
        <v>58.61</v>
      </c>
      <c r="J51" s="125">
        <v>50.29</v>
      </c>
      <c r="L51" s="39">
        <f t="shared" si="8"/>
        <v>4.2991510813346363E-3</v>
      </c>
      <c r="M51" s="40">
        <f t="shared" si="0"/>
        <v>7.4123642353425521E-3</v>
      </c>
      <c r="N51" s="40">
        <f t="shared" si="1"/>
        <v>8.8421620164443448E-3</v>
      </c>
      <c r="O51" s="40">
        <f t="shared" si="2"/>
        <v>1.1033866955800869E-2</v>
      </c>
      <c r="P51" s="40">
        <f t="shared" si="3"/>
        <v>1.1481406218248277E-2</v>
      </c>
      <c r="Q51" s="40">
        <f t="shared" si="4"/>
        <v>-6.3063063063064232E-3</v>
      </c>
      <c r="R51" s="40">
        <f t="shared" si="5"/>
        <v>3.6764705882352399E-3</v>
      </c>
      <c r="S51" s="40">
        <f t="shared" si="6"/>
        <v>-2.2131426625809085E-3</v>
      </c>
      <c r="T51" s="41">
        <f t="shared" si="7"/>
        <v>-1.0428964974419542E-2</v>
      </c>
      <c r="V51" s="39">
        <f t="shared" si="9"/>
        <v>4.2991510813346363E-3</v>
      </c>
      <c r="W51" s="40" cm="1">
        <f t="array" ref="W51">IF(M51="","",SUMPRODUCT(M51:T51,TRANSPOSE('04_Dashboard'!$C$53:$C$60)))</f>
        <v>1.2058376500339867E-3</v>
      </c>
      <c r="X51" s="42">
        <f t="shared" si="10"/>
        <v>1.0769698813507762</v>
      </c>
      <c r="Y51" s="118">
        <f t="shared" si="11"/>
        <v>1.0438999695709443</v>
      </c>
      <c r="AA51" s="43">
        <f>IF(X51="","",X51/MAX($X$4:X51)-1)</f>
        <v>0</v>
      </c>
      <c r="AB51" s="44">
        <f>IF(Y51="","",Y51/MAX($Y$4:Y51)-1)</f>
        <v>-9.1064830738692981E-3</v>
      </c>
    </row>
    <row r="52" spans="1:28" x14ac:dyDescent="0.45">
      <c r="A52" s="121">
        <v>45271</v>
      </c>
      <c r="B52" s="124">
        <v>461.99</v>
      </c>
      <c r="C52" s="124">
        <v>193.18</v>
      </c>
      <c r="D52" s="124">
        <v>371.3</v>
      </c>
      <c r="E52" s="124">
        <v>159.1</v>
      </c>
      <c r="F52" s="124">
        <v>99.62</v>
      </c>
      <c r="G52" s="124">
        <v>155.06</v>
      </c>
      <c r="H52" s="124">
        <v>145.88999999999999</v>
      </c>
      <c r="I52" s="124">
        <v>59.04</v>
      </c>
      <c r="J52" s="125">
        <v>50.41</v>
      </c>
      <c r="L52" s="39">
        <f t="shared" si="8"/>
        <v>3.8896132116471543E-3</v>
      </c>
      <c r="M52" s="40">
        <f t="shared" si="0"/>
        <v>-1.2927290378621436E-2</v>
      </c>
      <c r="N52" s="40">
        <f t="shared" si="1"/>
        <v>-7.8294097212944086E-3</v>
      </c>
      <c r="O52" s="40">
        <f t="shared" si="2"/>
        <v>3.6588443098661623E-3</v>
      </c>
      <c r="P52" s="40">
        <f t="shared" si="3"/>
        <v>7.0316423907591558E-4</v>
      </c>
      <c r="Q52" s="40">
        <f t="shared" si="4"/>
        <v>4.1445408625826628E-3</v>
      </c>
      <c r="R52" s="40">
        <f t="shared" si="5"/>
        <v>-1.0378510378510387E-2</v>
      </c>
      <c r="S52" s="40">
        <f t="shared" si="6"/>
        <v>7.3366319740658546E-3</v>
      </c>
      <c r="T52" s="41">
        <f t="shared" si="7"/>
        <v>2.3861602704314464E-3</v>
      </c>
      <c r="V52" s="39">
        <f t="shared" si="9"/>
        <v>3.8896132116471543E-3</v>
      </c>
      <c r="W52" s="40" cm="1">
        <f t="array" ref="W52">IF(M52="","",SUMPRODUCT(M52:T52,TRANSPOSE('04_Dashboard'!$C$53:$C$60)))</f>
        <v>1.2301795400636961E-3</v>
      </c>
      <c r="X52" s="42">
        <f t="shared" si="10"/>
        <v>1.0811588776298242</v>
      </c>
      <c r="Y52" s="118">
        <f t="shared" si="11"/>
        <v>1.0451841539553837</v>
      </c>
      <c r="AA52" s="43">
        <f>IF(X52="","",X52/MAX($X$4:X52)-1)</f>
        <v>0</v>
      </c>
      <c r="AB52" s="44">
        <f>IF(Y52="","",Y52/MAX($Y$4:Y52)-1)</f>
        <v>-7.8875061429649618E-3</v>
      </c>
    </row>
    <row r="53" spans="1:28" x14ac:dyDescent="0.45">
      <c r="A53" s="121">
        <v>45272</v>
      </c>
      <c r="B53" s="124">
        <v>464.1</v>
      </c>
      <c r="C53" s="124">
        <v>194.71</v>
      </c>
      <c r="D53" s="124">
        <v>374.38</v>
      </c>
      <c r="E53" s="124">
        <v>160.52000000000001</v>
      </c>
      <c r="F53" s="124">
        <v>98.05</v>
      </c>
      <c r="G53" s="124">
        <v>155.07</v>
      </c>
      <c r="H53" s="124">
        <v>147.47999999999999</v>
      </c>
      <c r="I53" s="124">
        <v>59.42</v>
      </c>
      <c r="J53" s="125">
        <v>50.45</v>
      </c>
      <c r="L53" s="39">
        <f t="shared" si="8"/>
        <v>4.5671984242083453E-3</v>
      </c>
      <c r="M53" s="40">
        <f t="shared" si="0"/>
        <v>7.9200745418780468E-3</v>
      </c>
      <c r="N53" s="40">
        <f t="shared" si="1"/>
        <v>8.2951791004578085E-3</v>
      </c>
      <c r="O53" s="40">
        <f t="shared" si="2"/>
        <v>8.9252042740415836E-3</v>
      </c>
      <c r="P53" s="40">
        <f t="shared" si="3"/>
        <v>-1.5759887572776625E-2</v>
      </c>
      <c r="Q53" s="40">
        <f t="shared" si="4"/>
        <v>6.4491164710376011E-5</v>
      </c>
      <c r="R53" s="40">
        <f t="shared" si="5"/>
        <v>1.0898622249640165E-2</v>
      </c>
      <c r="S53" s="40">
        <f t="shared" si="6"/>
        <v>6.4363143631436751E-3</v>
      </c>
      <c r="T53" s="41">
        <f t="shared" si="7"/>
        <v>7.9349335449328026E-4</v>
      </c>
      <c r="V53" s="39">
        <f t="shared" si="9"/>
        <v>4.5671984242083453E-3</v>
      </c>
      <c r="W53" s="40" cm="1">
        <f t="array" ref="W53">IF(M53="","",SUMPRODUCT(M53:T53,TRANSPOSE('04_Dashboard'!$C$53:$C$60)))</f>
        <v>4.1472314124034546E-3</v>
      </c>
      <c r="X53" s="42">
        <f t="shared" si="10"/>
        <v>1.086096744752054</v>
      </c>
      <c r="Y53" s="118">
        <f t="shared" si="11"/>
        <v>1.0495187745104138</v>
      </c>
      <c r="AA53" s="43">
        <f>IF(X53="","",X53/MAX($X$4:X53)-1)</f>
        <v>0</v>
      </c>
      <c r="AB53" s="44">
        <f>IF(Y53="","",Y53/MAX($Y$4:Y53)-1)</f>
        <v>-3.7729860438030505E-3</v>
      </c>
    </row>
    <row r="54" spans="1:28" x14ac:dyDescent="0.45">
      <c r="A54" s="121">
        <v>45273</v>
      </c>
      <c r="B54" s="124">
        <v>470.5</v>
      </c>
      <c r="C54" s="124">
        <v>197.96</v>
      </c>
      <c r="D54" s="124">
        <v>374.37</v>
      </c>
      <c r="E54" s="124">
        <v>161.06</v>
      </c>
      <c r="F54" s="124">
        <v>98.92</v>
      </c>
      <c r="G54" s="124">
        <v>155.79</v>
      </c>
      <c r="H54" s="124">
        <v>148.84</v>
      </c>
      <c r="I54" s="124">
        <v>59.93</v>
      </c>
      <c r="J54" s="125">
        <v>51.35</v>
      </c>
      <c r="L54" s="39">
        <f t="shared" si="8"/>
        <v>1.3790131437190212E-2</v>
      </c>
      <c r="M54" s="40">
        <f t="shared" si="0"/>
        <v>1.6691489908068409E-2</v>
      </c>
      <c r="N54" s="40">
        <f t="shared" si="1"/>
        <v>-2.6710828569877944E-5</v>
      </c>
      <c r="O54" s="40">
        <f t="shared" si="2"/>
        <v>3.3640667829553453E-3</v>
      </c>
      <c r="P54" s="40">
        <f t="shared" si="3"/>
        <v>8.8730239673636361E-3</v>
      </c>
      <c r="Q54" s="40">
        <f t="shared" si="4"/>
        <v>4.6430644225188555E-3</v>
      </c>
      <c r="R54" s="40">
        <f t="shared" si="5"/>
        <v>9.221589368049999E-3</v>
      </c>
      <c r="S54" s="40">
        <f t="shared" si="6"/>
        <v>8.5829686974082456E-3</v>
      </c>
      <c r="T54" s="41">
        <f t="shared" si="7"/>
        <v>1.783944499504457E-2</v>
      </c>
      <c r="V54" s="39">
        <f t="shared" si="9"/>
        <v>1.3790131437190212E-2</v>
      </c>
      <c r="W54" s="40" cm="1">
        <f t="array" ref="W54">IF(M54="","",SUMPRODUCT(M54:T54,TRANSPOSE('04_Dashboard'!$C$53:$C$60)))</f>
        <v>7.6211108025994109E-3</v>
      </c>
      <c r="X54" s="42">
        <f t="shared" si="10"/>
        <v>1.1010741616156892</v>
      </c>
      <c r="Y54" s="118">
        <f t="shared" si="11"/>
        <v>1.0575172733803659</v>
      </c>
      <c r="AA54" s="43">
        <f>IF(X54="","",X54/MAX($X$4:X54)-1)</f>
        <v>0</v>
      </c>
      <c r="AB54" s="44">
        <f>IF(Y54="","",Y54/MAX($Y$4:Y54)-1)</f>
        <v>0</v>
      </c>
    </row>
    <row r="55" spans="1:28" x14ac:dyDescent="0.45">
      <c r="A55" s="121">
        <v>45274</v>
      </c>
      <c r="B55" s="124">
        <v>472.01</v>
      </c>
      <c r="C55" s="124">
        <v>198.11</v>
      </c>
      <c r="D55" s="124">
        <v>365.93</v>
      </c>
      <c r="E55" s="124">
        <v>163.99</v>
      </c>
      <c r="F55" s="124">
        <v>101.58</v>
      </c>
      <c r="G55" s="124">
        <v>156.87</v>
      </c>
      <c r="H55" s="124">
        <v>147.41999999999999</v>
      </c>
      <c r="I55" s="124">
        <v>59.04</v>
      </c>
      <c r="J55" s="125">
        <v>50.72</v>
      </c>
      <c r="L55" s="39">
        <f t="shared" si="8"/>
        <v>3.2093517534537534E-3</v>
      </c>
      <c r="M55" s="40">
        <f t="shared" si="0"/>
        <v>7.5772883410792926E-4</v>
      </c>
      <c r="N55" s="40">
        <f t="shared" si="1"/>
        <v>-2.254454149638058E-2</v>
      </c>
      <c r="O55" s="40">
        <f t="shared" si="2"/>
        <v>1.8191978144790802E-2</v>
      </c>
      <c r="P55" s="40">
        <f t="shared" si="3"/>
        <v>2.6890416498180313E-2</v>
      </c>
      <c r="Q55" s="40">
        <f t="shared" si="4"/>
        <v>6.9324090121317961E-3</v>
      </c>
      <c r="R55" s="40">
        <f t="shared" si="5"/>
        <v>-9.5404461166354194E-3</v>
      </c>
      <c r="S55" s="40">
        <f t="shared" si="6"/>
        <v>-1.485065910228601E-2</v>
      </c>
      <c r="T55" s="41">
        <f t="shared" si="7"/>
        <v>-1.2268743914313584E-2</v>
      </c>
      <c r="V55" s="39">
        <f t="shared" si="9"/>
        <v>3.2093517534537534E-3</v>
      </c>
      <c r="W55" s="40" cm="1">
        <f t="array" ref="W55">IF(M55="","",SUMPRODUCT(M55:T55,TRANSPOSE('04_Dashboard'!$C$53:$C$60)))</f>
        <v>1.3474501853227572E-3</v>
      </c>
      <c r="X55" s="42">
        <f t="shared" si="10"/>
        <v>1.104607895906953</v>
      </c>
      <c r="Y55" s="118">
        <f t="shared" si="11"/>
        <v>1.0589422252263643</v>
      </c>
      <c r="AA55" s="43">
        <f>IF(X55="","",X55/MAX($X$4:X55)-1)</f>
        <v>0</v>
      </c>
      <c r="AB55" s="44">
        <f>IF(Y55="","",Y55/MAX($Y$4:Y55)-1)</f>
        <v>0</v>
      </c>
    </row>
    <row r="56" spans="1:28" x14ac:dyDescent="0.45">
      <c r="A56" s="121">
        <v>45275</v>
      </c>
      <c r="B56" s="124">
        <v>469.33</v>
      </c>
      <c r="C56" s="124">
        <v>197.57</v>
      </c>
      <c r="D56" s="124">
        <v>370.73</v>
      </c>
      <c r="E56" s="124">
        <v>165.23</v>
      </c>
      <c r="F56" s="124">
        <v>100.9</v>
      </c>
      <c r="G56" s="124">
        <v>155.16</v>
      </c>
      <c r="H56" s="124">
        <v>149.97</v>
      </c>
      <c r="I56" s="124">
        <v>58.6</v>
      </c>
      <c r="J56" s="125">
        <v>50.91</v>
      </c>
      <c r="L56" s="39">
        <f t="shared" si="8"/>
        <v>-5.6778458083515324E-3</v>
      </c>
      <c r="M56" s="40">
        <f t="shared" si="0"/>
        <v>-2.7257584170411408E-3</v>
      </c>
      <c r="N56" s="40">
        <f t="shared" si="1"/>
        <v>1.311726286448231E-2</v>
      </c>
      <c r="O56" s="40">
        <f t="shared" si="2"/>
        <v>7.5614366729677453E-3</v>
      </c>
      <c r="P56" s="40">
        <f t="shared" si="3"/>
        <v>-6.6942311478636798E-3</v>
      </c>
      <c r="Q56" s="40">
        <f t="shared" si="4"/>
        <v>-1.0900745840504928E-2</v>
      </c>
      <c r="R56" s="40">
        <f t="shared" si="5"/>
        <v>1.7297517297517377E-2</v>
      </c>
      <c r="S56" s="40">
        <f t="shared" si="6"/>
        <v>-7.4525745257452191E-3</v>
      </c>
      <c r="T56" s="41">
        <f t="shared" si="7"/>
        <v>3.7460567823343403E-3</v>
      </c>
      <c r="V56" s="39">
        <f t="shared" si="9"/>
        <v>-5.6778458083515324E-3</v>
      </c>
      <c r="W56" s="40" cm="1">
        <f t="array" ref="W56">IF(M56="","",SUMPRODUCT(M56:T56,TRANSPOSE('04_Dashboard'!$C$53:$C$60)))</f>
        <v>3.6507683850394541E-4</v>
      </c>
      <c r="X56" s="42">
        <f t="shared" si="10"/>
        <v>1.0983361025953058</v>
      </c>
      <c r="Y56" s="118">
        <f t="shared" si="11"/>
        <v>1.0593288205061082</v>
      </c>
      <c r="AA56" s="43">
        <f>IF(X56="","",X56/MAX($X$4:X56)-1)</f>
        <v>-5.6778458083514005E-3</v>
      </c>
      <c r="AB56" s="44">
        <f>IF(Y56="","",Y56/MAX($Y$4:Y56)-1)</f>
        <v>0</v>
      </c>
    </row>
    <row r="57" spans="1:28" x14ac:dyDescent="0.45">
      <c r="A57" s="121">
        <v>45278</v>
      </c>
      <c r="B57" s="124">
        <v>471.97</v>
      </c>
      <c r="C57" s="124">
        <v>195.89</v>
      </c>
      <c r="D57" s="124">
        <v>372.65</v>
      </c>
      <c r="E57" s="124">
        <v>166.23</v>
      </c>
      <c r="F57" s="124">
        <v>101.65</v>
      </c>
      <c r="G57" s="124">
        <v>155.44</v>
      </c>
      <c r="H57" s="124">
        <v>154.07</v>
      </c>
      <c r="I57" s="124">
        <v>59.02</v>
      </c>
      <c r="J57" s="125">
        <v>51.66</v>
      </c>
      <c r="L57" s="39">
        <f t="shared" si="8"/>
        <v>5.6250399505679231E-3</v>
      </c>
      <c r="M57" s="40">
        <f t="shared" si="0"/>
        <v>-8.5033152806600534E-3</v>
      </c>
      <c r="N57" s="40">
        <f t="shared" si="1"/>
        <v>5.1789712189462926E-3</v>
      </c>
      <c r="O57" s="40">
        <f t="shared" si="2"/>
        <v>6.0521697028384676E-3</v>
      </c>
      <c r="P57" s="40">
        <f t="shared" si="3"/>
        <v>7.4331020812685826E-3</v>
      </c>
      <c r="Q57" s="40">
        <f t="shared" si="4"/>
        <v>1.8045888115493759E-3</v>
      </c>
      <c r="R57" s="40">
        <f t="shared" si="5"/>
        <v>2.7338801093552006E-2</v>
      </c>
      <c r="S57" s="40">
        <f t="shared" si="6"/>
        <v>7.167235494880575E-3</v>
      </c>
      <c r="T57" s="41">
        <f t="shared" si="7"/>
        <v>1.4731879787860933E-2</v>
      </c>
      <c r="V57" s="39">
        <f t="shared" si="9"/>
        <v>5.6250399505679231E-3</v>
      </c>
      <c r="W57" s="40" cm="1">
        <f t="array" ref="W57">IF(M57="","",SUMPRODUCT(M57:T57,TRANSPOSE('04_Dashboard'!$C$53:$C$60)))</f>
        <v>7.1781387674363286E-3</v>
      </c>
      <c r="X57" s="42">
        <f t="shared" si="10"/>
        <v>1.1045142870515554</v>
      </c>
      <c r="Y57" s="118">
        <f t="shared" si="11"/>
        <v>1.0669328297800458</v>
      </c>
      <c r="AA57" s="43">
        <f>IF(X57="","",X57/MAX($X$4:X57)-1)</f>
        <v>-8.4743967288636313E-5</v>
      </c>
      <c r="AB57" s="44">
        <f>IF(Y57="","",Y57/MAX($Y$4:Y57)-1)</f>
        <v>0</v>
      </c>
    </row>
    <row r="58" spans="1:28" x14ac:dyDescent="0.45">
      <c r="A58" s="121">
        <v>45279</v>
      </c>
      <c r="B58" s="124">
        <v>474.84</v>
      </c>
      <c r="C58" s="124">
        <v>196.94</v>
      </c>
      <c r="D58" s="124">
        <v>373.26</v>
      </c>
      <c r="E58" s="124">
        <v>168.45</v>
      </c>
      <c r="F58" s="124">
        <v>102.99</v>
      </c>
      <c r="G58" s="124">
        <v>156.46</v>
      </c>
      <c r="H58" s="124">
        <v>153.79</v>
      </c>
      <c r="I58" s="124">
        <v>58.83</v>
      </c>
      <c r="J58" s="125">
        <v>51.84</v>
      </c>
      <c r="L58" s="39">
        <f t="shared" si="8"/>
        <v>6.0808949721379481E-3</v>
      </c>
      <c r="M58" s="40">
        <f t="shared" si="0"/>
        <v>5.3601511052121676E-3</v>
      </c>
      <c r="N58" s="40">
        <f t="shared" si="1"/>
        <v>1.6369247282973667E-3</v>
      </c>
      <c r="O58" s="40">
        <f t="shared" si="2"/>
        <v>1.3354990073993859E-2</v>
      </c>
      <c r="P58" s="40">
        <f t="shared" si="3"/>
        <v>1.3182488932611796E-2</v>
      </c>
      <c r="Q58" s="40">
        <f t="shared" si="4"/>
        <v>6.562017498713396E-3</v>
      </c>
      <c r="R58" s="40">
        <f t="shared" si="5"/>
        <v>-1.8173557473875586E-3</v>
      </c>
      <c r="S58" s="40">
        <f t="shared" si="6"/>
        <v>-3.2192477126398648E-3</v>
      </c>
      <c r="T58" s="41">
        <f t="shared" si="7"/>
        <v>3.4843205574914215E-3</v>
      </c>
      <c r="V58" s="39">
        <f t="shared" si="9"/>
        <v>6.0808949721379481E-3</v>
      </c>
      <c r="W58" s="40" cm="1">
        <f t="array" ref="W58">IF(M58="","",SUMPRODUCT(M58:T58,TRANSPOSE('04_Dashboard'!$C$53:$C$60)))</f>
        <v>5.7020817659997908E-3</v>
      </c>
      <c r="X58" s="42">
        <f t="shared" si="10"/>
        <v>1.1112307224263418</v>
      </c>
      <c r="Y58" s="118">
        <f t="shared" si="11"/>
        <v>1.0730165680142811</v>
      </c>
      <c r="AA58" s="43">
        <f>IF(X58="","",X58/MAX($X$4:X58)-1)</f>
        <v>0</v>
      </c>
      <c r="AB58" s="44">
        <f>IF(Y58="","",Y58/MAX($Y$4:Y58)-1)</f>
        <v>0</v>
      </c>
    </row>
    <row r="59" spans="1:28" x14ac:dyDescent="0.45">
      <c r="A59" s="121">
        <v>45280</v>
      </c>
      <c r="B59" s="124">
        <v>468.26</v>
      </c>
      <c r="C59" s="124">
        <v>194.83</v>
      </c>
      <c r="D59" s="124">
        <v>370.62</v>
      </c>
      <c r="E59" s="124">
        <v>166.55</v>
      </c>
      <c r="F59" s="124">
        <v>101.27</v>
      </c>
      <c r="G59" s="124">
        <v>153.27000000000001</v>
      </c>
      <c r="H59" s="124">
        <v>152.12</v>
      </c>
      <c r="I59" s="124">
        <v>57.61</v>
      </c>
      <c r="J59" s="125">
        <v>51.24</v>
      </c>
      <c r="L59" s="39">
        <f t="shared" si="8"/>
        <v>-1.3857299300817085E-2</v>
      </c>
      <c r="M59" s="40">
        <f t="shared" si="0"/>
        <v>-1.0713923022240201E-2</v>
      </c>
      <c r="N59" s="40">
        <f t="shared" si="1"/>
        <v>-7.0728178749396835E-3</v>
      </c>
      <c r="O59" s="40">
        <f t="shared" si="2"/>
        <v>-1.1279311368358429E-2</v>
      </c>
      <c r="P59" s="40">
        <f t="shared" si="3"/>
        <v>-1.670065054859694E-2</v>
      </c>
      <c r="Q59" s="40">
        <f t="shared" si="4"/>
        <v>-2.0388597724658043E-2</v>
      </c>
      <c r="R59" s="40">
        <f t="shared" si="5"/>
        <v>-1.0858963521685335E-2</v>
      </c>
      <c r="S59" s="40">
        <f t="shared" si="6"/>
        <v>-2.073771885092638E-2</v>
      </c>
      <c r="T59" s="41">
        <f t="shared" si="7"/>
        <v>-1.1574074074074101E-2</v>
      </c>
      <c r="V59" s="39">
        <f t="shared" si="9"/>
        <v>-1.3857299300817085E-2</v>
      </c>
      <c r="W59" s="40" cm="1">
        <f t="array" ref="W59">IF(M59="","",SUMPRODUCT(M59:T59,TRANSPOSE('04_Dashboard'!$C$53:$C$60)))</f>
        <v>-1.4723520930606412E-2</v>
      </c>
      <c r="X59" s="42">
        <f t="shared" si="10"/>
        <v>1.0958320657134166</v>
      </c>
      <c r="Y59" s="118">
        <f t="shared" si="11"/>
        <v>1.0572179861162354</v>
      </c>
      <c r="AA59" s="43">
        <f>IF(X59="","",X59/MAX($X$4:X59)-1)</f>
        <v>-1.385729930081725E-2</v>
      </c>
      <c r="AB59" s="44">
        <f>IF(Y59="","",Y59/MAX($Y$4:Y59)-1)</f>
        <v>-1.472352093060636E-2</v>
      </c>
    </row>
    <row r="60" spans="1:28" x14ac:dyDescent="0.45">
      <c r="A60" s="121">
        <v>45281</v>
      </c>
      <c r="B60" s="124">
        <v>472.7</v>
      </c>
      <c r="C60" s="124">
        <v>194.68</v>
      </c>
      <c r="D60" s="124">
        <v>373.54</v>
      </c>
      <c r="E60" s="124">
        <v>167.5</v>
      </c>
      <c r="F60" s="124">
        <v>101.73</v>
      </c>
      <c r="G60" s="124">
        <v>154.84</v>
      </c>
      <c r="H60" s="124">
        <v>153.84</v>
      </c>
      <c r="I60" s="124">
        <v>57.99</v>
      </c>
      <c r="J60" s="125">
        <v>51.6</v>
      </c>
      <c r="L60" s="39">
        <f t="shared" si="8"/>
        <v>9.4819117584248012E-3</v>
      </c>
      <c r="M60" s="40">
        <f t="shared" si="0"/>
        <v>-7.6990196581638187E-4</v>
      </c>
      <c r="N60" s="40">
        <f t="shared" si="1"/>
        <v>7.8786897630997131E-3</v>
      </c>
      <c r="O60" s="40">
        <f t="shared" si="2"/>
        <v>5.7039927949564008E-3</v>
      </c>
      <c r="P60" s="40">
        <f t="shared" si="3"/>
        <v>4.5423126296041073E-3</v>
      </c>
      <c r="Q60" s="40">
        <f t="shared" si="4"/>
        <v>1.0243361388399512E-2</v>
      </c>
      <c r="R60" s="40">
        <f t="shared" si="5"/>
        <v>1.1306863002892445E-2</v>
      </c>
      <c r="S60" s="40">
        <f t="shared" si="6"/>
        <v>6.5960770699531775E-3</v>
      </c>
      <c r="T60" s="41">
        <f t="shared" si="7"/>
        <v>7.0257611241217686E-3</v>
      </c>
      <c r="V60" s="39">
        <f t="shared" si="9"/>
        <v>9.4819117584248012E-3</v>
      </c>
      <c r="W60" s="40" cm="1">
        <f t="array" ref="W60">IF(M60="","",SUMPRODUCT(M60:T60,TRANSPOSE('04_Dashboard'!$C$53:$C$60)))</f>
        <v>7.2387342110874012E-3</v>
      </c>
      <c r="X60" s="42">
        <f t="shared" si="10"/>
        <v>1.1062226486625637</v>
      </c>
      <c r="Y60" s="118">
        <f t="shared" si="11"/>
        <v>1.0648709061209118</v>
      </c>
      <c r="AA60" s="43">
        <f>IF(X60="","",X60/MAX($X$4:X60)-1)</f>
        <v>-4.5067812315727762E-3</v>
      </c>
      <c r="AB60" s="44">
        <f>IF(Y60="","",Y60/MAX($Y$4:Y60)-1)</f>
        <v>-7.591366374187114E-3</v>
      </c>
    </row>
    <row r="61" spans="1:28" x14ac:dyDescent="0.45">
      <c r="A61" s="121">
        <v>45282</v>
      </c>
      <c r="B61" s="124">
        <v>473.65</v>
      </c>
      <c r="C61" s="124">
        <v>193.6</v>
      </c>
      <c r="D61" s="124">
        <v>374.58</v>
      </c>
      <c r="E61" s="124">
        <v>167.4</v>
      </c>
      <c r="F61" s="124">
        <v>101.91</v>
      </c>
      <c r="G61" s="124">
        <v>155.46</v>
      </c>
      <c r="H61" s="124">
        <v>153.41999999999999</v>
      </c>
      <c r="I61" s="124">
        <v>58.32</v>
      </c>
      <c r="J61" s="125">
        <v>52.22</v>
      </c>
      <c r="L61" s="39">
        <f t="shared" si="8"/>
        <v>2.0097313306536675E-3</v>
      </c>
      <c r="M61" s="40">
        <f t="shared" si="0"/>
        <v>-5.5475652352579233E-3</v>
      </c>
      <c r="N61" s="40">
        <f t="shared" si="1"/>
        <v>2.7841730470631351E-3</v>
      </c>
      <c r="O61" s="40">
        <f t="shared" si="2"/>
        <v>-5.970149253731004E-4</v>
      </c>
      <c r="P61" s="40">
        <f t="shared" si="3"/>
        <v>1.7693895606015198E-3</v>
      </c>
      <c r="Q61" s="40">
        <f t="shared" si="4"/>
        <v>4.0041332988892051E-3</v>
      </c>
      <c r="R61" s="40">
        <f t="shared" si="5"/>
        <v>-2.730109204368278E-3</v>
      </c>
      <c r="S61" s="40">
        <f t="shared" si="6"/>
        <v>5.6906363166062818E-3</v>
      </c>
      <c r="T61" s="41">
        <f t="shared" si="7"/>
        <v>1.2015503875968942E-2</v>
      </c>
      <c r="V61" s="39">
        <f t="shared" si="9"/>
        <v>2.0097313306536675E-3</v>
      </c>
      <c r="W61" s="40" cm="1">
        <f t="array" ref="W61">IF(M61="","",SUMPRODUCT(M61:T61,TRANSPOSE('04_Dashboard'!$C$53:$C$60)))</f>
        <v>3.0481191658006308E-3</v>
      </c>
      <c r="X61" s="42">
        <f t="shared" si="10"/>
        <v>1.1084458589782595</v>
      </c>
      <c r="Y61" s="118">
        <f t="shared" si="11"/>
        <v>1.0681167595389627</v>
      </c>
      <c r="AA61" s="43">
        <f>IF(X61="","",X61/MAX($X$4:X61)-1)</f>
        <v>-2.5061073203606066E-3</v>
      </c>
      <c r="AB61" s="44">
        <f>IF(Y61="","",Y61/MAX($Y$4:Y61)-1)</f>
        <v>-4.5663865977261242E-3</v>
      </c>
    </row>
    <row r="62" spans="1:28" x14ac:dyDescent="0.45">
      <c r="A62" s="121">
        <v>45286</v>
      </c>
      <c r="B62" s="124">
        <v>475.65</v>
      </c>
      <c r="C62" s="124">
        <v>193.05</v>
      </c>
      <c r="D62" s="124">
        <v>374.66</v>
      </c>
      <c r="E62" s="124">
        <v>168.39</v>
      </c>
      <c r="F62" s="124">
        <v>102.14</v>
      </c>
      <c r="G62" s="124">
        <v>156.13999999999999</v>
      </c>
      <c r="H62" s="124">
        <v>153.41</v>
      </c>
      <c r="I62" s="124">
        <v>58.56</v>
      </c>
      <c r="J62" s="125">
        <v>52.14</v>
      </c>
      <c r="L62" s="39">
        <f t="shared" si="8"/>
        <v>4.2225271825187373E-3</v>
      </c>
      <c r="M62" s="40">
        <f t="shared" si="0"/>
        <v>-2.840909090909003E-3</v>
      </c>
      <c r="N62" s="40">
        <f t="shared" si="1"/>
        <v>2.1357253457216332E-4</v>
      </c>
      <c r="O62" s="40">
        <f t="shared" si="2"/>
        <v>5.9139784946235403E-3</v>
      </c>
      <c r="P62" s="40">
        <f t="shared" si="3"/>
        <v>2.2568933372584042E-3</v>
      </c>
      <c r="Q62" s="40">
        <f t="shared" si="4"/>
        <v>4.3741155281099859E-3</v>
      </c>
      <c r="R62" s="40">
        <f t="shared" si="5"/>
        <v>-6.5180550123783776E-5</v>
      </c>
      <c r="S62" s="40">
        <f t="shared" si="6"/>
        <v>4.1152263374485938E-3</v>
      </c>
      <c r="T62" s="41">
        <f t="shared" si="7"/>
        <v>-1.5319800842588721E-3</v>
      </c>
      <c r="V62" s="39">
        <f t="shared" si="9"/>
        <v>4.2225271825187373E-3</v>
      </c>
      <c r="W62" s="40" cm="1">
        <f t="array" ref="W62">IF(M62="","",SUMPRODUCT(M62:T62,TRANSPOSE('04_Dashboard'!$C$53:$C$60)))</f>
        <v>2.7661904233671013E-3</v>
      </c>
      <c r="X62" s="42">
        <f t="shared" si="10"/>
        <v>1.1131263017481454</v>
      </c>
      <c r="Y62" s="118">
        <f t="shared" si="11"/>
        <v>1.0710713738902373</v>
      </c>
      <c r="AA62" s="43">
        <f>IF(X62="","",X62/MAX($X$4:X62)-1)</f>
        <v>0</v>
      </c>
      <c r="AB62" s="44">
        <f>IF(Y62="","",Y62/MAX($Y$4:Y62)-1)</f>
        <v>-1.8128276692349621E-3</v>
      </c>
    </row>
    <row r="63" spans="1:28" x14ac:dyDescent="0.45">
      <c r="A63" s="121">
        <v>45287</v>
      </c>
      <c r="B63" s="124">
        <v>476.51</v>
      </c>
      <c r="C63" s="124">
        <v>193.15</v>
      </c>
      <c r="D63" s="124">
        <v>374.07</v>
      </c>
      <c r="E63" s="124">
        <v>169.4</v>
      </c>
      <c r="F63" s="124">
        <v>101.66</v>
      </c>
      <c r="G63" s="124">
        <v>156.35</v>
      </c>
      <c r="H63" s="124">
        <v>153.34</v>
      </c>
      <c r="I63" s="124">
        <v>58.71</v>
      </c>
      <c r="J63" s="125">
        <v>52.63</v>
      </c>
      <c r="L63" s="39">
        <f t="shared" si="8"/>
        <v>1.8080521391779958E-3</v>
      </c>
      <c r="M63" s="40">
        <f t="shared" si="0"/>
        <v>5.1800051800048855E-4</v>
      </c>
      <c r="N63" s="40">
        <f t="shared" si="1"/>
        <v>-1.5747611167459344E-3</v>
      </c>
      <c r="O63" s="40">
        <f t="shared" si="2"/>
        <v>5.9979808777244461E-3</v>
      </c>
      <c r="P63" s="40">
        <f t="shared" si="3"/>
        <v>-4.6994321519483453E-3</v>
      </c>
      <c r="Q63" s="40">
        <f t="shared" si="4"/>
        <v>1.3449468425772255E-3</v>
      </c>
      <c r="R63" s="40">
        <f t="shared" si="5"/>
        <v>-4.5629359233422321E-4</v>
      </c>
      <c r="S63" s="40">
        <f t="shared" si="6"/>
        <v>2.5614754098360411E-3</v>
      </c>
      <c r="T63" s="41">
        <f t="shared" si="7"/>
        <v>9.397775220560069E-3</v>
      </c>
      <c r="V63" s="39">
        <f t="shared" si="9"/>
        <v>1.8080521391779958E-3</v>
      </c>
      <c r="W63" s="40" cm="1">
        <f t="array" ref="W63">IF(M63="","",SUMPRODUCT(M63:T63,TRANSPOSE('04_Dashboard'!$C$53:$C$60)))</f>
        <v>3.0608639257628128E-3</v>
      </c>
      <c r="X63" s="42">
        <f t="shared" si="10"/>
        <v>1.1151388921391963</v>
      </c>
      <c r="Y63" s="118">
        <f t="shared" si="11"/>
        <v>1.0743497776204951</v>
      </c>
      <c r="AA63" s="43">
        <f>IF(X63="","",X63/MAX($X$4:X63)-1)</f>
        <v>0</v>
      </c>
      <c r="AB63" s="44">
        <f>IF(Y63="","",Y63/MAX($Y$4:Y63)-1)</f>
        <v>0</v>
      </c>
    </row>
    <row r="64" spans="1:28" x14ac:dyDescent="0.45">
      <c r="A64" s="121">
        <v>45288</v>
      </c>
      <c r="B64" s="124">
        <v>476.69</v>
      </c>
      <c r="C64" s="124">
        <v>193.58</v>
      </c>
      <c r="D64" s="124">
        <v>375.28</v>
      </c>
      <c r="E64" s="124">
        <v>170.3</v>
      </c>
      <c r="F64" s="124">
        <v>100.19</v>
      </c>
      <c r="G64" s="124">
        <v>156.58000000000001</v>
      </c>
      <c r="H64" s="124">
        <v>153.38</v>
      </c>
      <c r="I64" s="124">
        <v>58.75</v>
      </c>
      <c r="J64" s="125">
        <v>52.52</v>
      </c>
      <c r="L64" s="39">
        <f t="shared" si="8"/>
        <v>3.7774653207699069E-4</v>
      </c>
      <c r="M64" s="40">
        <f t="shared" si="0"/>
        <v>2.2262490292519121E-3</v>
      </c>
      <c r="N64" s="40">
        <f t="shared" si="1"/>
        <v>3.2346886946292928E-3</v>
      </c>
      <c r="O64" s="40">
        <f t="shared" si="2"/>
        <v>5.3128689492326188E-3</v>
      </c>
      <c r="P64" s="40">
        <f t="shared" si="3"/>
        <v>-1.4459964587841816E-2</v>
      </c>
      <c r="Q64" s="40">
        <f t="shared" si="4"/>
        <v>1.4710585225456872E-3</v>
      </c>
      <c r="R64" s="40">
        <f t="shared" si="5"/>
        <v>2.6085822355544568E-4</v>
      </c>
      <c r="S64" s="40">
        <f t="shared" si="6"/>
        <v>6.8131493782999739E-4</v>
      </c>
      <c r="T64" s="41">
        <f t="shared" si="7"/>
        <v>-2.0900627018810456E-3</v>
      </c>
      <c r="V64" s="39">
        <f t="shared" si="9"/>
        <v>3.7774653207699069E-4</v>
      </c>
      <c r="W64" s="40" cm="1">
        <f t="array" ref="W64">IF(M64="","",SUMPRODUCT(M64:T64,TRANSPOSE('04_Dashboard'!$C$53:$C$60)))</f>
        <v>1.0516030292937622E-3</v>
      </c>
      <c r="X64" s="42">
        <f t="shared" si="10"/>
        <v>1.1155601319884858</v>
      </c>
      <c r="Y64" s="118">
        <f t="shared" si="11"/>
        <v>1.0754795671011619</v>
      </c>
      <c r="AA64" s="43">
        <f>IF(X64="","",X64/MAX($X$4:X64)-1)</f>
        <v>0</v>
      </c>
      <c r="AB64" s="44">
        <f>IF(Y64="","",Y64/MAX($Y$4:Y64)-1)</f>
        <v>0</v>
      </c>
    </row>
    <row r="65" spans="1:28" x14ac:dyDescent="0.45">
      <c r="A65" s="121">
        <v>45289</v>
      </c>
      <c r="B65" s="124">
        <v>475.31</v>
      </c>
      <c r="C65" s="124">
        <v>192.53</v>
      </c>
      <c r="D65" s="124">
        <v>376.04</v>
      </c>
      <c r="E65" s="124">
        <v>170.1</v>
      </c>
      <c r="F65" s="124">
        <v>99.98</v>
      </c>
      <c r="G65" s="124">
        <v>156.74</v>
      </c>
      <c r="H65" s="124">
        <v>151.94</v>
      </c>
      <c r="I65" s="124">
        <v>58.93</v>
      </c>
      <c r="J65" s="125">
        <v>52.55</v>
      </c>
      <c r="L65" s="39">
        <f t="shared" si="8"/>
        <v>-2.8949631836203728E-3</v>
      </c>
      <c r="M65" s="40">
        <f t="shared" si="0"/>
        <v>-5.4241140613700348E-3</v>
      </c>
      <c r="N65" s="40">
        <f t="shared" si="1"/>
        <v>2.0251545512685138E-3</v>
      </c>
      <c r="O65" s="40">
        <f t="shared" si="2"/>
        <v>-1.1743981209631066E-3</v>
      </c>
      <c r="P65" s="40">
        <f t="shared" si="3"/>
        <v>-2.0960175666233532E-3</v>
      </c>
      <c r="Q65" s="40">
        <f t="shared" si="4"/>
        <v>1.0218418699706002E-3</v>
      </c>
      <c r="R65" s="40">
        <f t="shared" si="5"/>
        <v>-9.3884469943929967E-3</v>
      </c>
      <c r="S65" s="40">
        <f t="shared" si="6"/>
        <v>3.0638297872340376E-3</v>
      </c>
      <c r="T65" s="41">
        <f t="shared" si="7"/>
        <v>5.7121096725045752E-4</v>
      </c>
      <c r="V65" s="39">
        <f t="shared" si="9"/>
        <v>-2.8949631836203728E-3</v>
      </c>
      <c r="W65" s="40" cm="1">
        <f t="array" ref="W65">IF(M65="","",SUMPRODUCT(M65:T65,TRANSPOSE('04_Dashboard'!$C$53:$C$60)))</f>
        <v>-4.8752739173040112E-4</v>
      </c>
      <c r="X65" s="42">
        <f t="shared" si="10"/>
        <v>1.1123306264772646</v>
      </c>
      <c r="Y65" s="118">
        <f t="shared" si="11"/>
        <v>1.0749552413529537</v>
      </c>
      <c r="AA65" s="43">
        <f>IF(X65="","",X65/MAX($X$4:X65)-1)</f>
        <v>-2.8949631836202583E-3</v>
      </c>
      <c r="AB65" s="44">
        <f>IF(Y65="","",Y65/MAX($Y$4:Y65)-1)</f>
        <v>-4.8752739173041348E-4</v>
      </c>
    </row>
    <row r="66" spans="1:28" x14ac:dyDescent="0.45">
      <c r="A66" s="121">
        <v>45293</v>
      </c>
      <c r="B66" s="124">
        <v>472.65</v>
      </c>
      <c r="C66" s="124">
        <v>185.64</v>
      </c>
      <c r="D66" s="124">
        <v>370.87</v>
      </c>
      <c r="E66" s="124">
        <v>172.08</v>
      </c>
      <c r="F66" s="124">
        <v>102.36</v>
      </c>
      <c r="G66" s="124">
        <v>159.97</v>
      </c>
      <c r="H66" s="124">
        <v>149.93</v>
      </c>
      <c r="I66" s="124">
        <v>59.82</v>
      </c>
      <c r="J66" s="125">
        <v>53.1</v>
      </c>
      <c r="L66" s="39">
        <f t="shared" si="8"/>
        <v>-5.5963476467989839E-3</v>
      </c>
      <c r="M66" s="40">
        <f t="shared" si="0"/>
        <v>-3.5786630654962938E-2</v>
      </c>
      <c r="N66" s="40">
        <f t="shared" si="1"/>
        <v>-1.3748537389639442E-2</v>
      </c>
      <c r="O66" s="40">
        <f t="shared" si="2"/>
        <v>1.1640211640211747E-2</v>
      </c>
      <c r="P66" s="40">
        <f t="shared" si="3"/>
        <v>2.380476095219039E-2</v>
      </c>
      <c r="Q66" s="40">
        <f t="shared" si="4"/>
        <v>2.0607375271149607E-2</v>
      </c>
      <c r="R66" s="40">
        <f t="shared" si="5"/>
        <v>-1.3228906147163294E-2</v>
      </c>
      <c r="S66" s="40">
        <f t="shared" si="6"/>
        <v>1.5102664177838123E-2</v>
      </c>
      <c r="T66" s="41">
        <f t="shared" si="7"/>
        <v>1.0466222645099986E-2</v>
      </c>
      <c r="V66" s="39">
        <f t="shared" si="9"/>
        <v>-5.5963476467989839E-3</v>
      </c>
      <c r="W66" s="40" cm="1">
        <f t="array" ref="W66">IF(M66="","",SUMPRODUCT(M66:T66,TRANSPOSE('04_Dashboard'!$C$53:$C$60)))</f>
        <v>8.5303481459252668E-3</v>
      </c>
      <c r="X66" s="42">
        <f t="shared" si="10"/>
        <v>1.106105637593316</v>
      </c>
      <c r="Y66" s="118">
        <f t="shared" si="11"/>
        <v>1.0841249838029816</v>
      </c>
      <c r="AA66" s="43">
        <f>IF(X66="","",X66/MAX($X$4:X66)-1)</f>
        <v>-8.4751096100190715E-3</v>
      </c>
      <c r="AB66" s="44">
        <f>IF(Y66="","",Y66/MAX($Y$4:Y66)-1)</f>
        <v>0</v>
      </c>
    </row>
    <row r="67" spans="1:28" x14ac:dyDescent="0.45">
      <c r="A67" s="121">
        <v>45294</v>
      </c>
      <c r="B67" s="124">
        <v>468.79</v>
      </c>
      <c r="C67" s="124">
        <v>184.25</v>
      </c>
      <c r="D67" s="124">
        <v>370.6</v>
      </c>
      <c r="E67" s="124">
        <v>171.33</v>
      </c>
      <c r="F67" s="124">
        <v>103.22</v>
      </c>
      <c r="G67" s="124">
        <v>160.97</v>
      </c>
      <c r="H67" s="124">
        <v>148.47</v>
      </c>
      <c r="I67" s="124">
        <v>59.96</v>
      </c>
      <c r="J67" s="125">
        <v>53.1</v>
      </c>
      <c r="L67" s="39">
        <f t="shared" si="8"/>
        <v>-8.1667195599279749E-3</v>
      </c>
      <c r="M67" s="40">
        <f t="shared" si="0"/>
        <v>-7.4876104287868268E-3</v>
      </c>
      <c r="N67" s="40">
        <f t="shared" si="1"/>
        <v>-7.2801790384766042E-4</v>
      </c>
      <c r="O67" s="40">
        <f t="shared" si="2"/>
        <v>-4.3584379358437937E-3</v>
      </c>
      <c r="P67" s="40">
        <f t="shared" si="3"/>
        <v>8.401719421649077E-3</v>
      </c>
      <c r="Q67" s="40">
        <f t="shared" si="4"/>
        <v>6.2511720947677693E-3</v>
      </c>
      <c r="R67" s="40">
        <f t="shared" si="5"/>
        <v>-9.737877676248969E-3</v>
      </c>
      <c r="S67" s="40">
        <f t="shared" si="6"/>
        <v>2.3403543965229115E-3</v>
      </c>
      <c r="T67" s="41">
        <f t="shared" si="7"/>
        <v>0</v>
      </c>
      <c r="V67" s="39">
        <f t="shared" si="9"/>
        <v>-8.1667195599279749E-3</v>
      </c>
      <c r="W67" s="40" cm="1">
        <f t="array" ref="W67">IF(M67="","",SUMPRODUCT(M67:T67,TRANSPOSE('04_Dashboard'!$C$53:$C$60)))</f>
        <v>2.2203018515518699E-5</v>
      </c>
      <c r="X67" s="42">
        <f t="shared" si="10"/>
        <v>1.097072383047436</v>
      </c>
      <c r="Y67" s="118">
        <f t="shared" si="11"/>
        <v>1.0841490546500701</v>
      </c>
      <c r="AA67" s="43">
        <f>IF(X67="","",X67/MAX($X$4:X67)-1)</f>
        <v>-1.6572615326522433E-2</v>
      </c>
      <c r="AB67" s="44">
        <f>IF(Y67="","",Y67/MAX($Y$4:Y67)-1)</f>
        <v>0</v>
      </c>
    </row>
    <row r="68" spans="1:28" x14ac:dyDescent="0.45">
      <c r="A68" s="121">
        <v>45295</v>
      </c>
      <c r="B68" s="124">
        <v>467.28</v>
      </c>
      <c r="C68" s="124">
        <v>181.91</v>
      </c>
      <c r="D68" s="124">
        <v>367.94</v>
      </c>
      <c r="E68" s="124">
        <v>171.41</v>
      </c>
      <c r="F68" s="124">
        <v>102.32</v>
      </c>
      <c r="G68" s="124">
        <v>160.63</v>
      </c>
      <c r="H68" s="124">
        <v>144.57</v>
      </c>
      <c r="I68" s="124">
        <v>59.76</v>
      </c>
      <c r="J68" s="125">
        <v>52.59</v>
      </c>
      <c r="L68" s="39">
        <f t="shared" si="8"/>
        <v>-3.2210584696773558E-3</v>
      </c>
      <c r="M68" s="40">
        <f t="shared" ref="M68:M131" si="12">IF(C68="","",(C68-C67)/C67)</f>
        <v>-1.2700135685210331E-2</v>
      </c>
      <c r="N68" s="40">
        <f t="shared" ref="N68:N131" si="13">IF(D68="","",(D68-D67)/D67)</f>
        <v>-7.1775499190502561E-3</v>
      </c>
      <c r="O68" s="40">
        <f t="shared" ref="O68:O131" si="14">IF(E68="","",(E68-E67)/E67)</f>
        <v>4.6693515438034247E-4</v>
      </c>
      <c r="P68" s="40">
        <f t="shared" ref="P68:P131" si="15">IF(F68="","",(F68-F67)/F67)</f>
        <v>-8.7192404572757776E-3</v>
      </c>
      <c r="Q68" s="40">
        <f t="shared" ref="Q68:Q131" si="16">IF(G68="","",(G68-G67)/G67)</f>
        <v>-2.112194818910377E-3</v>
      </c>
      <c r="R68" s="40">
        <f t="shared" ref="R68:R131" si="17">IF(H68="","",(H68-H67)/H67)</f>
        <v>-2.6267932915740592E-2</v>
      </c>
      <c r="S68" s="40">
        <f t="shared" ref="S68:S131" si="18">IF(I68="","",(I68-I67)/I67)</f>
        <v>-3.3355570380253978E-3</v>
      </c>
      <c r="T68" s="41">
        <f t="shared" ref="T68:T131" si="19">IF(J68="","",(J68-J67)/J67)</f>
        <v>-9.6045197740112619E-3</v>
      </c>
      <c r="V68" s="39">
        <f t="shared" si="9"/>
        <v>-3.2210584696773558E-3</v>
      </c>
      <c r="W68" s="40" cm="1">
        <f t="array" ref="W68">IF(M68="","",SUMPRODUCT(M68:T68,TRANSPOSE('04_Dashboard'!$C$53:$C$60)))</f>
        <v>-5.7506813681410191E-3</v>
      </c>
      <c r="X68" s="42">
        <f t="shared" si="10"/>
        <v>1.093538648756172</v>
      </c>
      <c r="Y68" s="118">
        <f t="shared" si="11"/>
        <v>1.0779144588812062</v>
      </c>
      <c r="AA68" s="43">
        <f>IF(X68="","",X68/MAX($X$4:X68)-1)</f>
        <v>-1.9740292433237494E-2</v>
      </c>
      <c r="AB68" s="44">
        <f>IF(Y68="","",Y68/MAX($Y$4:Y68)-1)</f>
        <v>-5.7506813681410529E-3</v>
      </c>
    </row>
    <row r="69" spans="1:28" x14ac:dyDescent="0.45">
      <c r="A69" s="121">
        <v>45296</v>
      </c>
      <c r="B69" s="124">
        <v>467.92</v>
      </c>
      <c r="C69" s="124">
        <v>181.18</v>
      </c>
      <c r="D69" s="124">
        <v>367.75</v>
      </c>
      <c r="E69" s="124">
        <v>172.27</v>
      </c>
      <c r="F69" s="124">
        <v>102.63</v>
      </c>
      <c r="G69" s="124">
        <v>161.13</v>
      </c>
      <c r="H69" s="124">
        <v>145.24</v>
      </c>
      <c r="I69" s="124">
        <v>59.67</v>
      </c>
      <c r="J69" s="125">
        <v>52.24</v>
      </c>
      <c r="L69" s="39">
        <f t="shared" ref="L69:L132" si="20">IF(B69="","",(B69-B68)/B68)</f>
        <v>1.3696284882726486E-3</v>
      </c>
      <c r="M69" s="40">
        <f t="shared" si="12"/>
        <v>-4.0129734484084974E-3</v>
      </c>
      <c r="N69" s="40">
        <f t="shared" si="13"/>
        <v>-5.1638854161003894E-4</v>
      </c>
      <c r="O69" s="40">
        <f t="shared" si="14"/>
        <v>5.0172101977715051E-3</v>
      </c>
      <c r="P69" s="40">
        <f t="shared" si="15"/>
        <v>3.0297107114933765E-3</v>
      </c>
      <c r="Q69" s="40">
        <f t="shared" si="16"/>
        <v>3.1127435721845236E-3</v>
      </c>
      <c r="R69" s="40">
        <f t="shared" si="17"/>
        <v>4.6344331465727048E-3</v>
      </c>
      <c r="S69" s="40">
        <f t="shared" si="18"/>
        <v>-1.5060240963854804E-3</v>
      </c>
      <c r="T69" s="41">
        <f t="shared" si="19"/>
        <v>-6.6552576535463285E-3</v>
      </c>
      <c r="V69" s="39">
        <f t="shared" ref="V69:V132" si="21">L69</f>
        <v>1.3696284882726486E-3</v>
      </c>
      <c r="W69" s="40" cm="1">
        <f t="array" ref="W69">IF(M69="","",SUMPRODUCT(M69:T69,TRANSPOSE('04_Dashboard'!$C$53:$C$60)))</f>
        <v>1.0300581873840815E-3</v>
      </c>
      <c r="X69" s="42">
        <f t="shared" si="10"/>
        <v>1.0950363904425358</v>
      </c>
      <c r="Y69" s="118">
        <f t="shared" si="11"/>
        <v>1.0790247734948766</v>
      </c>
      <c r="AA69" s="43">
        <f>IF(X69="","",X69/MAX($X$4:X69)-1)</f>
        <v>-1.8397700811848217E-2</v>
      </c>
      <c r="AB69" s="44">
        <f>IF(Y69="","",Y69/MAX($Y$4:Y69)-1)</f>
        <v>-4.7265467171830888E-3</v>
      </c>
    </row>
    <row r="70" spans="1:28" x14ac:dyDescent="0.45">
      <c r="A70" s="121">
        <v>45299</v>
      </c>
      <c r="B70" s="124">
        <v>474.6</v>
      </c>
      <c r="C70" s="124">
        <v>185.56</v>
      </c>
      <c r="D70" s="124">
        <v>374.69</v>
      </c>
      <c r="E70" s="124">
        <v>172.02</v>
      </c>
      <c r="F70" s="124">
        <v>100.92</v>
      </c>
      <c r="G70" s="124">
        <v>161.53</v>
      </c>
      <c r="H70" s="124">
        <v>149.1</v>
      </c>
      <c r="I70" s="124">
        <v>60.11</v>
      </c>
      <c r="J70" s="125">
        <v>52.75</v>
      </c>
      <c r="L70" s="39">
        <f t="shared" si="20"/>
        <v>1.4275944605915556E-2</v>
      </c>
      <c r="M70" s="40">
        <f t="shared" si="12"/>
        <v>2.4174853736615494E-2</v>
      </c>
      <c r="N70" s="40">
        <f t="shared" si="13"/>
        <v>1.8871515975526845E-2</v>
      </c>
      <c r="O70" s="40">
        <f t="shared" si="14"/>
        <v>-1.4512103093980379E-3</v>
      </c>
      <c r="P70" s="40">
        <f t="shared" si="15"/>
        <v>-1.6661794796842967E-2</v>
      </c>
      <c r="Q70" s="40">
        <f t="shared" si="16"/>
        <v>2.482467572767366E-3</v>
      </c>
      <c r="R70" s="40">
        <f t="shared" si="17"/>
        <v>2.6576700633434213E-2</v>
      </c>
      <c r="S70" s="40">
        <f t="shared" si="18"/>
        <v>7.3738897268308653E-3</v>
      </c>
      <c r="T70" s="41">
        <f t="shared" si="19"/>
        <v>9.7626339969371749E-3</v>
      </c>
      <c r="V70" s="39">
        <f t="shared" si="21"/>
        <v>1.4275944605915556E-2</v>
      </c>
      <c r="W70" s="40" cm="1">
        <f t="array" ref="W70">IF(M70="","",SUMPRODUCT(M70:T70,TRANSPOSE('04_Dashboard'!$C$53:$C$60)))</f>
        <v>6.3684792219089814E-3</v>
      </c>
      <c r="X70" s="42">
        <f t="shared" ref="X70:X133" si="22">IF(V70="","",X69*(1+V70))</f>
        <v>1.1106690692939551</v>
      </c>
      <c r="Y70" s="118">
        <f t="shared" ref="Y70:Y133" si="23">IF(W70="","",Y69*(1+W70))</f>
        <v>1.0858965203448037</v>
      </c>
      <c r="AA70" s="43">
        <f>IF(X70="","",X70/MAX($X$4:X70)-1)</f>
        <v>-4.3844007635988058E-3</v>
      </c>
      <c r="AB70" s="44">
        <f>IF(Y70="","",Y70/MAX($Y$4:Y70)-1)</f>
        <v>0</v>
      </c>
    </row>
    <row r="71" spans="1:28" x14ac:dyDescent="0.45">
      <c r="A71" s="121">
        <v>45300</v>
      </c>
      <c r="B71" s="124">
        <v>473.88</v>
      </c>
      <c r="C71" s="124">
        <v>185.14</v>
      </c>
      <c r="D71" s="124">
        <v>375.79</v>
      </c>
      <c r="E71" s="124">
        <v>170.66</v>
      </c>
      <c r="F71" s="124">
        <v>99.67</v>
      </c>
      <c r="G71" s="124">
        <v>161.63</v>
      </c>
      <c r="H71" s="124">
        <v>151.37</v>
      </c>
      <c r="I71" s="124">
        <v>60</v>
      </c>
      <c r="J71" s="125">
        <v>53.1</v>
      </c>
      <c r="L71" s="39">
        <f t="shared" si="20"/>
        <v>-1.517067003792725E-3</v>
      </c>
      <c r="M71" s="40">
        <f t="shared" si="12"/>
        <v>-2.2634188402673849E-3</v>
      </c>
      <c r="N71" s="40">
        <f t="shared" si="13"/>
        <v>2.9357602284555838E-3</v>
      </c>
      <c r="O71" s="40">
        <f t="shared" si="14"/>
        <v>-7.9060574351820338E-3</v>
      </c>
      <c r="P71" s="40">
        <f t="shared" si="15"/>
        <v>-1.2386048355132778E-2</v>
      </c>
      <c r="Q71" s="40">
        <f t="shared" si="16"/>
        <v>6.1908004705004836E-4</v>
      </c>
      <c r="R71" s="40">
        <f t="shared" si="17"/>
        <v>1.522468142186459E-2</v>
      </c>
      <c r="S71" s="40">
        <f t="shared" si="18"/>
        <v>-1.8299783729828552E-3</v>
      </c>
      <c r="T71" s="41">
        <f t="shared" si="19"/>
        <v>6.6350710900474202E-3</v>
      </c>
      <c r="V71" s="39">
        <f t="shared" si="21"/>
        <v>-1.517067003792725E-3</v>
      </c>
      <c r="W71" s="40" cm="1">
        <f t="array" ref="W71">IF(M71="","",SUMPRODUCT(M71:T71,TRANSPOSE('04_Dashboard'!$C$53:$C$60)))</f>
        <v>-4.7878227712779789E-4</v>
      </c>
      <c r="X71" s="42">
        <f t="shared" si="22"/>
        <v>1.1089841098967961</v>
      </c>
      <c r="Y71" s="118">
        <f t="shared" si="23"/>
        <v>1.0853766123360677</v>
      </c>
      <c r="AA71" s="43">
        <f>IF(X71="","",X71/MAX($X$4:X71)-1)</f>
        <v>-5.8948163376616458E-3</v>
      </c>
      <c r="AB71" s="44">
        <f>IF(Y71="","",Y71/MAX($Y$4:Y71)-1)</f>
        <v>-4.7878227712783161E-4</v>
      </c>
    </row>
    <row r="72" spans="1:28" x14ac:dyDescent="0.45">
      <c r="A72" s="121">
        <v>45301</v>
      </c>
      <c r="B72" s="124">
        <v>476.56</v>
      </c>
      <c r="C72" s="124">
        <v>186.19</v>
      </c>
      <c r="D72" s="124">
        <v>382.77</v>
      </c>
      <c r="E72" s="124">
        <v>171.02</v>
      </c>
      <c r="F72" s="124">
        <v>98.69</v>
      </c>
      <c r="G72" s="124">
        <v>161.87</v>
      </c>
      <c r="H72" s="124">
        <v>153.72999999999999</v>
      </c>
      <c r="I72" s="124">
        <v>60.2</v>
      </c>
      <c r="J72" s="125">
        <v>53.76</v>
      </c>
      <c r="L72" s="39">
        <f t="shared" si="20"/>
        <v>5.6554401958301822E-3</v>
      </c>
      <c r="M72" s="40">
        <f t="shared" si="12"/>
        <v>5.6713838176515692E-3</v>
      </c>
      <c r="N72" s="40">
        <f t="shared" si="13"/>
        <v>1.8574203677585784E-2</v>
      </c>
      <c r="O72" s="40">
        <f t="shared" si="14"/>
        <v>2.1094574006797939E-3</v>
      </c>
      <c r="P72" s="40">
        <f t="shared" si="15"/>
        <v>-9.8324470753486902E-3</v>
      </c>
      <c r="Q72" s="40">
        <f t="shared" si="16"/>
        <v>1.4848728577616106E-3</v>
      </c>
      <c r="R72" s="40">
        <f t="shared" si="17"/>
        <v>1.5590936116799797E-2</v>
      </c>
      <c r="S72" s="40">
        <f t="shared" si="18"/>
        <v>3.3333333333333808E-3</v>
      </c>
      <c r="T72" s="41">
        <f t="shared" si="19"/>
        <v>1.2429378531073381E-2</v>
      </c>
      <c r="V72" s="39">
        <f t="shared" si="21"/>
        <v>5.6554401958301822E-3</v>
      </c>
      <c r="W72" s="40" cm="1">
        <f t="array" ref="W72">IF(M72="","",SUMPRODUCT(M72:T72,TRANSPOSE('04_Dashboard'!$C$53:$C$60)))</f>
        <v>5.2806862085833881E-3</v>
      </c>
      <c r="X72" s="42">
        <f t="shared" si="22"/>
        <v>1.1152559032084435</v>
      </c>
      <c r="Y72" s="118">
        <f t="shared" si="23"/>
        <v>1.0911081456439498</v>
      </c>
      <c r="AA72" s="43">
        <f>IF(X72="","",X72/MAX($X$4:X72)-1)</f>
        <v>-2.7271392309446973E-4</v>
      </c>
      <c r="AB72" s="44">
        <f>IF(Y72="","",Y72/MAX($Y$4:Y72)-1)</f>
        <v>0</v>
      </c>
    </row>
    <row r="73" spans="1:28" x14ac:dyDescent="0.45">
      <c r="A73" s="121">
        <v>45302</v>
      </c>
      <c r="B73" s="124">
        <v>476.35</v>
      </c>
      <c r="C73" s="124">
        <v>185.59</v>
      </c>
      <c r="D73" s="124">
        <v>384.63</v>
      </c>
      <c r="E73" s="124">
        <v>170.3</v>
      </c>
      <c r="F73" s="124">
        <v>98.67</v>
      </c>
      <c r="G73" s="124">
        <v>161.15</v>
      </c>
      <c r="H73" s="124">
        <v>155.18</v>
      </c>
      <c r="I73" s="124">
        <v>59.81</v>
      </c>
      <c r="J73" s="125">
        <v>53.7</v>
      </c>
      <c r="L73" s="39">
        <f t="shared" si="20"/>
        <v>-4.4065804935365861E-4</v>
      </c>
      <c r="M73" s="40">
        <f t="shared" si="12"/>
        <v>-3.2225146355872726E-3</v>
      </c>
      <c r="N73" s="40">
        <f t="shared" si="13"/>
        <v>4.8593149933380715E-3</v>
      </c>
      <c r="O73" s="40">
        <f t="shared" si="14"/>
        <v>-4.2100339141620795E-3</v>
      </c>
      <c r="P73" s="40">
        <f t="shared" si="15"/>
        <v>-2.0265477758634129E-4</v>
      </c>
      <c r="Q73" s="40">
        <f t="shared" si="16"/>
        <v>-4.4480138382652678E-3</v>
      </c>
      <c r="R73" s="40">
        <f t="shared" si="17"/>
        <v>9.4321212515450278E-3</v>
      </c>
      <c r="S73" s="40">
        <f t="shared" si="18"/>
        <v>-6.4784053156146269E-3</v>
      </c>
      <c r="T73" s="41">
        <f t="shared" si="19"/>
        <v>-1.1160714285713387E-3</v>
      </c>
      <c r="V73" s="39">
        <f t="shared" si="21"/>
        <v>-4.4065804935365861E-4</v>
      </c>
      <c r="W73" s="40" cm="1">
        <f t="array" ref="W73">IF(M73="","",SUMPRODUCT(M73:T73,TRANSPOSE('04_Dashboard'!$C$53:$C$60)))</f>
        <v>-2.2740042297317319E-3</v>
      </c>
      <c r="X73" s="42">
        <f t="shared" si="22"/>
        <v>1.1147644567176054</v>
      </c>
      <c r="Y73" s="118">
        <f t="shared" si="23"/>
        <v>1.0886269611056607</v>
      </c>
      <c r="AA73" s="43">
        <f>IF(X73="","",X73/MAX($X$4:X73)-1)</f>
        <v>-7.1325179886283507E-4</v>
      </c>
      <c r="AB73" s="44">
        <f>IF(Y73="","",Y73/MAX($Y$4:Y73)-1)</f>
        <v>-2.2740042297316743E-3</v>
      </c>
    </row>
    <row r="74" spans="1:28" x14ac:dyDescent="0.45">
      <c r="A74" s="121">
        <v>45303</v>
      </c>
      <c r="B74" s="124">
        <v>476.68</v>
      </c>
      <c r="C74" s="124">
        <v>185.92</v>
      </c>
      <c r="D74" s="124">
        <v>388.47</v>
      </c>
      <c r="E74" s="124">
        <v>169.05</v>
      </c>
      <c r="F74" s="124">
        <v>99.95</v>
      </c>
      <c r="G74" s="124">
        <v>162.38999999999999</v>
      </c>
      <c r="H74" s="124">
        <v>154.62</v>
      </c>
      <c r="I74" s="124">
        <v>60.39</v>
      </c>
      <c r="J74" s="125">
        <v>53.77</v>
      </c>
      <c r="L74" s="39">
        <f t="shared" si="20"/>
        <v>6.9276792274584669E-4</v>
      </c>
      <c r="M74" s="40">
        <f t="shared" si="12"/>
        <v>1.7781130448837981E-3</v>
      </c>
      <c r="N74" s="40">
        <f t="shared" si="13"/>
        <v>9.9836206224164312E-3</v>
      </c>
      <c r="O74" s="40">
        <f t="shared" si="14"/>
        <v>-7.3399882560187899E-3</v>
      </c>
      <c r="P74" s="40">
        <f t="shared" si="15"/>
        <v>1.2972534711665158E-2</v>
      </c>
      <c r="Q74" s="40">
        <f t="shared" si="16"/>
        <v>7.6946943841140593E-3</v>
      </c>
      <c r="R74" s="40">
        <f t="shared" si="17"/>
        <v>-3.6087124629462703E-3</v>
      </c>
      <c r="S74" s="40">
        <f t="shared" si="18"/>
        <v>9.6973750208994864E-3</v>
      </c>
      <c r="T74" s="41">
        <f t="shared" si="19"/>
        <v>1.3035381750465601E-3</v>
      </c>
      <c r="V74" s="39">
        <f t="shared" si="21"/>
        <v>6.9276792274584669E-4</v>
      </c>
      <c r="W74" s="40" cm="1">
        <f t="array" ref="W74">IF(M74="","",SUMPRODUCT(M74:T74,TRANSPOSE('04_Dashboard'!$C$53:$C$60)))</f>
        <v>2.7786710738391001E-3</v>
      </c>
      <c r="X74" s="42">
        <f t="shared" si="22"/>
        <v>1.1155367297746364</v>
      </c>
      <c r="Y74" s="118">
        <f t="shared" si="23"/>
        <v>1.0916518973526863</v>
      </c>
      <c r="AA74" s="43">
        <f>IF(X74="","",X74/MAX($X$4:X74)-1)</f>
        <v>-2.0977994084181439E-5</v>
      </c>
      <c r="AB74" s="44">
        <f>IF(Y74="","",Y74/MAX($Y$4:Y74)-1)</f>
        <v>0</v>
      </c>
    </row>
    <row r="75" spans="1:28" x14ac:dyDescent="0.45">
      <c r="A75" s="121">
        <v>45307</v>
      </c>
      <c r="B75" s="124">
        <v>474.93</v>
      </c>
      <c r="C75" s="124">
        <v>183.63</v>
      </c>
      <c r="D75" s="124">
        <v>390.27</v>
      </c>
      <c r="E75" s="124">
        <v>167.99</v>
      </c>
      <c r="F75" s="124">
        <v>97.69</v>
      </c>
      <c r="G75" s="124">
        <v>160.52000000000001</v>
      </c>
      <c r="H75" s="124">
        <v>153.16</v>
      </c>
      <c r="I75" s="124">
        <v>59.99</v>
      </c>
      <c r="J75" s="125">
        <v>53.94</v>
      </c>
      <c r="L75" s="39">
        <f t="shared" si="20"/>
        <v>-3.6712259796928756E-3</v>
      </c>
      <c r="M75" s="40">
        <f t="shared" si="12"/>
        <v>-1.2317125645438857E-2</v>
      </c>
      <c r="N75" s="40">
        <f t="shared" si="13"/>
        <v>4.6335624372537245E-3</v>
      </c>
      <c r="O75" s="40">
        <f t="shared" si="14"/>
        <v>-6.270334220644793E-3</v>
      </c>
      <c r="P75" s="40">
        <f t="shared" si="15"/>
        <v>-2.2611305652826465E-2</v>
      </c>
      <c r="Q75" s="40">
        <f t="shared" si="16"/>
        <v>-1.1515487406859882E-2</v>
      </c>
      <c r="R75" s="40">
        <f t="shared" si="17"/>
        <v>-9.4425042038546632E-3</v>
      </c>
      <c r="S75" s="40">
        <f t="shared" si="18"/>
        <v>-6.6236131809902067E-3</v>
      </c>
      <c r="T75" s="41">
        <f t="shared" si="19"/>
        <v>3.1616142830573663E-3</v>
      </c>
      <c r="V75" s="39">
        <f t="shared" si="21"/>
        <v>-3.6712259796928756E-3</v>
      </c>
      <c r="W75" s="40" cm="1">
        <f t="array" ref="W75">IF(M75="","",SUMPRODUCT(M75:T75,TRANSPOSE('04_Dashboard'!$C$53:$C$60)))</f>
        <v>-6.8952099786043315E-3</v>
      </c>
      <c r="X75" s="42">
        <f t="shared" si="22"/>
        <v>1.1114413423509861</v>
      </c>
      <c r="Y75" s="118">
        <f t="shared" si="23"/>
        <v>1.0841247282968978</v>
      </c>
      <c r="AA75" s="43">
        <f>IF(X75="","",X75/MAX($X$4:X75)-1)</f>
        <v>-3.6921269588201522E-3</v>
      </c>
      <c r="AB75" s="44">
        <f>IF(Y75="","",Y75/MAX($Y$4:Y75)-1)</f>
        <v>-6.8952099786042664E-3</v>
      </c>
    </row>
    <row r="76" spans="1:28" x14ac:dyDescent="0.45">
      <c r="A76" s="121">
        <v>45308</v>
      </c>
      <c r="B76" s="124">
        <v>472.29</v>
      </c>
      <c r="C76" s="124">
        <v>182.68</v>
      </c>
      <c r="D76" s="124">
        <v>389.47</v>
      </c>
      <c r="E76" s="124">
        <v>167.09</v>
      </c>
      <c r="F76" s="124">
        <v>96.98</v>
      </c>
      <c r="G76" s="124">
        <v>160.43</v>
      </c>
      <c r="H76" s="124">
        <v>151.71</v>
      </c>
      <c r="I76" s="124">
        <v>59.99</v>
      </c>
      <c r="J76" s="125">
        <v>53.69</v>
      </c>
      <c r="L76" s="39">
        <f t="shared" si="20"/>
        <v>-5.5587139157349218E-3</v>
      </c>
      <c r="M76" s="40">
        <f t="shared" si="12"/>
        <v>-5.1734466045852455E-3</v>
      </c>
      <c r="N76" s="40">
        <f t="shared" si="13"/>
        <v>-2.049862915417415E-3</v>
      </c>
      <c r="O76" s="40">
        <f t="shared" si="14"/>
        <v>-5.3574617536758474E-3</v>
      </c>
      <c r="P76" s="40">
        <f t="shared" si="15"/>
        <v>-7.2678882178318534E-3</v>
      </c>
      <c r="Q76" s="40">
        <f t="shared" si="16"/>
        <v>-5.6067779715925374E-4</v>
      </c>
      <c r="R76" s="40">
        <f t="shared" si="17"/>
        <v>-9.4672238182292295E-3</v>
      </c>
      <c r="S76" s="40">
        <f t="shared" si="18"/>
        <v>0</v>
      </c>
      <c r="T76" s="41">
        <f t="shared" si="19"/>
        <v>-4.6347793845012983E-3</v>
      </c>
      <c r="V76" s="39">
        <f t="shared" si="21"/>
        <v>-5.5587139157349218E-3</v>
      </c>
      <c r="W76" s="40" cm="1">
        <f t="array" ref="W76">IF(M76="","",SUMPRODUCT(M76:T76,TRANSPOSE('04_Dashboard'!$C$53:$C$60)))</f>
        <v>-3.5344518246252202E-3</v>
      </c>
      <c r="X76" s="42">
        <f t="shared" si="22"/>
        <v>1.1052631578947365</v>
      </c>
      <c r="Y76" s="118">
        <f t="shared" si="23"/>
        <v>1.0802929416728475</v>
      </c>
      <c r="AA76" s="43">
        <f>IF(X76="","",X76/MAX($X$4:X76)-1)</f>
        <v>-9.2303173970504915E-3</v>
      </c>
      <c r="AB76" s="44">
        <f>IF(Y76="","",Y76/MAX($Y$4:Y76)-1)</f>
        <v>-1.0405291015739393E-2</v>
      </c>
    </row>
    <row r="77" spans="1:28" x14ac:dyDescent="0.45">
      <c r="A77" s="121">
        <v>45309</v>
      </c>
      <c r="B77" s="124">
        <v>476.49</v>
      </c>
      <c r="C77" s="124">
        <v>188.63</v>
      </c>
      <c r="D77" s="124">
        <v>393.87</v>
      </c>
      <c r="E77" s="124">
        <v>167.42</v>
      </c>
      <c r="F77" s="124">
        <v>96.8</v>
      </c>
      <c r="G77" s="124">
        <v>161.21</v>
      </c>
      <c r="H77" s="124">
        <v>153.5</v>
      </c>
      <c r="I77" s="124">
        <v>60.16</v>
      </c>
      <c r="J77" s="125">
        <v>54.41</v>
      </c>
      <c r="L77" s="39">
        <f>IF(B77="","",(B77-B76)/B76)</f>
        <v>8.8928412627834342E-3</v>
      </c>
      <c r="M77" s="40">
        <f t="shared" si="12"/>
        <v>3.2570615283555884E-2</v>
      </c>
      <c r="N77" s="40">
        <f t="shared" si="13"/>
        <v>1.129740416463393E-2</v>
      </c>
      <c r="O77" s="40">
        <f t="shared" si="14"/>
        <v>1.974983541803723E-3</v>
      </c>
      <c r="P77" s="40">
        <f t="shared" si="15"/>
        <v>-1.8560527943906663E-3</v>
      </c>
      <c r="Q77" s="40">
        <f t="shared" si="16"/>
        <v>4.8619335535747743E-3</v>
      </c>
      <c r="R77" s="40">
        <f t="shared" si="17"/>
        <v>1.1798826708852362E-2</v>
      </c>
      <c r="S77" s="40">
        <f t="shared" si="18"/>
        <v>2.8338056342722888E-3</v>
      </c>
      <c r="T77" s="41">
        <f t="shared" si="19"/>
        <v>1.3410318495064237E-2</v>
      </c>
      <c r="V77" s="39">
        <f t="shared" si="21"/>
        <v>8.8928412627834342E-3</v>
      </c>
      <c r="W77" s="40" cm="1">
        <f t="array" ref="W77">IF(M77="","",SUMPRODUCT(M77:T77,TRANSPOSE('04_Dashboard'!$C$53:$C$60)))</f>
        <v>7.2289246966138389E-3</v>
      </c>
      <c r="X77" s="42">
        <f t="shared" si="22"/>
        <v>1.1150920877114969</v>
      </c>
      <c r="Y77" s="118">
        <f t="shared" si="23"/>
        <v>1.0881022979984838</v>
      </c>
      <c r="AA77" s="43">
        <f>IF(X77="","",X77/MAX($X$4:X77)-1)</f>
        <v>-4.1955988168440594E-4</v>
      </c>
      <c r="AB77" s="44">
        <f>IF(Y77="","",Y77/MAX($Y$4:Y77)-1)</f>
        <v>-3.2515853843249065E-3</v>
      </c>
    </row>
    <row r="78" spans="1:28" x14ac:dyDescent="0.45">
      <c r="A78" s="121">
        <v>45310</v>
      </c>
      <c r="B78" s="124">
        <v>482.43</v>
      </c>
      <c r="C78" s="124">
        <v>191.56</v>
      </c>
      <c r="D78" s="124">
        <v>398.67</v>
      </c>
      <c r="E78" s="124">
        <v>170.31</v>
      </c>
      <c r="F78" s="124">
        <v>96.95</v>
      </c>
      <c r="G78" s="124">
        <v>161.68</v>
      </c>
      <c r="H78" s="124">
        <v>155.34</v>
      </c>
      <c r="I78" s="124">
        <v>59.83</v>
      </c>
      <c r="J78" s="125">
        <v>54.13</v>
      </c>
      <c r="L78" s="39">
        <f t="shared" si="20"/>
        <v>1.2466158786123524E-2</v>
      </c>
      <c r="M78" s="40">
        <f t="shared" si="12"/>
        <v>1.5533054127127216E-2</v>
      </c>
      <c r="N78" s="40">
        <f t="shared" si="13"/>
        <v>1.2186762129636711E-2</v>
      </c>
      <c r="O78" s="40">
        <f t="shared" si="14"/>
        <v>1.7261975869071886E-2</v>
      </c>
      <c r="P78" s="40">
        <f t="shared" si="15"/>
        <v>1.5495867768595629E-3</v>
      </c>
      <c r="Q78" s="40">
        <f t="shared" si="16"/>
        <v>2.9154518950437248E-3</v>
      </c>
      <c r="R78" s="40">
        <f t="shared" si="17"/>
        <v>1.198697068403911E-2</v>
      </c>
      <c r="S78" s="40">
        <f t="shared" si="18"/>
        <v>-5.4853723404255043E-3</v>
      </c>
      <c r="T78" s="41">
        <f t="shared" si="19"/>
        <v>-5.1461128469030334E-3</v>
      </c>
      <c r="V78" s="39">
        <f t="shared" si="21"/>
        <v>1.2466158786123524E-2</v>
      </c>
      <c r="W78" s="40" cm="1">
        <f t="array" ref="W78">IF(M78="","",SUMPRODUCT(M78:T78,TRANSPOSE('04_Dashboard'!$C$53:$C$60)))</f>
        <v>5.9535101005032303E-3</v>
      </c>
      <c r="X78" s="42">
        <f t="shared" si="22"/>
        <v>1.1289930027380584</v>
      </c>
      <c r="Y78" s="118">
        <f t="shared" si="23"/>
        <v>1.0945803260199987</v>
      </c>
      <c r="AA78" s="43">
        <f>IF(X78="","",X78/MAX($X$4:X78)-1)</f>
        <v>0</v>
      </c>
      <c r="AB78" s="44">
        <f>IF(Y78="","",Y78/MAX($Y$4:Y78)-1)</f>
        <v>0</v>
      </c>
    </row>
    <row r="79" spans="1:28" x14ac:dyDescent="0.45">
      <c r="A79" s="121">
        <v>45313</v>
      </c>
      <c r="B79" s="124">
        <v>483.45</v>
      </c>
      <c r="C79" s="124">
        <v>193.89</v>
      </c>
      <c r="D79" s="124">
        <v>396.51</v>
      </c>
      <c r="E79" s="124">
        <v>170.11</v>
      </c>
      <c r="F79" s="124">
        <v>96.82</v>
      </c>
      <c r="G79" s="124">
        <v>162.47</v>
      </c>
      <c r="H79" s="124">
        <v>154.78</v>
      </c>
      <c r="I79" s="124">
        <v>59.57</v>
      </c>
      <c r="J79" s="125">
        <v>54.13</v>
      </c>
      <c r="L79" s="39">
        <f t="shared" si="20"/>
        <v>2.1142963746035317E-3</v>
      </c>
      <c r="M79" s="40">
        <f t="shared" si="12"/>
        <v>1.2163290874921613E-2</v>
      </c>
      <c r="N79" s="40">
        <f t="shared" si="13"/>
        <v>-5.4180148995410359E-3</v>
      </c>
      <c r="O79" s="40">
        <f t="shared" si="14"/>
        <v>-1.1743291644647326E-3</v>
      </c>
      <c r="P79" s="40">
        <f t="shared" si="15"/>
        <v>-1.3408973697783357E-3</v>
      </c>
      <c r="Q79" s="40">
        <f t="shared" si="16"/>
        <v>4.8861949529935183E-3</v>
      </c>
      <c r="R79" s="40">
        <f t="shared" si="17"/>
        <v>-3.6049954937556472E-3</v>
      </c>
      <c r="S79" s="40">
        <f t="shared" si="18"/>
        <v>-4.3456459969914429E-3</v>
      </c>
      <c r="T79" s="41">
        <f t="shared" si="19"/>
        <v>0</v>
      </c>
      <c r="V79" s="39">
        <f t="shared" si="21"/>
        <v>2.1142963746035317E-3</v>
      </c>
      <c r="W79" s="40" cm="1">
        <f t="array" ref="W79">IF(M79="","",SUMPRODUCT(M79:T79,TRANSPOSE('04_Dashboard'!$C$53:$C$60)))</f>
        <v>2.5411427819174595E-4</v>
      </c>
      <c r="X79" s="42">
        <f t="shared" si="22"/>
        <v>1.1313800285507001</v>
      </c>
      <c r="Y79" s="118">
        <f t="shared" si="23"/>
        <v>1.094858474509468</v>
      </c>
      <c r="AA79" s="43">
        <f>IF(X79="","",X79/MAX($X$4:X79)-1)</f>
        <v>0</v>
      </c>
      <c r="AB79" s="44">
        <f>IF(Y79="","",Y79/MAX($Y$4:Y79)-1)</f>
        <v>0</v>
      </c>
    </row>
    <row r="80" spans="1:28" x14ac:dyDescent="0.45">
      <c r="A80" s="121">
        <v>45314</v>
      </c>
      <c r="B80" s="124">
        <v>484.86</v>
      </c>
      <c r="C80" s="124">
        <v>195.18</v>
      </c>
      <c r="D80" s="124">
        <v>398.9</v>
      </c>
      <c r="E80" s="124">
        <v>168.99</v>
      </c>
      <c r="F80" s="124">
        <v>97.91</v>
      </c>
      <c r="G80" s="124">
        <v>159.81</v>
      </c>
      <c r="H80" s="124">
        <v>156.02000000000001</v>
      </c>
      <c r="I80" s="124">
        <v>59.85</v>
      </c>
      <c r="J80" s="125">
        <v>54.27</v>
      </c>
      <c r="L80" s="39">
        <f t="shared" si="20"/>
        <v>2.9165373875272003E-3</v>
      </c>
      <c r="M80" s="40">
        <f t="shared" si="12"/>
        <v>6.6532570013926482E-3</v>
      </c>
      <c r="N80" s="40">
        <f t="shared" si="13"/>
        <v>6.0275907291114632E-3</v>
      </c>
      <c r="O80" s="40">
        <f t="shared" si="14"/>
        <v>-6.5839750749515282E-3</v>
      </c>
      <c r="P80" s="40">
        <f t="shared" si="15"/>
        <v>1.1258004544515633E-2</v>
      </c>
      <c r="Q80" s="40">
        <f t="shared" si="16"/>
        <v>-1.6372253339077963E-2</v>
      </c>
      <c r="R80" s="40">
        <f t="shared" si="17"/>
        <v>8.011370978162612E-3</v>
      </c>
      <c r="S80" s="40">
        <f t="shared" si="18"/>
        <v>4.7003525264395019E-3</v>
      </c>
      <c r="T80" s="41">
        <f t="shared" si="19"/>
        <v>2.5863661555514607E-3</v>
      </c>
      <c r="V80" s="39">
        <f t="shared" si="21"/>
        <v>2.9165373875272003E-3</v>
      </c>
      <c r="W80" s="40" cm="1">
        <f t="array" ref="W80">IF(M80="","",SUMPRODUCT(M80:T80,TRANSPOSE('04_Dashboard'!$C$53:$C$60)))</f>
        <v>-2.5217301308297275E-3</v>
      </c>
      <c r="X80" s="42">
        <f t="shared" si="22"/>
        <v>1.1346797407034699</v>
      </c>
      <c r="Y80" s="118">
        <f t="shared" si="23"/>
        <v>1.0920975369053032</v>
      </c>
      <c r="AA80" s="43">
        <f>IF(X80="","",X80/MAX($X$4:X80)-1)</f>
        <v>0</v>
      </c>
      <c r="AB80" s="44">
        <f>IF(Y80="","",Y80/MAX($Y$4:Y80)-1)</f>
        <v>-2.5217301308297912E-3</v>
      </c>
    </row>
    <row r="81" spans="1:28" x14ac:dyDescent="0.45">
      <c r="A81" s="121">
        <v>45315</v>
      </c>
      <c r="B81" s="124">
        <v>485.39</v>
      </c>
      <c r="C81" s="124">
        <v>194.5</v>
      </c>
      <c r="D81" s="124">
        <v>402.56</v>
      </c>
      <c r="E81" s="124">
        <v>170.5</v>
      </c>
      <c r="F81" s="124">
        <v>99.6</v>
      </c>
      <c r="G81" s="124">
        <v>158.96</v>
      </c>
      <c r="H81" s="124">
        <v>156.87</v>
      </c>
      <c r="I81" s="124">
        <v>58.91</v>
      </c>
      <c r="J81" s="125">
        <v>53.5</v>
      </c>
      <c r="L81" s="39">
        <f t="shared" si="20"/>
        <v>1.0930990388977699E-3</v>
      </c>
      <c r="M81" s="40">
        <f t="shared" si="12"/>
        <v>-3.4839635208525812E-3</v>
      </c>
      <c r="N81" s="40">
        <f t="shared" si="13"/>
        <v>9.1752318876912146E-3</v>
      </c>
      <c r="O81" s="40">
        <f t="shared" si="14"/>
        <v>8.9354399668618908E-3</v>
      </c>
      <c r="P81" s="40">
        <f t="shared" si="15"/>
        <v>1.7260749668062483E-2</v>
      </c>
      <c r="Q81" s="40">
        <f t="shared" si="16"/>
        <v>-5.3188160941117224E-3</v>
      </c>
      <c r="R81" s="40">
        <f t="shared" si="17"/>
        <v>5.4480194846814141E-3</v>
      </c>
      <c r="S81" s="40">
        <f t="shared" si="18"/>
        <v>-1.5705931495405261E-2</v>
      </c>
      <c r="T81" s="41">
        <f t="shared" si="19"/>
        <v>-1.4188317670904792E-2</v>
      </c>
      <c r="V81" s="39">
        <f t="shared" si="21"/>
        <v>1.0930990388977699E-3</v>
      </c>
      <c r="W81" s="40" cm="1">
        <f t="array" ref="W81">IF(M81="","",SUMPRODUCT(M81:T81,TRANSPOSE('04_Dashboard'!$C$53:$C$60)))</f>
        <v>-1.6074596903332232E-3</v>
      </c>
      <c r="X81" s="42">
        <f t="shared" si="22"/>
        <v>1.1359200580374895</v>
      </c>
      <c r="Y81" s="118">
        <f t="shared" si="23"/>
        <v>1.0903420341368157</v>
      </c>
      <c r="AA81" s="43">
        <f>IF(X81="","",X81/MAX($X$4:X81)-1)</f>
        <v>0</v>
      </c>
      <c r="AB81" s="44">
        <f>IF(Y81="","",Y81/MAX($Y$4:Y81)-1)</f>
        <v>-4.1251362416278026E-3</v>
      </c>
    </row>
    <row r="82" spans="1:28" x14ac:dyDescent="0.45">
      <c r="A82" s="121">
        <v>45316</v>
      </c>
      <c r="B82" s="124">
        <v>488.03</v>
      </c>
      <c r="C82" s="124">
        <v>194.17</v>
      </c>
      <c r="D82" s="124">
        <v>404.87</v>
      </c>
      <c r="E82" s="124">
        <v>172.94</v>
      </c>
      <c r="F82" s="124">
        <v>102.13</v>
      </c>
      <c r="G82" s="124">
        <v>159.56</v>
      </c>
      <c r="H82" s="124">
        <v>157.75</v>
      </c>
      <c r="I82" s="124">
        <v>59.16</v>
      </c>
      <c r="J82" s="125">
        <v>54.28</v>
      </c>
      <c r="L82" s="39">
        <f t="shared" si="20"/>
        <v>5.4389254001936307E-3</v>
      </c>
      <c r="M82" s="40">
        <f t="shared" si="12"/>
        <v>-1.6966580976864396E-3</v>
      </c>
      <c r="N82" s="40">
        <f t="shared" si="13"/>
        <v>5.738275039745634E-3</v>
      </c>
      <c r="O82" s="40">
        <f t="shared" si="14"/>
        <v>1.4310850439882684E-2</v>
      </c>
      <c r="P82" s="40">
        <f t="shared" si="15"/>
        <v>2.5401606425702824E-2</v>
      </c>
      <c r="Q82" s="40">
        <f t="shared" si="16"/>
        <v>3.7745344740814941E-3</v>
      </c>
      <c r="R82" s="40">
        <f t="shared" si="17"/>
        <v>5.6097405494995563E-3</v>
      </c>
      <c r="S82" s="40">
        <f t="shared" si="18"/>
        <v>4.2437616703445936E-3</v>
      </c>
      <c r="T82" s="41">
        <f t="shared" si="19"/>
        <v>1.4579439252336469E-2</v>
      </c>
      <c r="V82" s="39">
        <f t="shared" si="21"/>
        <v>5.4389254001936307E-3</v>
      </c>
      <c r="W82" s="40" cm="1">
        <f t="array" ref="W82">IF(M82="","",SUMPRODUCT(M82:T82,TRANSPOSE('04_Dashboard'!$C$53:$C$60)))</f>
        <v>8.8927314254072694E-3</v>
      </c>
      <c r="X82" s="42">
        <f t="shared" si="22"/>
        <v>1.1420982424937391</v>
      </c>
      <c r="Y82" s="118">
        <f t="shared" si="23"/>
        <v>1.1000381530082266</v>
      </c>
      <c r="AA82" s="43">
        <f>IF(X82="","",X82/MAX($X$4:X82)-1)</f>
        <v>0</v>
      </c>
      <c r="AB82" s="44">
        <f>IF(Y82="","",Y82/MAX($Y$4:Y82)-1)</f>
        <v>0</v>
      </c>
    </row>
    <row r="83" spans="1:28" x14ac:dyDescent="0.45">
      <c r="A83" s="121">
        <v>45317</v>
      </c>
      <c r="B83" s="124">
        <v>487.41</v>
      </c>
      <c r="C83" s="124">
        <v>192.42</v>
      </c>
      <c r="D83" s="124">
        <v>403.93</v>
      </c>
      <c r="E83" s="124">
        <v>172.28</v>
      </c>
      <c r="F83" s="124">
        <v>103</v>
      </c>
      <c r="G83" s="124">
        <v>159.5</v>
      </c>
      <c r="H83" s="124">
        <v>159.12</v>
      </c>
      <c r="I83" s="124">
        <v>59.37</v>
      </c>
      <c r="J83" s="125">
        <v>54.76</v>
      </c>
      <c r="L83" s="39">
        <f t="shared" si="20"/>
        <v>-1.270413704075462E-3</v>
      </c>
      <c r="M83" s="40">
        <f t="shared" si="12"/>
        <v>-9.012720811659887E-3</v>
      </c>
      <c r="N83" s="40">
        <f t="shared" si="13"/>
        <v>-2.3217329019191288E-3</v>
      </c>
      <c r="O83" s="40">
        <f t="shared" si="14"/>
        <v>-3.8163524921938047E-3</v>
      </c>
      <c r="P83" s="40">
        <f t="shared" si="15"/>
        <v>8.518554783119598E-3</v>
      </c>
      <c r="Q83" s="40">
        <f t="shared" si="16"/>
        <v>-3.760340937578483E-4</v>
      </c>
      <c r="R83" s="40">
        <f t="shared" si="17"/>
        <v>8.684627575277366E-3</v>
      </c>
      <c r="S83" s="40">
        <f t="shared" si="18"/>
        <v>3.5496957403651263E-3</v>
      </c>
      <c r="T83" s="41">
        <f t="shared" si="19"/>
        <v>8.843036109064055E-3</v>
      </c>
      <c r="V83" s="39">
        <f t="shared" si="21"/>
        <v>-1.270413704075462E-3</v>
      </c>
      <c r="W83" s="40" cm="1">
        <f t="array" ref="W83">IF(M83="","",SUMPRODUCT(M83:T83,TRANSPOSE('04_Dashboard'!$C$53:$C$60)))</f>
        <v>1.1408298663337629E-3</v>
      </c>
      <c r="X83" s="42">
        <f t="shared" si="22"/>
        <v>1.1406473052350747</v>
      </c>
      <c r="Y83" s="118">
        <f t="shared" si="23"/>
        <v>1.1012931093872851</v>
      </c>
      <c r="AA83" s="43">
        <f>IF(X83="","",X83/MAX($X$4:X83)-1)</f>
        <v>-1.2704137040753238E-3</v>
      </c>
      <c r="AB83" s="44">
        <f>IF(Y83="","",Y83/MAX($Y$4:Y83)-1)</f>
        <v>0</v>
      </c>
    </row>
    <row r="84" spans="1:28" x14ac:dyDescent="0.45">
      <c r="A84" s="121">
        <v>45320</v>
      </c>
      <c r="B84" s="124">
        <v>491.27</v>
      </c>
      <c r="C84" s="124">
        <v>191.73</v>
      </c>
      <c r="D84" s="124">
        <v>409.72</v>
      </c>
      <c r="E84" s="124">
        <v>172.73</v>
      </c>
      <c r="F84" s="124">
        <v>103.13</v>
      </c>
      <c r="G84" s="124">
        <v>159.36000000000001</v>
      </c>
      <c r="H84" s="124">
        <v>161.26</v>
      </c>
      <c r="I84" s="124">
        <v>59.73</v>
      </c>
      <c r="J84" s="125">
        <v>55.01</v>
      </c>
      <c r="L84" s="39">
        <f t="shared" si="20"/>
        <v>7.9194107630125698E-3</v>
      </c>
      <c r="M84" s="40">
        <f t="shared" si="12"/>
        <v>-3.5859058309946875E-3</v>
      </c>
      <c r="N84" s="40">
        <f t="shared" si="13"/>
        <v>1.4334166811081179E-2</v>
      </c>
      <c r="O84" s="40">
        <f t="shared" si="14"/>
        <v>2.6120269328998645E-3</v>
      </c>
      <c r="P84" s="40">
        <f t="shared" si="15"/>
        <v>1.262135922330053E-3</v>
      </c>
      <c r="Q84" s="40">
        <f t="shared" si="16"/>
        <v>-8.777429467083784E-4</v>
      </c>
      <c r="R84" s="40">
        <f t="shared" si="17"/>
        <v>1.3448969331322187E-2</v>
      </c>
      <c r="S84" s="40">
        <f t="shared" si="18"/>
        <v>6.0636685194542603E-3</v>
      </c>
      <c r="T84" s="41">
        <f t="shared" si="19"/>
        <v>4.5653761869978091E-3</v>
      </c>
      <c r="V84" s="39">
        <f t="shared" si="21"/>
        <v>7.9194107630125698E-3</v>
      </c>
      <c r="W84" s="40" cm="1">
        <f t="array" ref="W84">IF(M84="","",SUMPRODUCT(M84:T84,TRANSPOSE('04_Dashboard'!$C$53:$C$60)))</f>
        <v>3.7161275115996008E-3</v>
      </c>
      <c r="X84" s="42">
        <f t="shared" si="22"/>
        <v>1.1496805597809545</v>
      </c>
      <c r="Y84" s="118">
        <f t="shared" si="23"/>
        <v>1.1053856550094141</v>
      </c>
      <c r="AA84" s="43">
        <f>IF(X84="","",X84/MAX($X$4:X84)-1)</f>
        <v>0</v>
      </c>
      <c r="AB84" s="44">
        <f>IF(Y84="","",Y84/MAX($Y$4:Y84)-1)</f>
        <v>0</v>
      </c>
    </row>
    <row r="85" spans="1:28" x14ac:dyDescent="0.45">
      <c r="A85" s="121">
        <v>45321</v>
      </c>
      <c r="B85" s="124">
        <v>490.89</v>
      </c>
      <c r="C85" s="124">
        <v>188.04</v>
      </c>
      <c r="D85" s="124">
        <v>408.59</v>
      </c>
      <c r="E85" s="124">
        <v>176.27</v>
      </c>
      <c r="F85" s="124">
        <v>104.85</v>
      </c>
      <c r="G85" s="124">
        <v>158.77000000000001</v>
      </c>
      <c r="H85" s="124">
        <v>159</v>
      </c>
      <c r="I85" s="124">
        <v>59.9</v>
      </c>
      <c r="J85" s="125">
        <v>55.2</v>
      </c>
      <c r="L85" s="39">
        <f t="shared" si="20"/>
        <v>-7.7350540436011859E-4</v>
      </c>
      <c r="M85" s="40">
        <f t="shared" si="12"/>
        <v>-1.9245814426537309E-2</v>
      </c>
      <c r="N85" s="40">
        <f t="shared" si="13"/>
        <v>-2.7579810602363863E-3</v>
      </c>
      <c r="O85" s="40">
        <f t="shared" si="14"/>
        <v>2.0494413246106759E-2</v>
      </c>
      <c r="P85" s="40">
        <f t="shared" si="15"/>
        <v>1.6677979249490923E-2</v>
      </c>
      <c r="Q85" s="40">
        <f t="shared" si="16"/>
        <v>-3.702309236947812E-3</v>
      </c>
      <c r="R85" s="40">
        <f t="shared" si="17"/>
        <v>-1.4014634751333195E-2</v>
      </c>
      <c r="S85" s="40">
        <f t="shared" si="18"/>
        <v>2.8461409676879576E-3</v>
      </c>
      <c r="T85" s="41">
        <f t="shared" si="19"/>
        <v>3.4539174695510785E-3</v>
      </c>
      <c r="V85" s="39">
        <f t="shared" si="21"/>
        <v>-7.7350540436011859E-4</v>
      </c>
      <c r="W85" s="40" cm="1">
        <f t="array" ref="W85">IF(M85="","",SUMPRODUCT(M85:T85,TRANSPOSE('04_Dashboard'!$C$53:$C$60)))</f>
        <v>3.4061780722769298E-3</v>
      </c>
      <c r="X85" s="42">
        <f t="shared" si="22"/>
        <v>1.1487912756546761</v>
      </c>
      <c r="Y85" s="118">
        <f t="shared" si="23"/>
        <v>1.1091507953889166</v>
      </c>
      <c r="AA85" s="43">
        <f>IF(X85="","",X85/MAX($X$4:X85)-1)</f>
        <v>-7.7350540436016413E-4</v>
      </c>
      <c r="AB85" s="44">
        <f>IF(Y85="","",Y85/MAX($Y$4:Y85)-1)</f>
        <v>0</v>
      </c>
    </row>
    <row r="86" spans="1:28" x14ac:dyDescent="0.45">
      <c r="A86" s="121">
        <v>45322</v>
      </c>
      <c r="B86" s="124">
        <v>482.88</v>
      </c>
      <c r="C86" s="124">
        <v>184.4</v>
      </c>
      <c r="D86" s="124">
        <v>397.58</v>
      </c>
      <c r="E86" s="124">
        <v>174.36</v>
      </c>
      <c r="F86" s="124">
        <v>102.81</v>
      </c>
      <c r="G86" s="124">
        <v>158.9</v>
      </c>
      <c r="H86" s="124">
        <v>155.19999999999999</v>
      </c>
      <c r="I86" s="124">
        <v>59.49</v>
      </c>
      <c r="J86" s="125">
        <v>55.08</v>
      </c>
      <c r="L86" s="39">
        <f t="shared" si="20"/>
        <v>-1.6317301228381084E-2</v>
      </c>
      <c r="M86" s="40">
        <f t="shared" si="12"/>
        <v>-1.9357583492873785E-2</v>
      </c>
      <c r="N86" s="40">
        <f t="shared" si="13"/>
        <v>-2.6946327614479043E-2</v>
      </c>
      <c r="O86" s="40">
        <f t="shared" si="14"/>
        <v>-1.0835649855335545E-2</v>
      </c>
      <c r="P86" s="40">
        <f t="shared" si="15"/>
        <v>-1.9456366237482044E-2</v>
      </c>
      <c r="Q86" s="40">
        <f t="shared" si="16"/>
        <v>8.187944825848425E-4</v>
      </c>
      <c r="R86" s="40">
        <f t="shared" si="17"/>
        <v>-2.3899371069182461E-2</v>
      </c>
      <c r="S86" s="40">
        <f t="shared" si="18"/>
        <v>-6.8447412353922635E-3</v>
      </c>
      <c r="T86" s="41">
        <f t="shared" si="19"/>
        <v>-2.1739130434783433E-3</v>
      </c>
      <c r="V86" s="39">
        <f t="shared" si="21"/>
        <v>-1.6317301228381084E-2</v>
      </c>
      <c r="W86" s="40" cm="1">
        <f t="array" ref="W86">IF(M86="","",SUMPRODUCT(M86:T86,TRANSPOSE('04_Dashboard'!$C$53:$C$60)))</f>
        <v>-9.2550157678648083E-3</v>
      </c>
      <c r="X86" s="42">
        <f t="shared" si="22"/>
        <v>1.1300461023612827</v>
      </c>
      <c r="Y86" s="118">
        <f t="shared" si="23"/>
        <v>1.0988855872886523</v>
      </c>
      <c r="AA86" s="43">
        <f>IF(X86="","",X86/MAX($X$4:X86)-1)</f>
        <v>-1.7078185112056499E-2</v>
      </c>
      <c r="AB86" s="44">
        <f>IF(Y86="","",Y86/MAX($Y$4:Y86)-1)</f>
        <v>-9.2550157678649159E-3</v>
      </c>
    </row>
    <row r="87" spans="1:28" x14ac:dyDescent="0.45">
      <c r="A87" s="121">
        <v>45323</v>
      </c>
      <c r="B87" s="124">
        <v>489.2</v>
      </c>
      <c r="C87" s="124">
        <v>186.86</v>
      </c>
      <c r="D87" s="124">
        <v>403.78</v>
      </c>
      <c r="E87" s="124">
        <v>173.73</v>
      </c>
      <c r="F87" s="124">
        <v>102.39</v>
      </c>
      <c r="G87" s="124">
        <v>158.36000000000001</v>
      </c>
      <c r="H87" s="124">
        <v>159.28</v>
      </c>
      <c r="I87" s="124">
        <v>60.98</v>
      </c>
      <c r="J87" s="125">
        <v>56.1</v>
      </c>
      <c r="L87" s="39">
        <f t="shared" si="20"/>
        <v>1.308813783962888E-2</v>
      </c>
      <c r="M87" s="40">
        <f t="shared" si="12"/>
        <v>1.3340563991323252E-2</v>
      </c>
      <c r="N87" s="40">
        <f t="shared" si="13"/>
        <v>1.5594345792041825E-2</v>
      </c>
      <c r="O87" s="40">
        <f t="shared" si="14"/>
        <v>-3.6132140399175489E-3</v>
      </c>
      <c r="P87" s="40">
        <f t="shared" si="15"/>
        <v>-4.0852057192880238E-3</v>
      </c>
      <c r="Q87" s="40">
        <f t="shared" si="16"/>
        <v>-3.398363750786608E-3</v>
      </c>
      <c r="R87" s="40">
        <f t="shared" si="17"/>
        <v>2.6288659793814517E-2</v>
      </c>
      <c r="S87" s="40">
        <f t="shared" si="18"/>
        <v>2.5046226256513614E-2</v>
      </c>
      <c r="T87" s="41">
        <f t="shared" si="19"/>
        <v>1.8518518518518576E-2</v>
      </c>
      <c r="V87" s="39">
        <f t="shared" si="21"/>
        <v>1.308813783962888E-2</v>
      </c>
      <c r="W87" s="40" cm="1">
        <f t="array" ref="W87">IF(M87="","",SUMPRODUCT(M87:T87,TRANSPOSE('04_Dashboard'!$C$53:$C$60)))</f>
        <v>7.9102655953054452E-3</v>
      </c>
      <c r="X87" s="42">
        <f t="shared" si="22"/>
        <v>1.1448363015141225</v>
      </c>
      <c r="Y87" s="118">
        <f t="shared" si="23"/>
        <v>1.1075780641429587</v>
      </c>
      <c r="AA87" s="43">
        <f>IF(X87="","",X87/MAX($X$4:X87)-1)</f>
        <v>-4.2135689132248855E-3</v>
      </c>
      <c r="AB87" s="44">
        <f>IF(Y87="","",Y87/MAX($Y$4:Y87)-1)</f>
        <v>-1.417959805372071E-3</v>
      </c>
    </row>
    <row r="88" spans="1:28" x14ac:dyDescent="0.45">
      <c r="A88" s="121">
        <v>45324</v>
      </c>
      <c r="B88" s="124">
        <v>494.35</v>
      </c>
      <c r="C88" s="124">
        <v>185.85</v>
      </c>
      <c r="D88" s="124">
        <v>411.22</v>
      </c>
      <c r="E88" s="124">
        <v>174.73</v>
      </c>
      <c r="F88" s="124">
        <v>101.97</v>
      </c>
      <c r="G88" s="124">
        <v>156.61000000000001</v>
      </c>
      <c r="H88" s="124">
        <v>171.81</v>
      </c>
      <c r="I88" s="124">
        <v>60.54</v>
      </c>
      <c r="J88" s="125">
        <v>56.52</v>
      </c>
      <c r="L88" s="39">
        <f t="shared" si="20"/>
        <v>1.0527391659852892E-2</v>
      </c>
      <c r="M88" s="40">
        <f t="shared" si="12"/>
        <v>-5.4051161297228902E-3</v>
      </c>
      <c r="N88" s="40">
        <f t="shared" si="13"/>
        <v>1.8425875476744898E-2</v>
      </c>
      <c r="O88" s="40">
        <f t="shared" si="14"/>
        <v>5.7560582513095033E-3</v>
      </c>
      <c r="P88" s="40">
        <f t="shared" si="15"/>
        <v>-4.1019630823322757E-3</v>
      </c>
      <c r="Q88" s="40">
        <f t="shared" si="16"/>
        <v>-1.1050770396564788E-2</v>
      </c>
      <c r="R88" s="40">
        <f t="shared" si="17"/>
        <v>7.8666499246609747E-2</v>
      </c>
      <c r="S88" s="40">
        <f t="shared" si="18"/>
        <v>-7.2154804854050137E-3</v>
      </c>
      <c r="T88" s="41">
        <f t="shared" si="19"/>
        <v>7.4866310160428108E-3</v>
      </c>
      <c r="V88" s="39">
        <f t="shared" si="21"/>
        <v>1.0527391659852892E-2</v>
      </c>
      <c r="W88" s="40" cm="1">
        <f t="array" ref="W88">IF(M88="","",SUMPRODUCT(M88:T88,TRANSPOSE('04_Dashboard'!$C$53:$C$60)))</f>
        <v>5.3127020541811768E-3</v>
      </c>
      <c r="X88" s="42">
        <f t="shared" si="22"/>
        <v>1.1568884416465792</v>
      </c>
      <c r="Y88" s="118">
        <f t="shared" si="23"/>
        <v>1.1134622963994971</v>
      </c>
      <c r="AA88" s="43">
        <f>IF(X88="","",X88/MAX($X$4:X88)-1)</f>
        <v>0</v>
      </c>
      <c r="AB88" s="44">
        <f>IF(Y88="","",Y88/MAX($Y$4:Y88)-1)</f>
        <v>0</v>
      </c>
    </row>
    <row r="89" spans="1:28" x14ac:dyDescent="0.45">
      <c r="A89" s="121">
        <v>45327</v>
      </c>
      <c r="B89" s="124">
        <v>492.55</v>
      </c>
      <c r="C89" s="124">
        <v>187.68</v>
      </c>
      <c r="D89" s="124">
        <v>405.65</v>
      </c>
      <c r="E89" s="124">
        <v>174.5</v>
      </c>
      <c r="F89" s="124">
        <v>101.55</v>
      </c>
      <c r="G89" s="124">
        <v>155.80000000000001</v>
      </c>
      <c r="H89" s="124">
        <v>170.31</v>
      </c>
      <c r="I89" s="124">
        <v>60.04</v>
      </c>
      <c r="J89" s="125">
        <v>56.22</v>
      </c>
      <c r="L89" s="39">
        <f t="shared" si="20"/>
        <v>-3.6411449377971301E-3</v>
      </c>
      <c r="M89" s="40">
        <f t="shared" si="12"/>
        <v>9.846650524616694E-3</v>
      </c>
      <c r="N89" s="40">
        <f t="shared" si="13"/>
        <v>-1.3545061037887383E-2</v>
      </c>
      <c r="O89" s="40">
        <f t="shared" si="14"/>
        <v>-1.3163166027584832E-3</v>
      </c>
      <c r="P89" s="40">
        <f t="shared" si="15"/>
        <v>-4.1188584877905436E-3</v>
      </c>
      <c r="Q89" s="40">
        <f t="shared" si="16"/>
        <v>-5.1720835195709228E-3</v>
      </c>
      <c r="R89" s="40">
        <f t="shared" si="17"/>
        <v>-8.7305744718002443E-3</v>
      </c>
      <c r="S89" s="40">
        <f t="shared" si="18"/>
        <v>-8.2590023125206479E-3</v>
      </c>
      <c r="T89" s="41">
        <f t="shared" si="19"/>
        <v>-5.3078556263270391E-3</v>
      </c>
      <c r="V89" s="39">
        <f t="shared" si="21"/>
        <v>-3.6411449377971301E-3</v>
      </c>
      <c r="W89" s="40" cm="1">
        <f t="array" ref="W89">IF(M89="","",SUMPRODUCT(M89:T89,TRANSPOSE('04_Dashboard'!$C$53:$C$60)))</f>
        <v>-4.6552312137724105E-3</v>
      </c>
      <c r="X89" s="42">
        <f t="shared" si="22"/>
        <v>1.1526760431536818</v>
      </c>
      <c r="Y89" s="118">
        <f t="shared" si="23"/>
        <v>1.1082788719619394</v>
      </c>
      <c r="AA89" s="43">
        <f>IF(X89="","",X89/MAX($X$4:X89)-1)</f>
        <v>-3.6411449377971028E-3</v>
      </c>
      <c r="AB89" s="44">
        <f>IF(Y89="","",Y89/MAX($Y$4:Y89)-1)</f>
        <v>-4.6552312137724261E-3</v>
      </c>
    </row>
    <row r="90" spans="1:28" x14ac:dyDescent="0.45">
      <c r="A90" s="121">
        <v>45328</v>
      </c>
      <c r="B90" s="124">
        <v>493.98</v>
      </c>
      <c r="C90" s="124">
        <v>189.3</v>
      </c>
      <c r="D90" s="124">
        <v>405.49</v>
      </c>
      <c r="E90" s="124">
        <v>175.1</v>
      </c>
      <c r="F90" s="124">
        <v>102.25</v>
      </c>
      <c r="G90" s="124">
        <v>158.06</v>
      </c>
      <c r="H90" s="124">
        <v>169.15</v>
      </c>
      <c r="I90" s="124">
        <v>59.94</v>
      </c>
      <c r="J90" s="125">
        <v>56.6</v>
      </c>
      <c r="L90" s="39">
        <f t="shared" si="20"/>
        <v>2.9032585524312389E-3</v>
      </c>
      <c r="M90" s="40">
        <f t="shared" si="12"/>
        <v>8.6317135549872359E-3</v>
      </c>
      <c r="N90" s="40">
        <f t="shared" si="13"/>
        <v>-3.9442869468746006E-4</v>
      </c>
      <c r="O90" s="40">
        <f t="shared" si="14"/>
        <v>3.4383954154727468E-3</v>
      </c>
      <c r="P90" s="40">
        <f t="shared" si="15"/>
        <v>6.893156080748428E-3</v>
      </c>
      <c r="Q90" s="40">
        <f t="shared" si="16"/>
        <v>1.4505776636713676E-2</v>
      </c>
      <c r="R90" s="40">
        <f t="shared" si="17"/>
        <v>-6.8111091538958172E-3</v>
      </c>
      <c r="S90" s="40">
        <f t="shared" si="18"/>
        <v>-1.6655562958028218E-3</v>
      </c>
      <c r="T90" s="41">
        <f t="shared" si="19"/>
        <v>6.7591604411242007E-3</v>
      </c>
      <c r="V90" s="39">
        <f t="shared" si="21"/>
        <v>2.9032585524312389E-3</v>
      </c>
      <c r="W90" s="40" cm="1">
        <f t="array" ref="W90">IF(M90="","",SUMPRODUCT(M90:T90,TRANSPOSE('04_Dashboard'!$C$53:$C$60)))</f>
        <v>5.2769006815422534E-3</v>
      </c>
      <c r="X90" s="42">
        <f t="shared" si="22"/>
        <v>1.1560225597341505</v>
      </c>
      <c r="Y90" s="118">
        <f t="shared" si="23"/>
        <v>1.1141271494967342</v>
      </c>
      <c r="AA90" s="43">
        <f>IF(X90="","",X90/MAX($X$4:X90)-1)</f>
        <v>-7.4845757054708972E-4</v>
      </c>
      <c r="AB90" s="44">
        <f>IF(Y90="","",Y90/MAX($Y$4:Y90)-1)</f>
        <v>0</v>
      </c>
    </row>
    <row r="91" spans="1:28" x14ac:dyDescent="0.45">
      <c r="A91" s="121">
        <v>45329</v>
      </c>
      <c r="B91" s="124">
        <v>498.1</v>
      </c>
      <c r="C91" s="124">
        <v>189.41</v>
      </c>
      <c r="D91" s="124">
        <v>414.05</v>
      </c>
      <c r="E91" s="124">
        <v>175.43</v>
      </c>
      <c r="F91" s="124">
        <v>102.22</v>
      </c>
      <c r="G91" s="124">
        <v>157.97999999999999</v>
      </c>
      <c r="H91" s="124">
        <v>170.53</v>
      </c>
      <c r="I91" s="124">
        <v>59.99</v>
      </c>
      <c r="J91" s="125">
        <v>56.46</v>
      </c>
      <c r="L91" s="39">
        <f t="shared" si="20"/>
        <v>8.3404186404307957E-3</v>
      </c>
      <c r="M91" s="40">
        <f t="shared" si="12"/>
        <v>5.8108821975692132E-4</v>
      </c>
      <c r="N91" s="40">
        <f t="shared" si="13"/>
        <v>2.1110261658733882E-2</v>
      </c>
      <c r="O91" s="40">
        <f t="shared" si="14"/>
        <v>1.8846373500857369E-3</v>
      </c>
      <c r="P91" s="40">
        <f t="shared" si="15"/>
        <v>-2.933985330073461E-4</v>
      </c>
      <c r="Q91" s="40">
        <f t="shared" si="16"/>
        <v>-5.061369100342434E-4</v>
      </c>
      <c r="R91" s="40">
        <f t="shared" si="17"/>
        <v>8.1584392550989975E-3</v>
      </c>
      <c r="S91" s="40">
        <f t="shared" si="18"/>
        <v>8.3416750083423869E-4</v>
      </c>
      <c r="T91" s="41">
        <f t="shared" si="19"/>
        <v>-2.4734982332155577E-3</v>
      </c>
      <c r="V91" s="39">
        <f t="shared" si="21"/>
        <v>8.3404186404307957E-3</v>
      </c>
      <c r="W91" s="40" cm="1">
        <f t="array" ref="W91">IF(M91="","",SUMPRODUCT(M91:T91,TRANSPOSE('04_Dashboard'!$C$53:$C$60)))</f>
        <v>2.1500463487044365E-3</v>
      </c>
      <c r="X91" s="42">
        <f t="shared" si="22"/>
        <v>1.1656642718401158</v>
      </c>
      <c r="Y91" s="118">
        <f t="shared" si="23"/>
        <v>1.1165225745065022</v>
      </c>
      <c r="AA91" s="43">
        <f>IF(X91="","",X91/MAX($X$4:X91)-1)</f>
        <v>0</v>
      </c>
      <c r="AB91" s="44">
        <f>IF(Y91="","",Y91/MAX($Y$4:Y91)-1)</f>
        <v>0</v>
      </c>
    </row>
    <row r="92" spans="1:28" x14ac:dyDescent="0.45">
      <c r="A92" s="121">
        <v>45330</v>
      </c>
      <c r="B92" s="124">
        <v>498.32</v>
      </c>
      <c r="C92" s="124">
        <v>188.32</v>
      </c>
      <c r="D92" s="124">
        <v>414.11</v>
      </c>
      <c r="E92" s="124">
        <v>174.8</v>
      </c>
      <c r="F92" s="124">
        <v>103.97</v>
      </c>
      <c r="G92" s="124">
        <v>156.4</v>
      </c>
      <c r="H92" s="124">
        <v>169.84</v>
      </c>
      <c r="I92" s="124">
        <v>59.83</v>
      </c>
      <c r="J92" s="125">
        <v>56.46</v>
      </c>
      <c r="L92" s="39">
        <f t="shared" si="20"/>
        <v>4.4167837783571658E-4</v>
      </c>
      <c r="M92" s="40">
        <f t="shared" si="12"/>
        <v>-5.7547120004223821E-3</v>
      </c>
      <c r="N92" s="40">
        <f t="shared" si="13"/>
        <v>1.4491003501993061E-4</v>
      </c>
      <c r="O92" s="40">
        <f t="shared" si="14"/>
        <v>-3.5911759676223874E-3</v>
      </c>
      <c r="P92" s="40">
        <f t="shared" si="15"/>
        <v>1.711993738994326E-2</v>
      </c>
      <c r="Q92" s="40">
        <f t="shared" si="16"/>
        <v>-1.0001265983035728E-2</v>
      </c>
      <c r="R92" s="40">
        <f t="shared" si="17"/>
        <v>-4.0462088782032357E-3</v>
      </c>
      <c r="S92" s="40">
        <f t="shared" si="18"/>
        <v>-2.6671111851975945E-3</v>
      </c>
      <c r="T92" s="41">
        <f t="shared" si="19"/>
        <v>0</v>
      </c>
      <c r="V92" s="39">
        <f t="shared" si="21"/>
        <v>4.4167837783571658E-4</v>
      </c>
      <c r="W92" s="40" cm="1">
        <f t="array" ref="W92">IF(M92="","",SUMPRODUCT(M92:T92,TRANSPOSE('04_Dashboard'!$C$53:$C$60)))</f>
        <v>-3.3527955794292281E-3</v>
      </c>
      <c r="X92" s="42">
        <f t="shared" si="22"/>
        <v>1.1661791205448033</v>
      </c>
      <c r="Y92" s="118">
        <f t="shared" si="23"/>
        <v>1.1127791025543639</v>
      </c>
      <c r="AA92" s="43">
        <f>IF(X92="","",X92/MAX($X$4:X92)-1)</f>
        <v>0</v>
      </c>
      <c r="AB92" s="44">
        <f>IF(Y92="","",Y92/MAX($Y$4:Y92)-1)</f>
        <v>-3.3527955794292463E-3</v>
      </c>
    </row>
    <row r="93" spans="1:28" x14ac:dyDescent="0.45">
      <c r="A93" s="121">
        <v>45331</v>
      </c>
      <c r="B93" s="124">
        <v>501.2</v>
      </c>
      <c r="C93" s="124">
        <v>188.85</v>
      </c>
      <c r="D93" s="124">
        <v>420.55</v>
      </c>
      <c r="E93" s="124">
        <v>175.01</v>
      </c>
      <c r="F93" s="124">
        <v>101.77</v>
      </c>
      <c r="G93" s="124">
        <v>156.76</v>
      </c>
      <c r="H93" s="124">
        <v>174.45</v>
      </c>
      <c r="I93" s="124">
        <v>59.56</v>
      </c>
      <c r="J93" s="125">
        <v>56.43</v>
      </c>
      <c r="L93" s="39">
        <f t="shared" si="20"/>
        <v>5.7794188473270095E-3</v>
      </c>
      <c r="M93" s="40">
        <f t="shared" si="12"/>
        <v>2.8143585386576101E-3</v>
      </c>
      <c r="N93" s="40">
        <f t="shared" si="13"/>
        <v>1.5551423534809585E-2</v>
      </c>
      <c r="O93" s="40">
        <f t="shared" si="14"/>
        <v>1.2013729977115534E-3</v>
      </c>
      <c r="P93" s="40">
        <f t="shared" si="15"/>
        <v>-2.1159949985572787E-2</v>
      </c>
      <c r="Q93" s="40">
        <f t="shared" si="16"/>
        <v>2.3017902813298285E-3</v>
      </c>
      <c r="R93" s="40">
        <f t="shared" si="17"/>
        <v>2.7143193593970709E-2</v>
      </c>
      <c r="S93" s="40">
        <f t="shared" si="18"/>
        <v>-4.5127862276449276E-3</v>
      </c>
      <c r="T93" s="41">
        <f t="shared" si="19"/>
        <v>-5.313496280552805E-4</v>
      </c>
      <c r="V93" s="39">
        <f t="shared" si="21"/>
        <v>5.7794188473270095E-3</v>
      </c>
      <c r="W93" s="40" cm="1">
        <f t="array" ref="W93">IF(M93="","",SUMPRODUCT(M93:T93,TRANSPOSE('04_Dashboard'!$C$53:$C$60)))</f>
        <v>2.2858222879463238E-3</v>
      </c>
      <c r="X93" s="42">
        <f t="shared" si="22"/>
        <v>1.1729189581334392</v>
      </c>
      <c r="Y93" s="118">
        <f t="shared" si="23"/>
        <v>1.1153227178285434</v>
      </c>
      <c r="AA93" s="43">
        <f>IF(X93="","",X93/MAX($X$4:X93)-1)</f>
        <v>0</v>
      </c>
      <c r="AB93" s="44">
        <f>IF(Y93="","",Y93/MAX($Y$4:Y93)-1)</f>
        <v>-1.074637186345373E-3</v>
      </c>
    </row>
    <row r="94" spans="1:28" x14ac:dyDescent="0.45">
      <c r="A94" s="121">
        <v>45334</v>
      </c>
      <c r="B94" s="124">
        <v>500.98</v>
      </c>
      <c r="C94" s="124">
        <v>187.15</v>
      </c>
      <c r="D94" s="124">
        <v>415.26</v>
      </c>
      <c r="E94" s="124">
        <v>175.79</v>
      </c>
      <c r="F94" s="124">
        <v>103.17</v>
      </c>
      <c r="G94" s="124">
        <v>157.85</v>
      </c>
      <c r="H94" s="124">
        <v>172.34</v>
      </c>
      <c r="I94" s="124">
        <v>59.7</v>
      </c>
      <c r="J94" s="125">
        <v>56.77</v>
      </c>
      <c r="L94" s="39">
        <f t="shared" si="20"/>
        <v>-4.3894652833194423E-4</v>
      </c>
      <c r="M94" s="40">
        <f t="shared" si="12"/>
        <v>-9.0018533227428574E-3</v>
      </c>
      <c r="N94" s="40">
        <f t="shared" si="13"/>
        <v>-1.2578765901795316E-2</v>
      </c>
      <c r="O94" s="40">
        <f t="shared" si="14"/>
        <v>4.4568881778184171E-3</v>
      </c>
      <c r="P94" s="40">
        <f t="shared" si="15"/>
        <v>1.3756509776948077E-2</v>
      </c>
      <c r="Q94" s="40">
        <f t="shared" si="16"/>
        <v>6.9533044143914487E-3</v>
      </c>
      <c r="R94" s="40">
        <f t="shared" si="17"/>
        <v>-1.209515620521631E-2</v>
      </c>
      <c r="S94" s="40">
        <f t="shared" si="18"/>
        <v>2.3505708529214333E-3</v>
      </c>
      <c r="T94" s="41">
        <f t="shared" si="19"/>
        <v>6.0251639199008222E-3</v>
      </c>
      <c r="V94" s="39">
        <f t="shared" si="21"/>
        <v>-4.3894652833194423E-4</v>
      </c>
      <c r="W94" s="40" cm="1">
        <f t="array" ref="W94">IF(M94="","",SUMPRODUCT(M94:T94,TRANSPOSE('04_Dashboard'!$C$53:$C$60)))</f>
        <v>2.3257649899855954E-3</v>
      </c>
      <c r="X94" s="42">
        <f t="shared" si="22"/>
        <v>1.1724041094287516</v>
      </c>
      <c r="Y94" s="118">
        <f t="shared" si="23"/>
        <v>1.1179166963582046</v>
      </c>
      <c r="AA94" s="43">
        <f>IF(X94="","",X94/MAX($X$4:X94)-1)</f>
        <v>-4.3894652833209591E-4</v>
      </c>
      <c r="AB94" s="44">
        <f>IF(Y94="","",Y94/MAX($Y$4:Y94)-1)</f>
        <v>0</v>
      </c>
    </row>
    <row r="95" spans="1:28" x14ac:dyDescent="0.45">
      <c r="A95" s="121">
        <v>45335</v>
      </c>
      <c r="B95" s="124">
        <v>494.08</v>
      </c>
      <c r="C95" s="124">
        <v>185.04</v>
      </c>
      <c r="D95" s="124">
        <v>406.32</v>
      </c>
      <c r="E95" s="124">
        <v>174.26</v>
      </c>
      <c r="F95" s="124">
        <v>101.34</v>
      </c>
      <c r="G95" s="124">
        <v>156.47</v>
      </c>
      <c r="H95" s="124">
        <v>168.64</v>
      </c>
      <c r="I95" s="124">
        <v>59.35</v>
      </c>
      <c r="J95" s="125">
        <v>56.38</v>
      </c>
      <c r="L95" s="39">
        <f t="shared" si="20"/>
        <v>-1.3773004910375732E-2</v>
      </c>
      <c r="M95" s="40">
        <f t="shared" si="12"/>
        <v>-1.1274378840502343E-2</v>
      </c>
      <c r="N95" s="40">
        <f t="shared" si="13"/>
        <v>-2.1528680826470158E-2</v>
      </c>
      <c r="O95" s="40">
        <f t="shared" si="14"/>
        <v>-8.7035667557881623E-3</v>
      </c>
      <c r="P95" s="40">
        <f t="shared" si="15"/>
        <v>-1.7737714451875528E-2</v>
      </c>
      <c r="Q95" s="40">
        <f t="shared" si="16"/>
        <v>-8.7424770351599342E-3</v>
      </c>
      <c r="R95" s="40">
        <f t="shared" si="17"/>
        <v>-2.1469188812811981E-2</v>
      </c>
      <c r="S95" s="40">
        <f t="shared" si="18"/>
        <v>-5.862646566164178E-3</v>
      </c>
      <c r="T95" s="41">
        <f t="shared" si="19"/>
        <v>-6.8698256121190867E-3</v>
      </c>
      <c r="V95" s="39">
        <f t="shared" si="21"/>
        <v>-1.3773004910375732E-2</v>
      </c>
      <c r="W95" s="40" cm="1">
        <f t="array" ref="W95">IF(M95="","",SUMPRODUCT(M95:T95,TRANSPOSE('04_Dashboard'!$C$53:$C$60)))</f>
        <v>-1.0468496077702692E-2</v>
      </c>
      <c r="X95" s="42">
        <f t="shared" si="22"/>
        <v>1.1562565818726447</v>
      </c>
      <c r="Y95" s="118">
        <f t="shared" si="23"/>
        <v>1.1062137898071802</v>
      </c>
      <c r="AA95" s="43">
        <f>IF(X95="","",X95/MAX($X$4:X95)-1)</f>
        <v>-1.4205905826017773E-2</v>
      </c>
      <c r="AB95" s="44">
        <f>IF(Y95="","",Y95/MAX($Y$4:Y95)-1)</f>
        <v>-1.0468496077702838E-2</v>
      </c>
    </row>
    <row r="96" spans="1:28" x14ac:dyDescent="0.45">
      <c r="A96" s="121">
        <v>45336</v>
      </c>
      <c r="B96" s="124">
        <v>498.57</v>
      </c>
      <c r="C96" s="124">
        <v>184.15</v>
      </c>
      <c r="D96" s="124">
        <v>409.49</v>
      </c>
      <c r="E96" s="124">
        <v>176.03</v>
      </c>
      <c r="F96" s="124">
        <v>100.84</v>
      </c>
      <c r="G96" s="124">
        <v>155.74</v>
      </c>
      <c r="H96" s="124">
        <v>170.98</v>
      </c>
      <c r="I96" s="124">
        <v>59.29</v>
      </c>
      <c r="J96" s="125">
        <v>56.2</v>
      </c>
      <c r="L96" s="39">
        <f t="shared" si="20"/>
        <v>9.0875971502590858E-3</v>
      </c>
      <c r="M96" s="40">
        <f t="shared" si="12"/>
        <v>-4.8097708603544445E-3</v>
      </c>
      <c r="N96" s="40">
        <f t="shared" si="13"/>
        <v>7.801732624532428E-3</v>
      </c>
      <c r="O96" s="40">
        <f t="shared" si="14"/>
        <v>1.0157236313554517E-2</v>
      </c>
      <c r="P96" s="40">
        <f t="shared" si="15"/>
        <v>-4.9338859285573316E-3</v>
      </c>
      <c r="Q96" s="40">
        <f t="shared" si="16"/>
        <v>-4.6654310730490818E-3</v>
      </c>
      <c r="R96" s="40">
        <f t="shared" si="17"/>
        <v>1.3875711574952583E-2</v>
      </c>
      <c r="S96" s="40">
        <f t="shared" si="18"/>
        <v>-1.0109519797809987E-3</v>
      </c>
      <c r="T96" s="41">
        <f t="shared" si="19"/>
        <v>-3.1926214969847412E-3</v>
      </c>
      <c r="V96" s="39">
        <f t="shared" si="21"/>
        <v>9.0875971502590858E-3</v>
      </c>
      <c r="W96" s="40" cm="1">
        <f t="array" ref="W96">IF(M96="","",SUMPRODUCT(M96:T96,TRANSPOSE('04_Dashboard'!$C$53:$C$60)))</f>
        <v>1.7499318358710453E-3</v>
      </c>
      <c r="X96" s="42">
        <f t="shared" si="22"/>
        <v>1.1667641758910388</v>
      </c>
      <c r="Y96" s="118">
        <f t="shared" si="23"/>
        <v>1.1081495885352435</v>
      </c>
      <c r="AA96" s="43">
        <f>IF(X96="","",X96/MAX($X$4:X96)-1)</f>
        <v>-5.2474062250600362E-3</v>
      </c>
      <c r="AB96" s="44">
        <f>IF(Y96="","",Y96/MAX($Y$4:Y96)-1)</f>
        <v>-8.7368833963916703E-3</v>
      </c>
    </row>
    <row r="97" spans="1:28" x14ac:dyDescent="0.45">
      <c r="A97" s="121">
        <v>45337</v>
      </c>
      <c r="B97" s="124">
        <v>502.01</v>
      </c>
      <c r="C97" s="124">
        <v>183.86</v>
      </c>
      <c r="D97" s="124">
        <v>406.56</v>
      </c>
      <c r="E97" s="124">
        <v>179.87</v>
      </c>
      <c r="F97" s="124">
        <v>103.73</v>
      </c>
      <c r="G97" s="124">
        <v>157.91999999999999</v>
      </c>
      <c r="H97" s="124">
        <v>169.8</v>
      </c>
      <c r="I97" s="124">
        <v>59.4</v>
      </c>
      <c r="J97" s="125">
        <v>56.43</v>
      </c>
      <c r="L97" s="39">
        <f t="shared" si="20"/>
        <v>6.8997332370579817E-3</v>
      </c>
      <c r="M97" s="40">
        <f t="shared" si="12"/>
        <v>-1.574803149606256E-3</v>
      </c>
      <c r="N97" s="40">
        <f t="shared" si="13"/>
        <v>-7.155241886248765E-3</v>
      </c>
      <c r="O97" s="40">
        <f t="shared" si="14"/>
        <v>2.18144634437312E-2</v>
      </c>
      <c r="P97" s="40">
        <f t="shared" si="15"/>
        <v>2.8659262197540662E-2</v>
      </c>
      <c r="Q97" s="40">
        <f t="shared" si="16"/>
        <v>1.3997688455117363E-2</v>
      </c>
      <c r="R97" s="40">
        <f t="shared" si="17"/>
        <v>-6.9013919756695432E-3</v>
      </c>
      <c r="S97" s="40">
        <f t="shared" si="18"/>
        <v>1.8552875695732743E-3</v>
      </c>
      <c r="T97" s="41">
        <f t="shared" si="19"/>
        <v>4.0925266903914029E-3</v>
      </c>
      <c r="V97" s="39">
        <f t="shared" si="21"/>
        <v>6.8997332370579817E-3</v>
      </c>
      <c r="W97" s="40" cm="1">
        <f t="array" ref="W97">IF(M97="","",SUMPRODUCT(M97:T97,TRANSPOSE('04_Dashboard'!$C$53:$C$60)))</f>
        <v>9.6861547143436717E-3</v>
      </c>
      <c r="X97" s="42">
        <f t="shared" si="22"/>
        <v>1.1748145374552428</v>
      </c>
      <c r="Y97" s="118">
        <f t="shared" si="23"/>
        <v>1.1188832968964322</v>
      </c>
      <c r="AA97" s="43">
        <f>IF(X97="","",X97/MAX($X$4:X97)-1)</f>
        <v>0</v>
      </c>
      <c r="AB97" s="44">
        <f>IF(Y97="","",Y97/MAX($Y$4:Y97)-1)</f>
        <v>0</v>
      </c>
    </row>
    <row r="98" spans="1:28" x14ac:dyDescent="0.45">
      <c r="A98" s="121">
        <v>45338</v>
      </c>
      <c r="B98" s="124">
        <v>499.51</v>
      </c>
      <c r="C98" s="124">
        <v>182.31</v>
      </c>
      <c r="D98" s="124">
        <v>404.06</v>
      </c>
      <c r="E98" s="124">
        <v>179.03</v>
      </c>
      <c r="F98" s="124">
        <v>103.73</v>
      </c>
      <c r="G98" s="124">
        <v>156.55000000000001</v>
      </c>
      <c r="H98" s="124">
        <v>169.51</v>
      </c>
      <c r="I98" s="124">
        <v>59.39</v>
      </c>
      <c r="J98" s="125">
        <v>56.79</v>
      </c>
      <c r="L98" s="39">
        <f t="shared" si="20"/>
        <v>-4.9799804784765242E-3</v>
      </c>
      <c r="M98" s="40">
        <f t="shared" si="12"/>
        <v>-8.4303274230393306E-3</v>
      </c>
      <c r="N98" s="40">
        <f t="shared" si="13"/>
        <v>-6.1491538764266033E-3</v>
      </c>
      <c r="O98" s="40">
        <f t="shared" si="14"/>
        <v>-4.6700394729527065E-3</v>
      </c>
      <c r="P98" s="40">
        <f t="shared" si="15"/>
        <v>0</v>
      </c>
      <c r="Q98" s="40">
        <f t="shared" si="16"/>
        <v>-8.6752786220869824E-3</v>
      </c>
      <c r="R98" s="40">
        <f t="shared" si="17"/>
        <v>-1.7078916372203796E-3</v>
      </c>
      <c r="S98" s="40">
        <f t="shared" si="18"/>
        <v>-1.6835016835013486E-4</v>
      </c>
      <c r="T98" s="41">
        <f t="shared" si="19"/>
        <v>6.3795853269537376E-3</v>
      </c>
      <c r="V98" s="39">
        <f t="shared" si="21"/>
        <v>-4.9799804784765242E-3</v>
      </c>
      <c r="W98" s="40" cm="1">
        <f t="array" ref="W98">IF(M98="","",SUMPRODUCT(M98:T98,TRANSPOSE('04_Dashboard'!$C$53:$C$60)))</f>
        <v>-3.3162578927919523E-3</v>
      </c>
      <c r="X98" s="42">
        <f t="shared" si="22"/>
        <v>1.1689639839928854</v>
      </c>
      <c r="Y98" s="118">
        <f t="shared" si="23"/>
        <v>1.1151727913319862</v>
      </c>
      <c r="AA98" s="43">
        <f>IF(X98="","",X98/MAX($X$4:X98)-1)</f>
        <v>-4.9799804784763646E-3</v>
      </c>
      <c r="AB98" s="44">
        <f>IF(Y98="","",Y98/MAX($Y$4:Y98)-1)</f>
        <v>-3.3162578927919961E-3</v>
      </c>
    </row>
    <row r="99" spans="1:28" x14ac:dyDescent="0.45">
      <c r="A99" s="121">
        <v>45342</v>
      </c>
      <c r="B99" s="124">
        <v>496.76</v>
      </c>
      <c r="C99" s="124">
        <v>181.56</v>
      </c>
      <c r="D99" s="124">
        <v>402.79</v>
      </c>
      <c r="E99" s="124">
        <v>179.73</v>
      </c>
      <c r="F99" s="124">
        <v>102.75</v>
      </c>
      <c r="G99" s="124">
        <v>157.86000000000001</v>
      </c>
      <c r="H99" s="124">
        <v>167.08</v>
      </c>
      <c r="I99" s="124">
        <v>60.7</v>
      </c>
      <c r="J99" s="125">
        <v>58.62</v>
      </c>
      <c r="L99" s="39">
        <f t="shared" si="20"/>
        <v>-5.5053952873816338E-3</v>
      </c>
      <c r="M99" s="40">
        <f t="shared" si="12"/>
        <v>-4.1138719763040973E-3</v>
      </c>
      <c r="N99" s="40">
        <f t="shared" si="13"/>
        <v>-3.143097559768306E-3</v>
      </c>
      <c r="O99" s="40">
        <f t="shared" si="14"/>
        <v>3.9099592247108786E-3</v>
      </c>
      <c r="P99" s="40">
        <f t="shared" si="15"/>
        <v>-9.4476043574665373E-3</v>
      </c>
      <c r="Q99" s="40">
        <f t="shared" si="16"/>
        <v>8.3679335675503168E-3</v>
      </c>
      <c r="R99" s="40">
        <f t="shared" si="17"/>
        <v>-1.4335437437319206E-2</v>
      </c>
      <c r="S99" s="40">
        <f t="shared" si="18"/>
        <v>2.2057585452096351E-2</v>
      </c>
      <c r="T99" s="41">
        <f t="shared" si="19"/>
        <v>3.2223983095615395E-2</v>
      </c>
      <c r="V99" s="39">
        <f t="shared" si="21"/>
        <v>-5.5053952873816338E-3</v>
      </c>
      <c r="W99" s="40" cm="1">
        <f t="array" ref="W99">IF(M99="","",SUMPRODUCT(M99:T99,TRANSPOSE('04_Dashboard'!$C$53:$C$60)))</f>
        <v>8.5030045639063467E-3</v>
      </c>
      <c r="X99" s="42">
        <f t="shared" si="22"/>
        <v>1.1625283751842921</v>
      </c>
      <c r="Y99" s="118">
        <f t="shared" si="23"/>
        <v>1.1246551106662261</v>
      </c>
      <c r="AA99" s="43">
        <f>IF(X99="","",X99/MAX($X$4:X99)-1)</f>
        <v>-1.0457959004800621E-2</v>
      </c>
      <c r="AB99" s="44">
        <f>IF(Y99="","",Y99/MAX($Y$4:Y99)-1)</f>
        <v>0</v>
      </c>
    </row>
    <row r="100" spans="1:28" x14ac:dyDescent="0.45">
      <c r="A100" s="121">
        <v>45343</v>
      </c>
      <c r="B100" s="124">
        <v>497.21</v>
      </c>
      <c r="C100" s="124">
        <v>182.32</v>
      </c>
      <c r="D100" s="124">
        <v>402.18</v>
      </c>
      <c r="E100" s="124">
        <v>180.9</v>
      </c>
      <c r="F100" s="124">
        <v>104.85</v>
      </c>
      <c r="G100" s="124">
        <v>158.68</v>
      </c>
      <c r="H100" s="124">
        <v>168.59</v>
      </c>
      <c r="I100" s="124">
        <v>61.24</v>
      </c>
      <c r="J100" s="125">
        <v>57.9</v>
      </c>
      <c r="L100" s="39">
        <f t="shared" si="20"/>
        <v>9.0587003784521429E-4</v>
      </c>
      <c r="M100" s="40">
        <f t="shared" si="12"/>
        <v>4.1859440405375131E-3</v>
      </c>
      <c r="N100" s="40">
        <f t="shared" si="13"/>
        <v>-1.5144368032970373E-3</v>
      </c>
      <c r="O100" s="40">
        <f t="shared" si="14"/>
        <v>6.5097646469705443E-3</v>
      </c>
      <c r="P100" s="40">
        <f t="shared" si="15"/>
        <v>2.0437956204379507E-2</v>
      </c>
      <c r="Q100" s="40">
        <f t="shared" si="16"/>
        <v>5.1944761180792668E-3</v>
      </c>
      <c r="R100" s="40">
        <f t="shared" si="17"/>
        <v>9.0375867847737063E-3</v>
      </c>
      <c r="S100" s="40">
        <f t="shared" si="18"/>
        <v>8.8962108731466087E-3</v>
      </c>
      <c r="T100" s="41">
        <f t="shared" si="19"/>
        <v>-1.2282497441146347E-2</v>
      </c>
      <c r="V100" s="39">
        <f t="shared" si="21"/>
        <v>9.0587003784521429E-4</v>
      </c>
      <c r="W100" s="40" cm="1">
        <f t="array" ref="W100">IF(M100="","",SUMPRODUCT(M100:T100,TRANSPOSE('04_Dashboard'!$C$53:$C$60)))</f>
        <v>4.1133290845670866E-3</v>
      </c>
      <c r="X100" s="42">
        <f t="shared" si="22"/>
        <v>1.1635814748075164</v>
      </c>
      <c r="Y100" s="118">
        <f t="shared" si="23"/>
        <v>1.1292811872430366</v>
      </c>
      <c r="AA100" s="43">
        <f>IF(X100="","",X100/MAX($X$4:X100)-1)</f>
        <v>-9.5615625186749043E-3</v>
      </c>
      <c r="AB100" s="44">
        <f>IF(Y100="","",Y100/MAX($Y$4:Y100)-1)</f>
        <v>0</v>
      </c>
    </row>
    <row r="101" spans="1:28" x14ac:dyDescent="0.45">
      <c r="A101" s="121">
        <v>45344</v>
      </c>
      <c r="B101" s="124">
        <v>507.5</v>
      </c>
      <c r="C101" s="124">
        <v>184.37</v>
      </c>
      <c r="D101" s="124">
        <v>411.65</v>
      </c>
      <c r="E101" s="124">
        <v>183.07</v>
      </c>
      <c r="F101" s="124">
        <v>104.76</v>
      </c>
      <c r="G101" s="124">
        <v>160.44999999999999</v>
      </c>
      <c r="H101" s="124">
        <v>174.58</v>
      </c>
      <c r="I101" s="124">
        <v>61.15</v>
      </c>
      <c r="J101" s="125">
        <v>58.47</v>
      </c>
      <c r="L101" s="39">
        <f t="shared" si="20"/>
        <v>2.0695480782767887E-2</v>
      </c>
      <c r="M101" s="40">
        <f t="shared" si="12"/>
        <v>1.1243966652040431E-2</v>
      </c>
      <c r="N101" s="40">
        <f t="shared" si="13"/>
        <v>2.3546670644984759E-2</v>
      </c>
      <c r="O101" s="40">
        <f t="shared" si="14"/>
        <v>1.1995577667219389E-2</v>
      </c>
      <c r="P101" s="40">
        <f t="shared" si="15"/>
        <v>-8.5836909871234341E-4</v>
      </c>
      <c r="Q101" s="40">
        <f t="shared" si="16"/>
        <v>1.1154524829846116E-2</v>
      </c>
      <c r="R101" s="40">
        <f t="shared" si="17"/>
        <v>3.5529983984815286E-2</v>
      </c>
      <c r="S101" s="40">
        <f t="shared" si="18"/>
        <v>-1.4696276943174953E-3</v>
      </c>
      <c r="T101" s="41">
        <f t="shared" si="19"/>
        <v>9.8445595854922338E-3</v>
      </c>
      <c r="V101" s="39">
        <f t="shared" si="21"/>
        <v>2.0695480782767887E-2</v>
      </c>
      <c r="W101" s="40" cm="1">
        <f t="array" ref="W101">IF(M101="","",SUMPRODUCT(M101:T101,TRANSPOSE('04_Dashboard'!$C$53:$C$60)))</f>
        <v>1.1463459397180057E-2</v>
      </c>
      <c r="X101" s="42">
        <f t="shared" si="22"/>
        <v>1.1876623528585801</v>
      </c>
      <c r="Y101" s="118">
        <f t="shared" si="23"/>
        <v>1.1422266562809964</v>
      </c>
      <c r="AA101" s="43">
        <f>IF(X101="","",X101/MAX($X$4:X101)-1)</f>
        <v>0</v>
      </c>
      <c r="AB101" s="44">
        <f>IF(Y101="","",Y101/MAX($Y$4:Y101)-1)</f>
        <v>0</v>
      </c>
    </row>
    <row r="102" spans="1:28" x14ac:dyDescent="0.45">
      <c r="A102" s="121">
        <v>45345</v>
      </c>
      <c r="B102" s="124">
        <v>507.85</v>
      </c>
      <c r="C102" s="124">
        <v>182.52</v>
      </c>
      <c r="D102" s="124">
        <v>410.34</v>
      </c>
      <c r="E102" s="124">
        <v>183.99</v>
      </c>
      <c r="F102" s="124">
        <v>103.84</v>
      </c>
      <c r="G102" s="124">
        <v>161.84</v>
      </c>
      <c r="H102" s="124">
        <v>174.99</v>
      </c>
      <c r="I102" s="124">
        <v>61.2</v>
      </c>
      <c r="J102" s="125">
        <v>58.52</v>
      </c>
      <c r="L102" s="39">
        <f t="shared" si="20"/>
        <v>6.8965517241383794E-4</v>
      </c>
      <c r="M102" s="40">
        <f t="shared" si="12"/>
        <v>-1.0034170418180801E-2</v>
      </c>
      <c r="N102" s="40">
        <f t="shared" si="13"/>
        <v>-3.1823150734847623E-3</v>
      </c>
      <c r="O102" s="40">
        <f t="shared" si="14"/>
        <v>5.0254001201726984E-3</v>
      </c>
      <c r="P102" s="40">
        <f t="shared" si="15"/>
        <v>-8.7819778541428188E-3</v>
      </c>
      <c r="Q102" s="40">
        <f t="shared" si="16"/>
        <v>8.6631349330010283E-3</v>
      </c>
      <c r="R102" s="40">
        <f t="shared" si="17"/>
        <v>2.3484935273226978E-3</v>
      </c>
      <c r="S102" s="40">
        <f t="shared" si="18"/>
        <v>8.1766148814397816E-4</v>
      </c>
      <c r="T102" s="41">
        <f t="shared" si="19"/>
        <v>8.5513938772027135E-4</v>
      </c>
      <c r="V102" s="39">
        <f t="shared" si="21"/>
        <v>6.8965517241383794E-4</v>
      </c>
      <c r="W102" s="40" cm="1">
        <f t="array" ref="W102">IF(M102="","",SUMPRODUCT(M102:T102,TRANSPOSE('04_Dashboard'!$C$53:$C$60)))</f>
        <v>2.4521950705902258E-3</v>
      </c>
      <c r="X102" s="42">
        <f t="shared" si="22"/>
        <v>1.1884814303433102</v>
      </c>
      <c r="Y102" s="118">
        <f t="shared" si="23"/>
        <v>1.1450276188570254</v>
      </c>
      <c r="AA102" s="43">
        <f>IF(X102="","",X102/MAX($X$4:X102)-1)</f>
        <v>0</v>
      </c>
      <c r="AB102" s="44">
        <f>IF(Y102="","",Y102/MAX($Y$4:Y102)-1)</f>
        <v>0</v>
      </c>
    </row>
    <row r="103" spans="1:28" x14ac:dyDescent="0.45">
      <c r="A103" s="121">
        <v>45348</v>
      </c>
      <c r="B103" s="124">
        <v>505.99</v>
      </c>
      <c r="C103" s="124">
        <v>181.16</v>
      </c>
      <c r="D103" s="124">
        <v>407.54</v>
      </c>
      <c r="E103" s="124">
        <v>183.36</v>
      </c>
      <c r="F103" s="124">
        <v>104.25</v>
      </c>
      <c r="G103" s="124">
        <v>160.79</v>
      </c>
      <c r="H103" s="124">
        <v>174.73</v>
      </c>
      <c r="I103" s="124">
        <v>60.71</v>
      </c>
      <c r="J103" s="125">
        <v>59.6</v>
      </c>
      <c r="L103" s="39">
        <f t="shared" si="20"/>
        <v>-3.6624987693216768E-3</v>
      </c>
      <c r="M103" s="40">
        <f t="shared" si="12"/>
        <v>-7.4512382204690638E-3</v>
      </c>
      <c r="N103" s="40">
        <f t="shared" si="13"/>
        <v>-6.8236096895256488E-3</v>
      </c>
      <c r="O103" s="40">
        <f t="shared" si="14"/>
        <v>-3.424099135822574E-3</v>
      </c>
      <c r="P103" s="40">
        <f t="shared" si="15"/>
        <v>3.9483821263481952E-3</v>
      </c>
      <c r="Q103" s="40">
        <f t="shared" si="16"/>
        <v>-6.4878892733564713E-3</v>
      </c>
      <c r="R103" s="40">
        <f t="shared" si="17"/>
        <v>-1.4857991885251689E-3</v>
      </c>
      <c r="S103" s="40">
        <f t="shared" si="18"/>
        <v>-8.0065359477124506E-3</v>
      </c>
      <c r="T103" s="41">
        <f t="shared" si="19"/>
        <v>1.8455228981544742E-2</v>
      </c>
      <c r="V103" s="39">
        <f t="shared" si="21"/>
        <v>-3.6624987693216768E-3</v>
      </c>
      <c r="W103" s="40" cm="1">
        <f t="array" ref="W103">IF(M103="","",SUMPRODUCT(M103:T103,TRANSPOSE('04_Dashboard'!$C$53:$C$60)))</f>
        <v>-1.6782933222528719E-3</v>
      </c>
      <c r="X103" s="42">
        <f t="shared" si="22"/>
        <v>1.1841286185673161</v>
      </c>
      <c r="Y103" s="118">
        <f t="shared" si="23"/>
        <v>1.1431059266505026</v>
      </c>
      <c r="AA103" s="43">
        <f>IF(X103="","",X103/MAX($X$4:X103)-1)</f>
        <v>-3.662498769321787E-3</v>
      </c>
      <c r="AB103" s="44">
        <f>IF(Y103="","",Y103/MAX($Y$4:Y103)-1)</f>
        <v>-1.6782933222528884E-3</v>
      </c>
    </row>
    <row r="104" spans="1:28" x14ac:dyDescent="0.45">
      <c r="A104" s="121">
        <v>45349</v>
      </c>
      <c r="B104" s="124">
        <v>506.93</v>
      </c>
      <c r="C104" s="124">
        <v>182.63</v>
      </c>
      <c r="D104" s="124">
        <v>407.48</v>
      </c>
      <c r="E104" s="124">
        <v>183.45</v>
      </c>
      <c r="F104" s="124">
        <v>104.03</v>
      </c>
      <c r="G104" s="124">
        <v>160.97999999999999</v>
      </c>
      <c r="H104" s="124">
        <v>173.54</v>
      </c>
      <c r="I104" s="124">
        <v>60.34</v>
      </c>
      <c r="J104" s="125">
        <v>59.59</v>
      </c>
      <c r="L104" s="39">
        <f t="shared" si="20"/>
        <v>1.8577442241941495E-3</v>
      </c>
      <c r="M104" s="40">
        <f t="shared" si="12"/>
        <v>8.1143740340030857E-3</v>
      </c>
      <c r="N104" s="40">
        <f t="shared" si="13"/>
        <v>-1.4722481228836989E-4</v>
      </c>
      <c r="O104" s="40">
        <f t="shared" si="14"/>
        <v>4.9083769633494212E-4</v>
      </c>
      <c r="P104" s="40">
        <f t="shared" si="15"/>
        <v>-2.1103117505995093E-3</v>
      </c>
      <c r="Q104" s="40">
        <f t="shared" si="16"/>
        <v>1.1816655264630745E-3</v>
      </c>
      <c r="R104" s="40">
        <f t="shared" si="17"/>
        <v>-6.8105076403593987E-3</v>
      </c>
      <c r="S104" s="40">
        <f t="shared" si="18"/>
        <v>-6.0945478504364596E-3</v>
      </c>
      <c r="T104" s="41">
        <f t="shared" si="19"/>
        <v>-1.6778523489929548E-4</v>
      </c>
      <c r="V104" s="39">
        <f t="shared" si="21"/>
        <v>1.8577442241941495E-3</v>
      </c>
      <c r="W104" s="40" cm="1">
        <f t="array" ref="W104">IF(M104="","",SUMPRODUCT(M104:T104,TRANSPOSE('04_Dashboard'!$C$53:$C$60)))</f>
        <v>-6.3837271204713784E-4</v>
      </c>
      <c r="X104" s="42">
        <f t="shared" si="22"/>
        <v>1.1863284266691625</v>
      </c>
      <c r="Y104" s="118">
        <f t="shared" si="23"/>
        <v>1.1423761990199495</v>
      </c>
      <c r="AA104" s="43">
        <f>IF(X104="","",X104/MAX($X$4:X104)-1)</f>
        <v>-1.8115585310624072E-3</v>
      </c>
      <c r="AB104" s="44">
        <f>IF(Y104="","",Y104/MAX($Y$4:Y104)-1)</f>
        <v>-2.3155946576403075E-3</v>
      </c>
    </row>
    <row r="105" spans="1:28" x14ac:dyDescent="0.45">
      <c r="A105" s="121">
        <v>45350</v>
      </c>
      <c r="B105" s="124">
        <v>506.26</v>
      </c>
      <c r="C105" s="124">
        <v>181.42</v>
      </c>
      <c r="D105" s="124">
        <v>407.72</v>
      </c>
      <c r="E105" s="124">
        <v>184.38</v>
      </c>
      <c r="F105" s="124">
        <v>104.32</v>
      </c>
      <c r="G105" s="124">
        <v>161.55000000000001</v>
      </c>
      <c r="H105" s="124">
        <v>173.16</v>
      </c>
      <c r="I105" s="124">
        <v>60.4</v>
      </c>
      <c r="J105" s="125">
        <v>59.62</v>
      </c>
      <c r="L105" s="39">
        <f t="shared" si="20"/>
        <v>-1.3216814944864495E-3</v>
      </c>
      <c r="M105" s="40">
        <f t="shared" si="12"/>
        <v>-6.6254175108142578E-3</v>
      </c>
      <c r="N105" s="40">
        <f t="shared" si="13"/>
        <v>5.8898596250124937E-4</v>
      </c>
      <c r="O105" s="40">
        <f t="shared" si="14"/>
        <v>5.0695012264922699E-3</v>
      </c>
      <c r="P105" s="40">
        <f t="shared" si="15"/>
        <v>2.7876574065172741E-3</v>
      </c>
      <c r="Q105" s="40">
        <f t="shared" si="16"/>
        <v>3.5408125232949538E-3</v>
      </c>
      <c r="R105" s="40">
        <f t="shared" si="17"/>
        <v>-2.1896968998501524E-3</v>
      </c>
      <c r="S105" s="40">
        <f t="shared" si="18"/>
        <v>9.943652635067148E-4</v>
      </c>
      <c r="T105" s="41">
        <f t="shared" si="19"/>
        <v>5.0344017452582702E-4</v>
      </c>
      <c r="V105" s="39">
        <f t="shared" si="21"/>
        <v>-1.3216814944864495E-3</v>
      </c>
      <c r="W105" s="40" cm="1">
        <f t="array" ref="W105">IF(M105="","",SUMPRODUCT(M105:T105,TRANSPOSE('04_Dashboard'!$C$53:$C$60)))</f>
        <v>1.9065407458086466E-3</v>
      </c>
      <c r="X105" s="42">
        <f t="shared" si="22"/>
        <v>1.1847604783412506</v>
      </c>
      <c r="Y105" s="118">
        <f t="shared" si="23"/>
        <v>1.1445541857904229</v>
      </c>
      <c r="AA105" s="43">
        <f>IF(X105="","",X105/MAX($X$4:X105)-1)</f>
        <v>-3.1308457221621566E-3</v>
      </c>
      <c r="AB105" s="44">
        <f>IF(Y105="","",Y105/MAX($Y$4:Y105)-1)</f>
        <v>-4.1346868739733367E-4</v>
      </c>
    </row>
    <row r="106" spans="1:28" x14ac:dyDescent="0.45">
      <c r="A106" s="121">
        <v>45351</v>
      </c>
      <c r="B106" s="124">
        <v>508.08</v>
      </c>
      <c r="C106" s="124">
        <v>180.75</v>
      </c>
      <c r="D106" s="124">
        <v>413.64</v>
      </c>
      <c r="E106" s="124">
        <v>186.06</v>
      </c>
      <c r="F106" s="124">
        <v>104.52</v>
      </c>
      <c r="G106" s="124">
        <v>161.38</v>
      </c>
      <c r="H106" s="124">
        <v>176.76</v>
      </c>
      <c r="I106" s="124">
        <v>60.02</v>
      </c>
      <c r="J106" s="125">
        <v>58.61</v>
      </c>
      <c r="L106" s="39">
        <f t="shared" si="20"/>
        <v>3.5949907162327525E-3</v>
      </c>
      <c r="M106" s="40">
        <f t="shared" si="12"/>
        <v>-3.6930878624186281E-3</v>
      </c>
      <c r="N106" s="40">
        <f t="shared" si="13"/>
        <v>1.4519768468556751E-2</v>
      </c>
      <c r="O106" s="40">
        <f t="shared" si="14"/>
        <v>9.1116173120729307E-3</v>
      </c>
      <c r="P106" s="40">
        <f t="shared" si="15"/>
        <v>1.9171779141104568E-3</v>
      </c>
      <c r="Q106" s="40">
        <f t="shared" si="16"/>
        <v>-1.0523057876819307E-3</v>
      </c>
      <c r="R106" s="40">
        <f t="shared" si="17"/>
        <v>2.0790020790020756E-2</v>
      </c>
      <c r="S106" s="40">
        <f t="shared" si="18"/>
        <v>-6.2913907284767459E-3</v>
      </c>
      <c r="T106" s="41">
        <f t="shared" si="19"/>
        <v>-1.6940623951694031E-2</v>
      </c>
      <c r="V106" s="39">
        <f t="shared" si="21"/>
        <v>3.5949907162327525E-3</v>
      </c>
      <c r="W106" s="40" cm="1">
        <f t="array" ref="W106">IF(M106="","",SUMPRODUCT(M106:T106,TRANSPOSE('04_Dashboard'!$C$53:$C$60)))</f>
        <v>1.0837169209062373E-3</v>
      </c>
      <c r="X106" s="42">
        <f t="shared" si="22"/>
        <v>1.1890196812618468</v>
      </c>
      <c r="Y106" s="118">
        <f t="shared" si="23"/>
        <v>1.1457945585284579</v>
      </c>
      <c r="AA106" s="43">
        <f>IF(X106="","",X106/MAX($X$4:X106)-1)</f>
        <v>0</v>
      </c>
      <c r="AB106" s="44">
        <f>IF(Y106="","",Y106/MAX($Y$4:Y106)-1)</f>
        <v>0</v>
      </c>
    </row>
    <row r="107" spans="1:28" x14ac:dyDescent="0.45">
      <c r="A107" s="121">
        <v>45352</v>
      </c>
      <c r="B107" s="124">
        <v>512.85</v>
      </c>
      <c r="C107" s="124">
        <v>179.66</v>
      </c>
      <c r="D107" s="124">
        <v>415.5</v>
      </c>
      <c r="E107" s="124">
        <v>185.29</v>
      </c>
      <c r="F107" s="124">
        <v>105.84</v>
      </c>
      <c r="G107" s="124">
        <v>162.12</v>
      </c>
      <c r="H107" s="124">
        <v>178.22</v>
      </c>
      <c r="I107" s="124">
        <v>59.53</v>
      </c>
      <c r="J107" s="125">
        <v>58.76</v>
      </c>
      <c r="L107" s="39">
        <f t="shared" si="20"/>
        <v>9.3882853094001701E-3</v>
      </c>
      <c r="M107" s="40">
        <f t="shared" si="12"/>
        <v>-6.0304287690179995E-3</v>
      </c>
      <c r="N107" s="40">
        <f t="shared" si="13"/>
        <v>4.4966637655933029E-3</v>
      </c>
      <c r="O107" s="40">
        <f t="shared" si="14"/>
        <v>-4.1384499623777823E-3</v>
      </c>
      <c r="P107" s="40">
        <f t="shared" si="15"/>
        <v>1.2629161882893297E-2</v>
      </c>
      <c r="Q107" s="40">
        <f t="shared" si="16"/>
        <v>4.5854504895278788E-3</v>
      </c>
      <c r="R107" s="40">
        <f t="shared" si="17"/>
        <v>8.2597872821905862E-3</v>
      </c>
      <c r="S107" s="40">
        <f t="shared" si="18"/>
        <v>-8.1639453515495158E-3</v>
      </c>
      <c r="T107" s="41">
        <f t="shared" si="19"/>
        <v>2.559290223511322E-3</v>
      </c>
      <c r="V107" s="39">
        <f t="shared" si="21"/>
        <v>9.3882853094001701E-3</v>
      </c>
      <c r="W107" s="40" cm="1">
        <f t="array" ref="W107">IF(M107="","",SUMPRODUCT(M107:T107,TRANSPOSE('04_Dashboard'!$C$53:$C$60)))</f>
        <v>5.509961889428762E-4</v>
      </c>
      <c r="X107" s="42">
        <f t="shared" si="22"/>
        <v>1.2001825372680253</v>
      </c>
      <c r="Y107" s="118">
        <f t="shared" si="23"/>
        <v>1.1464258869635187</v>
      </c>
      <c r="AA107" s="43">
        <f>IF(X107="","",X107/MAX($X$4:X107)-1)</f>
        <v>0</v>
      </c>
      <c r="AB107" s="44">
        <f>IF(Y107="","",Y107/MAX($Y$4:Y107)-1)</f>
        <v>0</v>
      </c>
    </row>
    <row r="108" spans="1:28" x14ac:dyDescent="0.45">
      <c r="A108" s="121">
        <v>45355</v>
      </c>
      <c r="B108" s="124">
        <v>512.29999999999995</v>
      </c>
      <c r="C108" s="124">
        <v>175.1</v>
      </c>
      <c r="D108" s="124">
        <v>414.92</v>
      </c>
      <c r="E108" s="124">
        <v>186.68</v>
      </c>
      <c r="F108" s="124">
        <v>104.36</v>
      </c>
      <c r="G108" s="124">
        <v>159.84</v>
      </c>
      <c r="H108" s="124">
        <v>177.58</v>
      </c>
      <c r="I108" s="124">
        <v>59.81</v>
      </c>
      <c r="J108" s="125">
        <v>59.3</v>
      </c>
      <c r="L108" s="39">
        <f t="shared" si="20"/>
        <v>-1.0724383347958822E-3</v>
      </c>
      <c r="M108" s="40">
        <f t="shared" si="12"/>
        <v>-2.5381275743070256E-2</v>
      </c>
      <c r="N108" s="40">
        <f t="shared" si="13"/>
        <v>-1.3959085439229461E-3</v>
      </c>
      <c r="O108" s="40">
        <f t="shared" si="14"/>
        <v>7.5017540072319869E-3</v>
      </c>
      <c r="P108" s="40">
        <f t="shared" si="15"/>
        <v>-1.3983371126228307E-2</v>
      </c>
      <c r="Q108" s="40">
        <f t="shared" si="16"/>
        <v>-1.4063656550703189E-2</v>
      </c>
      <c r="R108" s="40">
        <f t="shared" si="17"/>
        <v>-3.5910672202894532E-3</v>
      </c>
      <c r="S108" s="40">
        <f t="shared" si="18"/>
        <v>4.7035108348731924E-3</v>
      </c>
      <c r="T108" s="41">
        <f t="shared" si="19"/>
        <v>9.1899251191286443E-3</v>
      </c>
      <c r="V108" s="39">
        <f t="shared" si="21"/>
        <v>-1.0724383347958822E-3</v>
      </c>
      <c r="W108" s="40" cm="1">
        <f t="array" ref="W108">IF(M108="","",SUMPRODUCT(M108:T108,TRANSPOSE('04_Dashboard'!$C$53:$C$60)))</f>
        <v>-2.0973099112326734E-3</v>
      </c>
      <c r="X108" s="42">
        <f t="shared" si="22"/>
        <v>1.1988954155063065</v>
      </c>
      <c r="Y108" s="118">
        <f t="shared" si="23"/>
        <v>1.1440214765882963</v>
      </c>
      <c r="AA108" s="43">
        <f>IF(X108="","",X108/MAX($X$4:X108)-1)</f>
        <v>-1.0724383347958666E-3</v>
      </c>
      <c r="AB108" s="44">
        <f>IF(Y108="","",Y108/MAX($Y$4:Y108)-1)</f>
        <v>-2.0973099112326921E-3</v>
      </c>
    </row>
    <row r="109" spans="1:28" x14ac:dyDescent="0.45">
      <c r="A109" s="121">
        <v>45356</v>
      </c>
      <c r="B109" s="124">
        <v>507.18</v>
      </c>
      <c r="C109" s="124">
        <v>170.12</v>
      </c>
      <c r="D109" s="124">
        <v>402.65</v>
      </c>
      <c r="E109" s="124">
        <v>188.55</v>
      </c>
      <c r="F109" s="124">
        <v>105.64</v>
      </c>
      <c r="G109" s="124">
        <v>159.97</v>
      </c>
      <c r="H109" s="124">
        <v>174.12</v>
      </c>
      <c r="I109" s="124">
        <v>59.52</v>
      </c>
      <c r="J109" s="125">
        <v>60.04</v>
      </c>
      <c r="L109" s="39">
        <f t="shared" si="20"/>
        <v>-9.9941440562169599E-3</v>
      </c>
      <c r="M109" s="40">
        <f t="shared" si="12"/>
        <v>-2.8440890919474528E-2</v>
      </c>
      <c r="N109" s="40">
        <f t="shared" si="13"/>
        <v>-2.95719656801312E-2</v>
      </c>
      <c r="O109" s="40">
        <f t="shared" si="14"/>
        <v>1.0017141632740542E-2</v>
      </c>
      <c r="P109" s="40">
        <f t="shared" si="15"/>
        <v>1.2265235722499053E-2</v>
      </c>
      <c r="Q109" s="40">
        <f t="shared" si="16"/>
        <v>8.1331331331328479E-4</v>
      </c>
      <c r="R109" s="40">
        <f t="shared" si="17"/>
        <v>-1.9484176145962425E-2</v>
      </c>
      <c r="S109" s="40">
        <f t="shared" si="18"/>
        <v>-4.8486875104497432E-3</v>
      </c>
      <c r="T109" s="41">
        <f t="shared" si="19"/>
        <v>1.2478920741989917E-2</v>
      </c>
      <c r="V109" s="39">
        <f t="shared" si="21"/>
        <v>-9.9941440562169599E-3</v>
      </c>
      <c r="W109" s="40" cm="1">
        <f t="array" ref="W109">IF(M109="","",SUMPRODUCT(M109:T109,TRANSPOSE('04_Dashboard'!$C$53:$C$60)))</f>
        <v>-7.6137613340123908E-4</v>
      </c>
      <c r="X109" s="42">
        <f t="shared" si="22"/>
        <v>1.1869134820153984</v>
      </c>
      <c r="Y109" s="118">
        <f t="shared" si="23"/>
        <v>1.1431504459399235</v>
      </c>
      <c r="AA109" s="43">
        <f>IF(X109="","",X109/MAX($X$4:X109)-1)</f>
        <v>-1.1055864287803474E-2</v>
      </c>
      <c r="AB109" s="44">
        <f>IF(Y109="","",Y109/MAX($Y$4:Y109)-1)</f>
        <v>-2.8570892029231576E-3</v>
      </c>
    </row>
    <row r="110" spans="1:28" x14ac:dyDescent="0.45">
      <c r="A110" s="121">
        <v>45357</v>
      </c>
      <c r="B110" s="124">
        <v>509.75</v>
      </c>
      <c r="C110" s="124">
        <v>169.12</v>
      </c>
      <c r="D110" s="124">
        <v>402.09</v>
      </c>
      <c r="E110" s="124">
        <v>189.53</v>
      </c>
      <c r="F110" s="124">
        <v>106.77</v>
      </c>
      <c r="G110" s="124">
        <v>159.34</v>
      </c>
      <c r="H110" s="124">
        <v>173.51</v>
      </c>
      <c r="I110" s="124">
        <v>59.55</v>
      </c>
      <c r="J110" s="125">
        <v>60.57</v>
      </c>
      <c r="L110" s="39">
        <f t="shared" si="20"/>
        <v>5.0672345124018947E-3</v>
      </c>
      <c r="M110" s="40">
        <f t="shared" si="12"/>
        <v>-5.87820362097343E-3</v>
      </c>
      <c r="N110" s="40">
        <f t="shared" si="13"/>
        <v>-1.390786042468651E-3</v>
      </c>
      <c r="O110" s="40">
        <f t="shared" si="14"/>
        <v>5.1975603288251905E-3</v>
      </c>
      <c r="P110" s="40">
        <f t="shared" si="15"/>
        <v>1.0696705793260085E-2</v>
      </c>
      <c r="Q110" s="40">
        <f t="shared" si="16"/>
        <v>-3.9382384197036661E-3</v>
      </c>
      <c r="R110" s="40">
        <f t="shared" si="17"/>
        <v>-3.5033310360671585E-3</v>
      </c>
      <c r="S110" s="40">
        <f t="shared" si="18"/>
        <v>5.0403225806441583E-4</v>
      </c>
      <c r="T110" s="41">
        <f t="shared" si="19"/>
        <v>8.827448367754849E-3</v>
      </c>
      <c r="V110" s="39">
        <f t="shared" si="21"/>
        <v>5.0672345124018947E-3</v>
      </c>
      <c r="W110" s="40" cm="1">
        <f t="array" ref="W110">IF(M110="","",SUMPRODUCT(M110:T110,TRANSPOSE('04_Dashboard'!$C$53:$C$60)))</f>
        <v>1.453353702151052E-3</v>
      </c>
      <c r="X110" s="42">
        <f t="shared" si="22"/>
        <v>1.1929278509747019</v>
      </c>
      <c r="Y110" s="118">
        <f t="shared" si="23"/>
        <v>1.1448118478726459</v>
      </c>
      <c r="AA110" s="43">
        <f>IF(X110="","",X110/MAX($X$4:X110)-1)</f>
        <v>-6.044652432485198E-3</v>
      </c>
      <c r="AB110" s="44">
        <f>IF(Y110="","",Y110/MAX($Y$4:Y110)-1)</f>
        <v>-1.4078878619426805E-3</v>
      </c>
    </row>
    <row r="111" spans="1:28" x14ac:dyDescent="0.45">
      <c r="A111" s="121">
        <v>45358</v>
      </c>
      <c r="B111" s="124">
        <v>514.80999999999995</v>
      </c>
      <c r="C111" s="124">
        <v>169</v>
      </c>
      <c r="D111" s="124">
        <v>409.14</v>
      </c>
      <c r="E111" s="124">
        <v>187.87</v>
      </c>
      <c r="F111" s="124">
        <v>107.37</v>
      </c>
      <c r="G111" s="124">
        <v>158.87</v>
      </c>
      <c r="H111" s="124">
        <v>176.82</v>
      </c>
      <c r="I111" s="124">
        <v>59.44</v>
      </c>
      <c r="J111" s="125">
        <v>60.36</v>
      </c>
      <c r="L111" s="39">
        <f t="shared" si="20"/>
        <v>9.9264345267286811E-3</v>
      </c>
      <c r="M111" s="40">
        <f t="shared" si="12"/>
        <v>-7.0955534531696161E-4</v>
      </c>
      <c r="N111" s="40">
        <f t="shared" si="13"/>
        <v>1.7533388047452091E-2</v>
      </c>
      <c r="O111" s="40">
        <f t="shared" si="14"/>
        <v>-8.7585078879332898E-3</v>
      </c>
      <c r="P111" s="40">
        <f t="shared" si="15"/>
        <v>5.6195560550717297E-3</v>
      </c>
      <c r="Q111" s="40">
        <f t="shared" si="16"/>
        <v>-2.9496673779339706E-3</v>
      </c>
      <c r="R111" s="40">
        <f t="shared" si="17"/>
        <v>1.9076710276064793E-2</v>
      </c>
      <c r="S111" s="40">
        <f t="shared" si="18"/>
        <v>-1.8471872376154398E-3</v>
      </c>
      <c r="T111" s="41">
        <f t="shared" si="19"/>
        <v>-3.4670629024269582E-3</v>
      </c>
      <c r="V111" s="39">
        <f t="shared" si="21"/>
        <v>9.9264345267286811E-3</v>
      </c>
      <c r="W111" s="40" cm="1">
        <f t="array" ref="W111">IF(M111="","",SUMPRODUCT(M111:T111,TRANSPOSE('04_Dashboard'!$C$53:$C$60)))</f>
        <v>-6.8072211312896554E-4</v>
      </c>
      <c r="X111" s="42">
        <f t="shared" si="22"/>
        <v>1.2047693711825134</v>
      </c>
      <c r="Y111" s="118">
        <f t="shared" si="23"/>
        <v>1.144032549132427</v>
      </c>
      <c r="AA111" s="43">
        <f>IF(X111="","",X111/MAX($X$4:X111)-1)</f>
        <v>0</v>
      </c>
      <c r="AB111" s="44">
        <f>IF(Y111="","",Y111/MAX($Y$4:Y111)-1)</f>
        <v>-2.0876515946710583E-3</v>
      </c>
    </row>
    <row r="112" spans="1:28" x14ac:dyDescent="0.45">
      <c r="A112" s="121">
        <v>45359</v>
      </c>
      <c r="B112" s="124">
        <v>511.72</v>
      </c>
      <c r="C112" s="124">
        <v>170.73</v>
      </c>
      <c r="D112" s="124">
        <v>406.22</v>
      </c>
      <c r="E112" s="124">
        <v>188.22</v>
      </c>
      <c r="F112" s="124">
        <v>108.38</v>
      </c>
      <c r="G112" s="124">
        <v>159.52000000000001</v>
      </c>
      <c r="H112" s="124">
        <v>175.35</v>
      </c>
      <c r="I112" s="124">
        <v>59.52</v>
      </c>
      <c r="J112" s="125">
        <v>60.12</v>
      </c>
      <c r="L112" s="39">
        <f t="shared" si="20"/>
        <v>-6.002214409199352E-3</v>
      </c>
      <c r="M112" s="40">
        <f t="shared" si="12"/>
        <v>1.0236686390532483E-2</v>
      </c>
      <c r="N112" s="40">
        <f t="shared" si="13"/>
        <v>-7.1369213472160121E-3</v>
      </c>
      <c r="O112" s="40">
        <f t="shared" si="14"/>
        <v>1.8629903656783642E-3</v>
      </c>
      <c r="P112" s="40">
        <f t="shared" si="15"/>
        <v>9.4067244109154406E-3</v>
      </c>
      <c r="Q112" s="40">
        <f t="shared" si="16"/>
        <v>4.0913954805816433E-3</v>
      </c>
      <c r="R112" s="40">
        <f t="shared" si="17"/>
        <v>-8.3135391923990446E-3</v>
      </c>
      <c r="S112" s="40">
        <f t="shared" si="18"/>
        <v>1.3458950201885162E-3</v>
      </c>
      <c r="T112" s="41">
        <f t="shared" si="19"/>
        <v>-3.9761431411531149E-3</v>
      </c>
      <c r="V112" s="39">
        <f t="shared" si="21"/>
        <v>-6.002214409199352E-3</v>
      </c>
      <c r="W112" s="40" cm="1">
        <f t="array" ref="W112">IF(M112="","",SUMPRODUCT(M112:T112,TRANSPOSE('04_Dashboard'!$C$53:$C$60)))</f>
        <v>9.8585834770649906E-4</v>
      </c>
      <c r="X112" s="42">
        <f t="shared" si="22"/>
        <v>1.1975380871030397</v>
      </c>
      <c r="Y112" s="118">
        <f t="shared" si="23"/>
        <v>1.1451604031710372</v>
      </c>
      <c r="AA112" s="43">
        <f>IF(X112="","",X112/MAX($X$4:X112)-1)</f>
        <v>-6.0022144091993468E-3</v>
      </c>
      <c r="AB112" s="44">
        <f>IF(Y112="","",Y112/MAX($Y$4:Y112)-1)</f>
        <v>-1.103851375716336E-3</v>
      </c>
    </row>
    <row r="113" spans="1:28" x14ac:dyDescent="0.45">
      <c r="A113" s="121">
        <v>45362</v>
      </c>
      <c r="B113" s="124">
        <v>511.28</v>
      </c>
      <c r="C113" s="124">
        <v>172.75</v>
      </c>
      <c r="D113" s="124">
        <v>404.52</v>
      </c>
      <c r="E113" s="124">
        <v>188.29</v>
      </c>
      <c r="F113" s="124">
        <v>109.02</v>
      </c>
      <c r="G113" s="124">
        <v>161.22999999999999</v>
      </c>
      <c r="H113" s="124">
        <v>171.96</v>
      </c>
      <c r="I113" s="124">
        <v>60.24</v>
      </c>
      <c r="J113" s="125">
        <v>60.66</v>
      </c>
      <c r="L113" s="39">
        <f t="shared" si="20"/>
        <v>-8.5984522785909198E-4</v>
      </c>
      <c r="M113" s="40">
        <f t="shared" si="12"/>
        <v>1.1831546886897502E-2</v>
      </c>
      <c r="N113" s="40">
        <f t="shared" si="13"/>
        <v>-4.1849244251884335E-3</v>
      </c>
      <c r="O113" s="40">
        <f t="shared" si="14"/>
        <v>3.7190521729886928E-4</v>
      </c>
      <c r="P113" s="40">
        <f t="shared" si="15"/>
        <v>5.9051485513932512E-3</v>
      </c>
      <c r="Q113" s="40">
        <f t="shared" si="16"/>
        <v>1.0719658976930663E-2</v>
      </c>
      <c r="R113" s="40">
        <f t="shared" si="17"/>
        <v>-1.933276304533782E-2</v>
      </c>
      <c r="S113" s="40">
        <f t="shared" si="18"/>
        <v>1.2096774193548368E-2</v>
      </c>
      <c r="T113" s="41">
        <f t="shared" si="19"/>
        <v>8.9820359281436984E-3</v>
      </c>
      <c r="V113" s="39">
        <f t="shared" si="21"/>
        <v>-8.5984522785909198E-4</v>
      </c>
      <c r="W113" s="40" cm="1">
        <f t="array" ref="W113">IF(M113="","",SUMPRODUCT(M113:T113,TRANSPOSE('04_Dashboard'!$C$53:$C$60)))</f>
        <v>4.8114106863460602E-3</v>
      </c>
      <c r="X113" s="42">
        <f t="shared" si="22"/>
        <v>1.1965083896936646</v>
      </c>
      <c r="Y113" s="118">
        <f t="shared" si="23"/>
        <v>1.1506702401724347</v>
      </c>
      <c r="AA113" s="43">
        <f>IF(X113="","",X113/MAX($X$4:X113)-1)</f>
        <v>-6.8568986616420746E-3</v>
      </c>
      <c r="AB113" s="44">
        <f>IF(Y113="","",Y113/MAX($Y$4:Y113)-1)</f>
        <v>0</v>
      </c>
    </row>
    <row r="114" spans="1:28" x14ac:dyDescent="0.45">
      <c r="A114" s="121">
        <v>45363</v>
      </c>
      <c r="B114" s="124">
        <v>516.78</v>
      </c>
      <c r="C114" s="124">
        <v>173.23</v>
      </c>
      <c r="D114" s="124">
        <v>415.28</v>
      </c>
      <c r="E114" s="124">
        <v>189.84</v>
      </c>
      <c r="F114" s="124">
        <v>108.32</v>
      </c>
      <c r="G114" s="124">
        <v>162.74</v>
      </c>
      <c r="H114" s="124">
        <v>175.39</v>
      </c>
      <c r="I114" s="124">
        <v>60.5</v>
      </c>
      <c r="J114" s="125">
        <v>61.41</v>
      </c>
      <c r="L114" s="39">
        <f t="shared" si="20"/>
        <v>1.0757314974182445E-2</v>
      </c>
      <c r="M114" s="40">
        <f t="shared" si="12"/>
        <v>2.7785817655571043E-3</v>
      </c>
      <c r="N114" s="40">
        <f t="shared" si="13"/>
        <v>2.6599426480767307E-2</v>
      </c>
      <c r="O114" s="40">
        <f t="shared" si="14"/>
        <v>8.2319825800627293E-3</v>
      </c>
      <c r="P114" s="40">
        <f t="shared" si="15"/>
        <v>-6.4208402128050164E-3</v>
      </c>
      <c r="Q114" s="40">
        <f t="shared" si="16"/>
        <v>9.365502698009176E-3</v>
      </c>
      <c r="R114" s="40">
        <f t="shared" si="17"/>
        <v>1.9946499185857048E-2</v>
      </c>
      <c r="S114" s="40">
        <f t="shared" si="18"/>
        <v>4.3160690571048804E-3</v>
      </c>
      <c r="T114" s="41">
        <f t="shared" si="19"/>
        <v>1.2363996043521267E-2</v>
      </c>
      <c r="V114" s="39">
        <f t="shared" si="21"/>
        <v>1.0757314974182445E-2</v>
      </c>
      <c r="W114" s="40" cm="1">
        <f t="array" ref="W114">IF(M114="","",SUMPRODUCT(M114:T114,TRANSPOSE('04_Dashboard'!$C$53:$C$60)))</f>
        <v>9.6142932999919162E-3</v>
      </c>
      <c r="X114" s="42">
        <f t="shared" si="22"/>
        <v>1.2093796073108511</v>
      </c>
      <c r="Y114" s="118">
        <f t="shared" si="23"/>
        <v>1.1617331213530246</v>
      </c>
      <c r="AA114" s="43">
        <f>IF(X114="","",X114/MAX($X$4:X114)-1)</f>
        <v>0</v>
      </c>
      <c r="AB114" s="44">
        <f>IF(Y114="","",Y114/MAX($Y$4:Y114)-1)</f>
        <v>0</v>
      </c>
    </row>
    <row r="115" spans="1:28" x14ac:dyDescent="0.45">
      <c r="A115" s="121">
        <v>45364</v>
      </c>
      <c r="B115" s="124">
        <v>515.97</v>
      </c>
      <c r="C115" s="124">
        <v>171.13</v>
      </c>
      <c r="D115" s="124">
        <v>415.1</v>
      </c>
      <c r="E115" s="124">
        <v>191.38</v>
      </c>
      <c r="F115" s="124">
        <v>109.53</v>
      </c>
      <c r="G115" s="124">
        <v>161.1</v>
      </c>
      <c r="H115" s="124">
        <v>176.56</v>
      </c>
      <c r="I115" s="124">
        <v>61.12</v>
      </c>
      <c r="J115" s="125">
        <v>61.28</v>
      </c>
      <c r="L115" s="39">
        <f t="shared" si="20"/>
        <v>-1.5673981191221516E-3</v>
      </c>
      <c r="M115" s="40">
        <f t="shared" si="12"/>
        <v>-1.2122611556889653E-2</v>
      </c>
      <c r="N115" s="40">
        <f t="shared" si="13"/>
        <v>-4.3344249662866015E-4</v>
      </c>
      <c r="O115" s="40">
        <f t="shared" si="14"/>
        <v>8.1120943952801942E-3</v>
      </c>
      <c r="P115" s="40">
        <f t="shared" si="15"/>
        <v>1.1170605612998596E-2</v>
      </c>
      <c r="Q115" s="40">
        <f t="shared" si="16"/>
        <v>-1.0077424112080709E-2</v>
      </c>
      <c r="R115" s="40">
        <f t="shared" si="17"/>
        <v>6.6708478248475736E-3</v>
      </c>
      <c r="S115" s="40">
        <f t="shared" si="18"/>
        <v>1.0247933884297478E-2</v>
      </c>
      <c r="T115" s="41">
        <f t="shared" si="19"/>
        <v>-2.1169190685555359E-3</v>
      </c>
      <c r="V115" s="39">
        <f t="shared" si="21"/>
        <v>-1.5673981191221516E-3</v>
      </c>
      <c r="W115" s="40" cm="1">
        <f t="array" ref="W115">IF(M115="","",SUMPRODUCT(M115:T115,TRANSPOSE('04_Dashboard'!$C$53:$C$60)))</f>
        <v>9.9625111437019655E-4</v>
      </c>
      <c r="X115" s="42">
        <f t="shared" si="22"/>
        <v>1.2074840279890475</v>
      </c>
      <c r="Y115" s="118">
        <f t="shared" si="23"/>
        <v>1.1628904992697733</v>
      </c>
      <c r="AA115" s="43">
        <f>IF(X115="","",X115/MAX($X$4:X115)-1)</f>
        <v>-1.5673981191220987E-3</v>
      </c>
      <c r="AB115" s="44">
        <f>IF(Y115="","",Y115/MAX($Y$4:Y115)-1)</f>
        <v>0</v>
      </c>
    </row>
    <row r="116" spans="1:28" x14ac:dyDescent="0.45">
      <c r="A116" s="121">
        <v>45365</v>
      </c>
      <c r="B116" s="124">
        <v>514.95000000000005</v>
      </c>
      <c r="C116" s="124">
        <v>173</v>
      </c>
      <c r="D116" s="124">
        <v>425.22</v>
      </c>
      <c r="E116" s="124">
        <v>187.97</v>
      </c>
      <c r="F116" s="124">
        <v>111.47</v>
      </c>
      <c r="G116" s="124">
        <v>159.21</v>
      </c>
      <c r="H116" s="124">
        <v>178.75</v>
      </c>
      <c r="I116" s="124">
        <v>60.5</v>
      </c>
      <c r="J116" s="125">
        <v>61.02</v>
      </c>
      <c r="L116" s="39">
        <f t="shared" si="20"/>
        <v>-1.976859119716227E-3</v>
      </c>
      <c r="M116" s="40">
        <f t="shared" si="12"/>
        <v>1.0927365160988748E-2</v>
      </c>
      <c r="N116" s="40">
        <f t="shared" si="13"/>
        <v>2.4379667549987966E-2</v>
      </c>
      <c r="O116" s="40">
        <f t="shared" si="14"/>
        <v>-1.7817953809175446E-2</v>
      </c>
      <c r="P116" s="40">
        <f t="shared" si="15"/>
        <v>1.771204236282295E-2</v>
      </c>
      <c r="Q116" s="40">
        <f t="shared" si="16"/>
        <v>-1.1731843575418911E-2</v>
      </c>
      <c r="R116" s="40">
        <f t="shared" si="17"/>
        <v>1.2403715450838229E-2</v>
      </c>
      <c r="S116" s="40">
        <f t="shared" si="18"/>
        <v>-1.0143979057591582E-2</v>
      </c>
      <c r="T116" s="41">
        <f t="shared" si="19"/>
        <v>-4.242819843342004E-3</v>
      </c>
      <c r="V116" s="39">
        <f t="shared" si="21"/>
        <v>-1.976859119716227E-3</v>
      </c>
      <c r="W116" s="40" cm="1">
        <f t="array" ref="W116">IF(M116="","",SUMPRODUCT(M116:T116,TRANSPOSE('04_Dashboard'!$C$53:$C$60)))</f>
        <v>-4.9568095578229644E-3</v>
      </c>
      <c r="X116" s="42">
        <f t="shared" si="22"/>
        <v>1.2050970021764056</v>
      </c>
      <c r="Y116" s="118">
        <f t="shared" si="23"/>
        <v>1.1571262725282914</v>
      </c>
      <c r="AA116" s="43">
        <f>IF(X116="","",X116/MAX($X$4:X116)-1)</f>
        <v>-3.5411587135724121E-3</v>
      </c>
      <c r="AB116" s="44">
        <f>IF(Y116="","",Y116/MAX($Y$4:Y116)-1)</f>
        <v>-4.956809557822961E-3</v>
      </c>
    </row>
    <row r="117" spans="1:28" x14ac:dyDescent="0.45">
      <c r="A117" s="121">
        <v>45366</v>
      </c>
      <c r="B117" s="124">
        <v>509.83</v>
      </c>
      <c r="C117" s="124">
        <v>172.62</v>
      </c>
      <c r="D117" s="124">
        <v>416.42</v>
      </c>
      <c r="E117" s="124">
        <v>190.3</v>
      </c>
      <c r="F117" s="124">
        <v>111.27</v>
      </c>
      <c r="G117" s="124">
        <v>158.18</v>
      </c>
      <c r="H117" s="124">
        <v>174.42</v>
      </c>
      <c r="I117" s="124">
        <v>59.88</v>
      </c>
      <c r="J117" s="125">
        <v>60.68</v>
      </c>
      <c r="L117" s="39">
        <f t="shared" si="20"/>
        <v>-9.9427128847462097E-3</v>
      </c>
      <c r="M117" s="40">
        <f t="shared" si="12"/>
        <v>-2.1965317919074882E-3</v>
      </c>
      <c r="N117" s="40">
        <f t="shared" si="13"/>
        <v>-2.0695169559286984E-2</v>
      </c>
      <c r="O117" s="40">
        <f t="shared" si="14"/>
        <v>1.2395595041762049E-2</v>
      </c>
      <c r="P117" s="40">
        <f t="shared" si="15"/>
        <v>-1.7942047187584358E-3</v>
      </c>
      <c r="Q117" s="40">
        <f t="shared" si="16"/>
        <v>-6.4694428741913267E-3</v>
      </c>
      <c r="R117" s="40">
        <f t="shared" si="17"/>
        <v>-2.4223776223776295E-2</v>
      </c>
      <c r="S117" s="40">
        <f t="shared" si="18"/>
        <v>-1.0247933884297478E-2</v>
      </c>
      <c r="T117" s="41">
        <f t="shared" si="19"/>
        <v>-5.5719436250410261E-3</v>
      </c>
      <c r="V117" s="39">
        <f t="shared" si="21"/>
        <v>-9.9427128847462097E-3</v>
      </c>
      <c r="W117" s="40" cm="1">
        <f t="array" ref="W117">IF(M117="","",SUMPRODUCT(M117:T117,TRANSPOSE('04_Dashboard'!$C$53:$C$60)))</f>
        <v>-4.1999200875170685E-3</v>
      </c>
      <c r="X117" s="42">
        <f t="shared" si="22"/>
        <v>1.1931150686854972</v>
      </c>
      <c r="Y117" s="118">
        <f t="shared" si="23"/>
        <v>1.152266434652506</v>
      </c>
      <c r="AA117" s="43">
        <f>IF(X117="","",X117/MAX($X$4:X117)-1)</f>
        <v>-1.344866287395019E-2</v>
      </c>
      <c r="AB117" s="44">
        <f>IF(Y117="","",Y117/MAX($Y$4:Y117)-1)</f>
        <v>-9.1359114413082088E-3</v>
      </c>
    </row>
    <row r="118" spans="1:28" x14ac:dyDescent="0.45">
      <c r="A118" s="121">
        <v>45369</v>
      </c>
      <c r="B118" s="124">
        <v>512.86</v>
      </c>
      <c r="C118" s="124">
        <v>173.72</v>
      </c>
      <c r="D118" s="124">
        <v>417.32</v>
      </c>
      <c r="E118" s="124">
        <v>192.66</v>
      </c>
      <c r="F118" s="124">
        <v>112.3</v>
      </c>
      <c r="G118" s="124">
        <v>156.76</v>
      </c>
      <c r="H118" s="124">
        <v>174.48</v>
      </c>
      <c r="I118" s="124">
        <v>60.13</v>
      </c>
      <c r="J118" s="125">
        <v>60.86</v>
      </c>
      <c r="L118" s="39">
        <f t="shared" si="20"/>
        <v>5.943157523095992E-3</v>
      </c>
      <c r="M118" s="40">
        <f t="shared" si="12"/>
        <v>6.3723786351523246E-3</v>
      </c>
      <c r="N118" s="40">
        <f t="shared" si="13"/>
        <v>2.1612794774505963E-3</v>
      </c>
      <c r="O118" s="40">
        <f t="shared" si="14"/>
        <v>1.2401471361008855E-2</v>
      </c>
      <c r="P118" s="40">
        <f t="shared" si="15"/>
        <v>9.2567628291543198E-3</v>
      </c>
      <c r="Q118" s="40">
        <f t="shared" si="16"/>
        <v>-8.9771146794791739E-3</v>
      </c>
      <c r="R118" s="40">
        <f t="shared" si="17"/>
        <v>3.4399724802202888E-4</v>
      </c>
      <c r="S118" s="40">
        <f t="shared" si="18"/>
        <v>4.1750167000667998E-3</v>
      </c>
      <c r="T118" s="41">
        <f t="shared" si="19"/>
        <v>2.9663810151614985E-3</v>
      </c>
      <c r="V118" s="39">
        <f t="shared" si="21"/>
        <v>5.943157523095992E-3</v>
      </c>
      <c r="W118" s="40" cm="1">
        <f t="array" ref="W118">IF(M118="","",SUMPRODUCT(M118:T118,TRANSPOSE('04_Dashboard'!$C$53:$C$60)))</f>
        <v>2.7786074086529125E-3</v>
      </c>
      <c r="X118" s="42">
        <f t="shared" si="22"/>
        <v>1.2002059394818745</v>
      </c>
      <c r="Y118" s="118">
        <f t="shared" si="23"/>
        <v>1.1554681307045735</v>
      </c>
      <c r="AA118" s="43">
        <f>IF(X118="","",X118/MAX($X$4:X118)-1)</f>
        <v>-7.5854328727892328E-3</v>
      </c>
      <c r="AB118" s="44">
        <f>IF(Y118="","",Y118/MAX($Y$4:Y118)-1)</f>
        <v>-6.3826891438708566E-3</v>
      </c>
    </row>
    <row r="119" spans="1:28" x14ac:dyDescent="0.45">
      <c r="A119" s="121">
        <v>45370</v>
      </c>
      <c r="B119" s="124">
        <v>515.71</v>
      </c>
      <c r="C119" s="124">
        <v>176.08</v>
      </c>
      <c r="D119" s="124">
        <v>421.41</v>
      </c>
      <c r="E119" s="124">
        <v>193.79</v>
      </c>
      <c r="F119" s="124">
        <v>113.09</v>
      </c>
      <c r="G119" s="124">
        <v>156.21</v>
      </c>
      <c r="H119" s="124">
        <v>175.9</v>
      </c>
      <c r="I119" s="124">
        <v>60.23</v>
      </c>
      <c r="J119" s="125">
        <v>60.87</v>
      </c>
      <c r="L119" s="39">
        <f t="shared" si="20"/>
        <v>5.5570721054479244E-3</v>
      </c>
      <c r="M119" s="40">
        <f t="shared" si="12"/>
        <v>1.3585079438176455E-2</v>
      </c>
      <c r="N119" s="40">
        <f t="shared" si="13"/>
        <v>9.8006326080706217E-3</v>
      </c>
      <c r="O119" s="40">
        <f t="shared" si="14"/>
        <v>5.8652548531090802E-3</v>
      </c>
      <c r="P119" s="40">
        <f t="shared" si="15"/>
        <v>7.0347284060552654E-3</v>
      </c>
      <c r="Q119" s="40">
        <f t="shared" si="16"/>
        <v>-3.5085480990047395E-3</v>
      </c>
      <c r="R119" s="40">
        <f t="shared" si="17"/>
        <v>8.1384685923889047E-3</v>
      </c>
      <c r="S119" s="40">
        <f t="shared" si="18"/>
        <v>1.6630633627140248E-3</v>
      </c>
      <c r="T119" s="41">
        <f t="shared" si="19"/>
        <v>1.6431153466970114E-4</v>
      </c>
      <c r="V119" s="39">
        <f t="shared" si="21"/>
        <v>5.5570721054479244E-3</v>
      </c>
      <c r="W119" s="40" cm="1">
        <f t="array" ref="W119">IF(M119="","",SUMPRODUCT(M119:T119,TRANSPOSE('04_Dashboard'!$C$53:$C$60)))</f>
        <v>3.1732383134172614E-3</v>
      </c>
      <c r="X119" s="42">
        <f t="shared" si="22"/>
        <v>1.206875570428962</v>
      </c>
      <c r="Y119" s="118">
        <f t="shared" si="23"/>
        <v>1.159134706446858</v>
      </c>
      <c r="AA119" s="43">
        <f>IF(X119="","",X119/MAX($X$4:X119)-1)</f>
        <v>-2.0705135647665074E-3</v>
      </c>
      <c r="AB119" s="44">
        <f>IF(Y119="","",Y119/MAX($Y$4:Y119)-1)</f>
        <v>-3.2297046241874794E-3</v>
      </c>
    </row>
    <row r="120" spans="1:28" x14ac:dyDescent="0.45">
      <c r="A120" s="121">
        <v>45371</v>
      </c>
      <c r="B120" s="124">
        <v>520.48</v>
      </c>
      <c r="C120" s="124">
        <v>178.67</v>
      </c>
      <c r="D120" s="124">
        <v>425.23</v>
      </c>
      <c r="E120" s="124">
        <v>196.33</v>
      </c>
      <c r="F120" s="124">
        <v>112.99</v>
      </c>
      <c r="G120" s="124">
        <v>155.76</v>
      </c>
      <c r="H120" s="124">
        <v>178.15</v>
      </c>
      <c r="I120" s="124">
        <v>60.75</v>
      </c>
      <c r="J120" s="125">
        <v>61.25</v>
      </c>
      <c r="L120" s="39">
        <f t="shared" si="20"/>
        <v>9.2493843439141795E-3</v>
      </c>
      <c r="M120" s="40">
        <f t="shared" si="12"/>
        <v>1.4709223080417848E-2</v>
      </c>
      <c r="N120" s="40">
        <f t="shared" si="13"/>
        <v>9.0648062456989455E-3</v>
      </c>
      <c r="O120" s="40">
        <f t="shared" si="14"/>
        <v>1.3106971463955935E-2</v>
      </c>
      <c r="P120" s="40">
        <f t="shared" si="15"/>
        <v>-8.8425148112130628E-4</v>
      </c>
      <c r="Q120" s="40">
        <f t="shared" si="16"/>
        <v>-2.8807374687921197E-3</v>
      </c>
      <c r="R120" s="40">
        <f t="shared" si="17"/>
        <v>1.2791358726549176E-2</v>
      </c>
      <c r="S120" s="40">
        <f t="shared" si="18"/>
        <v>8.6335713099784678E-3</v>
      </c>
      <c r="T120" s="41">
        <f t="shared" si="19"/>
        <v>6.242812551338961E-3</v>
      </c>
      <c r="V120" s="39">
        <f t="shared" si="21"/>
        <v>9.2493843439141795E-3</v>
      </c>
      <c r="W120" s="40" cm="1">
        <f t="array" ref="W120">IF(M120="","",SUMPRODUCT(M120:T120,TRANSPOSE('04_Dashboard'!$C$53:$C$60)))</f>
        <v>6.8106314986801572E-3</v>
      </c>
      <c r="X120" s="42">
        <f t="shared" si="22"/>
        <v>1.21803842643514</v>
      </c>
      <c r="Y120" s="118">
        <f t="shared" si="23"/>
        <v>1.1670291457897983</v>
      </c>
      <c r="AA120" s="43">
        <f>IF(X120="","",X120/MAX($X$4:X120)-1)</f>
        <v>0</v>
      </c>
      <c r="AB120" s="44">
        <f>IF(Y120="","",Y120/MAX($Y$4:Y120)-1)</f>
        <v>0</v>
      </c>
    </row>
    <row r="121" spans="1:28" x14ac:dyDescent="0.45">
      <c r="A121" s="121">
        <v>45372</v>
      </c>
      <c r="B121" s="124">
        <v>522.20000000000005</v>
      </c>
      <c r="C121" s="124">
        <v>171.37</v>
      </c>
      <c r="D121" s="124">
        <v>429.37</v>
      </c>
      <c r="E121" s="124">
        <v>199.06</v>
      </c>
      <c r="F121" s="124">
        <v>113.49</v>
      </c>
      <c r="G121" s="124">
        <v>155.75</v>
      </c>
      <c r="H121" s="124">
        <v>178.15</v>
      </c>
      <c r="I121" s="124">
        <v>60.47</v>
      </c>
      <c r="J121" s="125">
        <v>61.45</v>
      </c>
      <c r="L121" s="39">
        <f t="shared" si="20"/>
        <v>3.3046418690440118E-3</v>
      </c>
      <c r="M121" s="40">
        <f t="shared" si="12"/>
        <v>-4.085744668942734E-2</v>
      </c>
      <c r="N121" s="40">
        <f t="shared" si="13"/>
        <v>9.7359076264609424E-3</v>
      </c>
      <c r="O121" s="40">
        <f t="shared" si="14"/>
        <v>1.3905159680130339E-2</v>
      </c>
      <c r="P121" s="40">
        <f t="shared" si="15"/>
        <v>4.4251703690592094E-3</v>
      </c>
      <c r="Q121" s="40">
        <f t="shared" si="16"/>
        <v>-6.4201335387717684E-5</v>
      </c>
      <c r="R121" s="40">
        <f t="shared" si="17"/>
        <v>0</v>
      </c>
      <c r="S121" s="40">
        <f t="shared" si="18"/>
        <v>-4.6090534979424053E-3</v>
      </c>
      <c r="T121" s="41">
        <f t="shared" si="19"/>
        <v>3.2653061224490261E-3</v>
      </c>
      <c r="V121" s="39">
        <f t="shared" si="21"/>
        <v>3.3046418690440118E-3</v>
      </c>
      <c r="W121" s="40" cm="1">
        <f t="array" ref="W121">IF(M121="","",SUMPRODUCT(M121:T121,TRANSPOSE('04_Dashboard'!$C$53:$C$60)))</f>
        <v>1.7295719790353414E-3</v>
      </c>
      <c r="X121" s="42">
        <f t="shared" si="22"/>
        <v>1.2220636072172422</v>
      </c>
      <c r="Y121" s="118">
        <f t="shared" si="23"/>
        <v>1.1690476066990738</v>
      </c>
      <c r="AA121" s="43">
        <f>IF(X121="","",X121/MAX($X$4:X121)-1)</f>
        <v>0</v>
      </c>
      <c r="AB121" s="44">
        <f>IF(Y121="","",Y121/MAX($Y$4:Y121)-1)</f>
        <v>0</v>
      </c>
    </row>
    <row r="122" spans="1:28" x14ac:dyDescent="0.45">
      <c r="A122" s="121">
        <v>45373</v>
      </c>
      <c r="B122" s="124">
        <v>521.21</v>
      </c>
      <c r="C122" s="124">
        <v>172.28</v>
      </c>
      <c r="D122" s="124">
        <v>428.74</v>
      </c>
      <c r="E122" s="124">
        <v>196.62</v>
      </c>
      <c r="F122" s="124">
        <v>113.49</v>
      </c>
      <c r="G122" s="124">
        <v>155.22999999999999</v>
      </c>
      <c r="H122" s="124">
        <v>178.87</v>
      </c>
      <c r="I122" s="124">
        <v>60.49</v>
      </c>
      <c r="J122" s="125">
        <v>60.87</v>
      </c>
      <c r="L122" s="39">
        <f t="shared" si="20"/>
        <v>-1.8958253542704117E-3</v>
      </c>
      <c r="M122" s="40">
        <f t="shared" si="12"/>
        <v>5.3101476337748532E-3</v>
      </c>
      <c r="N122" s="40">
        <f t="shared" si="13"/>
        <v>-1.4672659943638247E-3</v>
      </c>
      <c r="O122" s="40">
        <f t="shared" si="14"/>
        <v>-1.2257610770621912E-2</v>
      </c>
      <c r="P122" s="40">
        <f t="shared" si="15"/>
        <v>0</v>
      </c>
      <c r="Q122" s="40">
        <f t="shared" si="16"/>
        <v>-3.3386837881220562E-3</v>
      </c>
      <c r="R122" s="40">
        <f t="shared" si="17"/>
        <v>4.0415380297502039E-3</v>
      </c>
      <c r="S122" s="40">
        <f t="shared" si="18"/>
        <v>3.3074251695060572E-4</v>
      </c>
      <c r="T122" s="41">
        <f t="shared" si="19"/>
        <v>-9.4385679414158725E-3</v>
      </c>
      <c r="V122" s="39">
        <f t="shared" si="21"/>
        <v>-1.8958253542704117E-3</v>
      </c>
      <c r="W122" s="40" cm="1">
        <f t="array" ref="W122">IF(M122="","",SUMPRODUCT(M122:T122,TRANSPOSE('04_Dashboard'!$C$53:$C$60)))</f>
        <v>-4.481982990318511E-3</v>
      </c>
      <c r="X122" s="42">
        <f t="shared" si="22"/>
        <v>1.2197467880461486</v>
      </c>
      <c r="Y122" s="118">
        <f t="shared" si="23"/>
        <v>1.1638079552109759</v>
      </c>
      <c r="AA122" s="43">
        <f>IF(X122="","",X122/MAX($X$4:X122)-1)</f>
        <v>-1.8958253542704639E-3</v>
      </c>
      <c r="AB122" s="44">
        <f>IF(Y122="","",Y122/MAX($Y$4:Y122)-1)</f>
        <v>-4.4819829903185449E-3</v>
      </c>
    </row>
    <row r="123" spans="1:28" x14ac:dyDescent="0.45">
      <c r="A123" s="121">
        <v>45376</v>
      </c>
      <c r="B123" s="124">
        <v>519.77</v>
      </c>
      <c r="C123" s="124">
        <v>170.85</v>
      </c>
      <c r="D123" s="124">
        <v>422.86</v>
      </c>
      <c r="E123" s="124">
        <v>194.82</v>
      </c>
      <c r="F123" s="124">
        <v>114.65</v>
      </c>
      <c r="G123" s="124">
        <v>155.22</v>
      </c>
      <c r="H123" s="124">
        <v>179.71</v>
      </c>
      <c r="I123" s="124">
        <v>60.4</v>
      </c>
      <c r="J123" s="125">
        <v>60.57</v>
      </c>
      <c r="L123" s="39">
        <f t="shared" si="20"/>
        <v>-2.7628019416359134E-3</v>
      </c>
      <c r="M123" s="40">
        <f t="shared" si="12"/>
        <v>-8.3004411423264843E-3</v>
      </c>
      <c r="N123" s="40">
        <f t="shared" si="13"/>
        <v>-1.3714605588468525E-2</v>
      </c>
      <c r="O123" s="40">
        <f t="shared" si="14"/>
        <v>-9.1547146780592576E-3</v>
      </c>
      <c r="P123" s="40">
        <f t="shared" si="15"/>
        <v>1.0221164860340214E-2</v>
      </c>
      <c r="Q123" s="40">
        <f t="shared" si="16"/>
        <v>-6.4420537267222217E-5</v>
      </c>
      <c r="R123" s="40">
        <f t="shared" si="17"/>
        <v>4.6961480404763426E-3</v>
      </c>
      <c r="S123" s="40">
        <f t="shared" si="18"/>
        <v>-1.4878492312779535E-3</v>
      </c>
      <c r="T123" s="41">
        <f t="shared" si="19"/>
        <v>-4.9285362247412055E-3</v>
      </c>
      <c r="V123" s="39">
        <f t="shared" si="21"/>
        <v>-2.7628019416359134E-3</v>
      </c>
      <c r="W123" s="40" cm="1">
        <f t="array" ref="W123">IF(M123="","",SUMPRODUCT(M123:T123,TRANSPOSE('04_Dashboard'!$C$53:$C$60)))</f>
        <v>-3.6130260052436272E-3</v>
      </c>
      <c r="X123" s="42">
        <f t="shared" si="22"/>
        <v>1.2163768692518304</v>
      </c>
      <c r="Y123" s="118">
        <f t="shared" si="23"/>
        <v>1.1596030868036893</v>
      </c>
      <c r="AA123" s="43">
        <f>IF(X123="","",X123/MAX($X$4:X123)-1)</f>
        <v>-4.6533895059366337E-3</v>
      </c>
      <c r="AB123" s="44">
        <f>IF(Y123="","",Y123/MAX($Y$4:Y123)-1)</f>
        <v>-8.0788154744630969E-3</v>
      </c>
    </row>
    <row r="124" spans="1:28" x14ac:dyDescent="0.45">
      <c r="A124" s="121">
        <v>45377</v>
      </c>
      <c r="B124" s="124">
        <v>518.80999999999995</v>
      </c>
      <c r="C124" s="124">
        <v>169.71</v>
      </c>
      <c r="D124" s="124">
        <v>421.65</v>
      </c>
      <c r="E124" s="124">
        <v>195.73</v>
      </c>
      <c r="F124" s="124">
        <v>113.79</v>
      </c>
      <c r="G124" s="124">
        <v>155.77000000000001</v>
      </c>
      <c r="H124" s="124">
        <v>178.3</v>
      </c>
      <c r="I124" s="124">
        <v>60.54</v>
      </c>
      <c r="J124" s="125">
        <v>60.51</v>
      </c>
      <c r="L124" s="39">
        <f t="shared" si="20"/>
        <v>-1.8469707755354029E-3</v>
      </c>
      <c r="M124" s="40">
        <f t="shared" si="12"/>
        <v>-6.6725197541702454E-3</v>
      </c>
      <c r="N124" s="40">
        <f t="shared" si="13"/>
        <v>-2.861467152249057E-3</v>
      </c>
      <c r="O124" s="40">
        <f t="shared" si="14"/>
        <v>4.6709783389795537E-3</v>
      </c>
      <c r="P124" s="40">
        <f t="shared" si="15"/>
        <v>-7.5010902747492314E-3</v>
      </c>
      <c r="Q124" s="40">
        <f t="shared" si="16"/>
        <v>3.543357814714672E-3</v>
      </c>
      <c r="R124" s="40">
        <f t="shared" si="17"/>
        <v>-7.845974069333907E-3</v>
      </c>
      <c r="S124" s="40">
        <f t="shared" si="18"/>
        <v>2.3178807947019961E-3</v>
      </c>
      <c r="T124" s="41">
        <f t="shared" si="19"/>
        <v>-9.9058940069345004E-4</v>
      </c>
      <c r="V124" s="39">
        <f t="shared" si="21"/>
        <v>-1.8469707755354029E-3</v>
      </c>
      <c r="W124" s="40" cm="1">
        <f t="array" ref="W124">IF(M124="","",SUMPRODUCT(M124:T124,TRANSPOSE('04_Dashboard'!$C$53:$C$60)))</f>
        <v>6.1970762980077386E-4</v>
      </c>
      <c r="X124" s="42">
        <f t="shared" si="22"/>
        <v>1.2141302567222849</v>
      </c>
      <c r="Y124" s="118">
        <f t="shared" si="23"/>
        <v>1.1603217016841219</v>
      </c>
      <c r="AA124" s="43">
        <f>IF(X124="","",X124/MAX($X$4:X124)-1)</f>
        <v>-6.4917656070474505E-3</v>
      </c>
      <c r="AB124" s="44">
        <f>IF(Y124="","",Y124/MAX($Y$4:Y124)-1)</f>
        <v>-7.4641143482517824E-3</v>
      </c>
    </row>
    <row r="125" spans="1:28" x14ac:dyDescent="0.45">
      <c r="A125" s="121">
        <v>45378</v>
      </c>
      <c r="B125" s="124">
        <v>523.16999999999996</v>
      </c>
      <c r="C125" s="124">
        <v>173.31</v>
      </c>
      <c r="D125" s="124">
        <v>421.43</v>
      </c>
      <c r="E125" s="124">
        <v>199.52</v>
      </c>
      <c r="F125" s="124">
        <v>114.97</v>
      </c>
      <c r="G125" s="124">
        <v>157.96</v>
      </c>
      <c r="H125" s="124">
        <v>179.83</v>
      </c>
      <c r="I125" s="124">
        <v>61.03</v>
      </c>
      <c r="J125" s="125">
        <v>60.72</v>
      </c>
      <c r="L125" s="39">
        <f t="shared" si="20"/>
        <v>8.4038472658584332E-3</v>
      </c>
      <c r="M125" s="40">
        <f t="shared" si="12"/>
        <v>2.1212656885274846E-2</v>
      </c>
      <c r="N125" s="40">
        <f t="shared" si="13"/>
        <v>-5.217597533498647E-4</v>
      </c>
      <c r="O125" s="40">
        <f t="shared" si="14"/>
        <v>1.9363408777397541E-2</v>
      </c>
      <c r="P125" s="40">
        <f t="shared" si="15"/>
        <v>1.0369979787327469E-2</v>
      </c>
      <c r="Q125" s="40">
        <f t="shared" si="16"/>
        <v>1.4059189831161311E-2</v>
      </c>
      <c r="R125" s="40">
        <f t="shared" si="17"/>
        <v>8.5810431856421822E-3</v>
      </c>
      <c r="S125" s="40">
        <f t="shared" si="18"/>
        <v>8.0938222662702668E-3</v>
      </c>
      <c r="T125" s="41">
        <f t="shared" si="19"/>
        <v>3.4705007436787449E-3</v>
      </c>
      <c r="V125" s="39">
        <f t="shared" si="21"/>
        <v>8.4038472658584332E-3</v>
      </c>
      <c r="W125" s="40" cm="1">
        <f t="array" ref="W125">IF(M125="","",SUMPRODUCT(M125:T125,TRANSPOSE('04_Dashboard'!$C$53:$C$60)))</f>
        <v>1.1828375248139629E-2</v>
      </c>
      <c r="X125" s="42">
        <f t="shared" si="22"/>
        <v>1.2243336219606367</v>
      </c>
      <c r="Y125" s="118">
        <f t="shared" si="23"/>
        <v>1.1740464221802016</v>
      </c>
      <c r="AA125" s="43">
        <f>IF(X125="","",X125/MAX($X$4:X125)-1)</f>
        <v>0</v>
      </c>
      <c r="AB125" s="44">
        <f>IF(Y125="","",Y125/MAX($Y$4:Y125)-1)</f>
        <v>0</v>
      </c>
    </row>
    <row r="126" spans="1:28" x14ac:dyDescent="0.45">
      <c r="A126" s="121">
        <v>45379</v>
      </c>
      <c r="B126" s="124">
        <v>523.07000000000005</v>
      </c>
      <c r="C126" s="124">
        <v>171.48</v>
      </c>
      <c r="D126" s="124">
        <v>420.72</v>
      </c>
      <c r="E126" s="124">
        <v>200.3</v>
      </c>
      <c r="F126" s="124">
        <v>116.24</v>
      </c>
      <c r="G126" s="124">
        <v>158.19</v>
      </c>
      <c r="H126" s="124">
        <v>180.38</v>
      </c>
      <c r="I126" s="124">
        <v>61.18</v>
      </c>
      <c r="J126" s="125">
        <v>60.17</v>
      </c>
      <c r="L126" s="39">
        <f t="shared" si="20"/>
        <v>-1.9114245847412706E-4</v>
      </c>
      <c r="M126" s="40">
        <f t="shared" si="12"/>
        <v>-1.0559113726847917E-2</v>
      </c>
      <c r="N126" s="40">
        <f t="shared" si="13"/>
        <v>-1.6847400517285896E-3</v>
      </c>
      <c r="O126" s="40">
        <f t="shared" si="14"/>
        <v>3.9093825180433091E-3</v>
      </c>
      <c r="P126" s="40">
        <f t="shared" si="15"/>
        <v>1.104635991997909E-2</v>
      </c>
      <c r="Q126" s="40">
        <f t="shared" si="16"/>
        <v>1.4560648265382994E-3</v>
      </c>
      <c r="R126" s="40">
        <f t="shared" si="17"/>
        <v>3.0584440860812038E-3</v>
      </c>
      <c r="S126" s="40">
        <f t="shared" si="18"/>
        <v>2.4578076355890313E-3</v>
      </c>
      <c r="T126" s="41">
        <f t="shared" si="19"/>
        <v>-9.0579710144927071E-3</v>
      </c>
      <c r="V126" s="39">
        <f t="shared" si="21"/>
        <v>-1.9114245847412706E-4</v>
      </c>
      <c r="W126" s="40" cm="1">
        <f t="array" ref="W126">IF(M126="","",SUMPRODUCT(M126:T126,TRANSPOSE('04_Dashboard'!$C$53:$C$60)))</f>
        <v>4.3083328688338167E-4</v>
      </c>
      <c r="X126" s="42">
        <f t="shared" si="22"/>
        <v>1.2240995998221424</v>
      </c>
      <c r="Y126" s="118">
        <f t="shared" si="23"/>
        <v>1.1745522404592232</v>
      </c>
      <c r="AA126" s="43">
        <f>IF(X126="","",X126/MAX($X$4:X126)-1)</f>
        <v>-1.9114245847418054E-4</v>
      </c>
      <c r="AB126" s="44">
        <f>IF(Y126="","",Y126/MAX($Y$4:Y126)-1)</f>
        <v>0</v>
      </c>
    </row>
    <row r="127" spans="1:28" x14ac:dyDescent="0.45">
      <c r="A127" s="121">
        <v>45383</v>
      </c>
      <c r="B127" s="124">
        <v>522.16</v>
      </c>
      <c r="C127" s="124">
        <v>170.03</v>
      </c>
      <c r="D127" s="124">
        <v>424.57</v>
      </c>
      <c r="E127" s="124">
        <v>198.94</v>
      </c>
      <c r="F127" s="124">
        <v>116.99</v>
      </c>
      <c r="G127" s="124">
        <v>157.78</v>
      </c>
      <c r="H127" s="124">
        <v>180.97</v>
      </c>
      <c r="I127" s="124">
        <v>60.68</v>
      </c>
      <c r="J127" s="125">
        <v>60</v>
      </c>
      <c r="L127" s="39">
        <f t="shared" si="20"/>
        <v>-1.7397289081768823E-3</v>
      </c>
      <c r="M127" s="40">
        <f t="shared" si="12"/>
        <v>-8.4557965943549609E-3</v>
      </c>
      <c r="N127" s="40">
        <f t="shared" si="13"/>
        <v>9.1509792736260837E-3</v>
      </c>
      <c r="O127" s="40">
        <f t="shared" si="14"/>
        <v>-6.7898152770844416E-3</v>
      </c>
      <c r="P127" s="40">
        <f t="shared" si="15"/>
        <v>6.4521679284239505E-3</v>
      </c>
      <c r="Q127" s="40">
        <f t="shared" si="16"/>
        <v>-2.5918199633352085E-3</v>
      </c>
      <c r="R127" s="40">
        <f t="shared" si="17"/>
        <v>3.2708726022840861E-3</v>
      </c>
      <c r="S127" s="40">
        <f t="shared" si="18"/>
        <v>-8.1726054266100037E-3</v>
      </c>
      <c r="T127" s="41">
        <f t="shared" si="19"/>
        <v>-2.8253282366628172E-3</v>
      </c>
      <c r="V127" s="39">
        <f t="shared" si="21"/>
        <v>-1.7397289081768823E-3</v>
      </c>
      <c r="W127" s="40" cm="1">
        <f t="array" ref="W127">IF(M127="","",SUMPRODUCT(M127:T127,TRANSPOSE('04_Dashboard'!$C$53:$C$60)))</f>
        <v>-3.0331046902237735E-3</v>
      </c>
      <c r="X127" s="42">
        <f t="shared" si="22"/>
        <v>1.2219699983618442</v>
      </c>
      <c r="Y127" s="118">
        <f t="shared" si="23"/>
        <v>1.1709897005497736</v>
      </c>
      <c r="AA127" s="43">
        <f>IF(X127="","",X127/MAX($X$4:X127)-1)</f>
        <v>-1.9305388305904669E-3</v>
      </c>
      <c r="AB127" s="44">
        <f>IF(Y127="","",Y127/MAX($Y$4:Y127)-1)</f>
        <v>-3.0331046902237757E-3</v>
      </c>
    </row>
    <row r="128" spans="1:28" x14ac:dyDescent="0.45">
      <c r="A128" s="121">
        <v>45384</v>
      </c>
      <c r="B128" s="124">
        <v>518.84</v>
      </c>
      <c r="C128" s="124">
        <v>168.84</v>
      </c>
      <c r="D128" s="124">
        <v>421.44</v>
      </c>
      <c r="E128" s="124">
        <v>198.86</v>
      </c>
      <c r="F128" s="124">
        <v>119.28</v>
      </c>
      <c r="G128" s="124">
        <v>157.72999999999999</v>
      </c>
      <c r="H128" s="124">
        <v>180.69</v>
      </c>
      <c r="I128" s="124">
        <v>60.15</v>
      </c>
      <c r="J128" s="125">
        <v>59.16</v>
      </c>
      <c r="L128" s="39">
        <f t="shared" si="20"/>
        <v>-6.3582043817985608E-3</v>
      </c>
      <c r="M128" s="40">
        <f t="shared" si="12"/>
        <v>-6.9987649238369568E-3</v>
      </c>
      <c r="N128" s="40">
        <f t="shared" si="13"/>
        <v>-7.3721647784817474E-3</v>
      </c>
      <c r="O128" s="40">
        <f t="shared" si="14"/>
        <v>-4.0213129586802091E-4</v>
      </c>
      <c r="P128" s="40">
        <f t="shared" si="15"/>
        <v>1.9574322591674555E-2</v>
      </c>
      <c r="Q128" s="40">
        <f t="shared" si="16"/>
        <v>-3.1689694511352113E-4</v>
      </c>
      <c r="R128" s="40">
        <f t="shared" si="17"/>
        <v>-1.5472177709012606E-3</v>
      </c>
      <c r="S128" s="40">
        <f t="shared" si="18"/>
        <v>-8.7343441001977769E-3</v>
      </c>
      <c r="T128" s="41">
        <f t="shared" si="19"/>
        <v>-1.4000000000000058E-2</v>
      </c>
      <c r="V128" s="39">
        <f t="shared" si="21"/>
        <v>-6.3582043817985608E-3</v>
      </c>
      <c r="W128" s="40" cm="1">
        <f t="array" ref="W128">IF(M128="","",SUMPRODUCT(M128:T128,TRANSPOSE('04_Dashboard'!$C$53:$C$60)))</f>
        <v>-3.3556346673468741E-3</v>
      </c>
      <c r="X128" s="42">
        <f t="shared" si="22"/>
        <v>1.2142004633638335</v>
      </c>
      <c r="Y128" s="118">
        <f t="shared" si="23"/>
        <v>1.1670602869155027</v>
      </c>
      <c r="AA128" s="43">
        <f>IF(X128="","",X128/MAX($X$4:X128)-1)</f>
        <v>-8.2764684519371912E-3</v>
      </c>
      <c r="AB128" s="44">
        <f>IF(Y128="","",Y128/MAX($Y$4:Y128)-1)</f>
        <v>-6.3785613663223106E-3</v>
      </c>
    </row>
    <row r="129" spans="1:28" x14ac:dyDescent="0.45">
      <c r="A129" s="121">
        <v>45385</v>
      </c>
      <c r="B129" s="124">
        <v>519.41</v>
      </c>
      <c r="C129" s="124">
        <v>169.65</v>
      </c>
      <c r="D129" s="124">
        <v>420.45</v>
      </c>
      <c r="E129" s="124">
        <v>198.3</v>
      </c>
      <c r="F129" s="124">
        <v>119.3</v>
      </c>
      <c r="G129" s="124">
        <v>154.26</v>
      </c>
      <c r="H129" s="124">
        <v>182.41</v>
      </c>
      <c r="I129" s="124">
        <v>59.83</v>
      </c>
      <c r="J129" s="125">
        <v>59.43</v>
      </c>
      <c r="L129" s="39">
        <f t="shared" si="20"/>
        <v>1.0986045794463347E-3</v>
      </c>
      <c r="M129" s="40">
        <f t="shared" si="12"/>
        <v>4.7974413646055571E-3</v>
      </c>
      <c r="N129" s="40">
        <f t="shared" si="13"/>
        <v>-2.3490888382688142E-3</v>
      </c>
      <c r="O129" s="40">
        <f t="shared" si="14"/>
        <v>-2.8160514935130355E-3</v>
      </c>
      <c r="P129" s="40">
        <f t="shared" si="15"/>
        <v>1.6767270288393712E-4</v>
      </c>
      <c r="Q129" s="40">
        <f t="shared" si="16"/>
        <v>-2.1999619603119247E-2</v>
      </c>
      <c r="R129" s="40">
        <f t="shared" si="17"/>
        <v>9.5190658033095302E-3</v>
      </c>
      <c r="S129" s="40">
        <f t="shared" si="18"/>
        <v>-5.3200332502078189E-3</v>
      </c>
      <c r="T129" s="41">
        <f t="shared" si="19"/>
        <v>4.5638945233266249E-3</v>
      </c>
      <c r="V129" s="39">
        <f t="shared" si="21"/>
        <v>1.0986045794463347E-3</v>
      </c>
      <c r="W129" s="40" cm="1">
        <f t="array" ref="W129">IF(M129="","",SUMPRODUCT(M129:T129,TRANSPOSE('04_Dashboard'!$C$53:$C$60)))</f>
        <v>-5.1968092603723913E-3</v>
      </c>
      <c r="X129" s="42">
        <f t="shared" si="22"/>
        <v>1.2155343895532509</v>
      </c>
      <c r="Y129" s="118">
        <f t="shared" si="23"/>
        <v>1.1609952972090474</v>
      </c>
      <c r="AA129" s="43">
        <f>IF(X129="","",X129/MAX($X$4:X129)-1)</f>
        <v>-7.1869564386337625E-3</v>
      </c>
      <c r="AB129" s="44">
        <f>IF(Y129="","",Y129/MAX($Y$4:Y129)-1)</f>
        <v>-1.1542222459918317E-2</v>
      </c>
    </row>
    <row r="130" spans="1:28" x14ac:dyDescent="0.45">
      <c r="A130" s="121">
        <v>45386</v>
      </c>
      <c r="B130" s="124">
        <v>513.07000000000005</v>
      </c>
      <c r="C130" s="124">
        <v>168.82</v>
      </c>
      <c r="D130" s="124">
        <v>417.88</v>
      </c>
      <c r="E130" s="124">
        <v>195.65</v>
      </c>
      <c r="F130" s="124">
        <v>119.72</v>
      </c>
      <c r="G130" s="124">
        <v>152.5</v>
      </c>
      <c r="H130" s="124">
        <v>180</v>
      </c>
      <c r="I130" s="124">
        <v>59.3</v>
      </c>
      <c r="J130" s="125">
        <v>59.5</v>
      </c>
      <c r="L130" s="39">
        <f t="shared" si="20"/>
        <v>-1.2206156985810667E-2</v>
      </c>
      <c r="M130" s="40">
        <f t="shared" si="12"/>
        <v>-4.8924255820808277E-3</v>
      </c>
      <c r="N130" s="40">
        <f t="shared" si="13"/>
        <v>-6.1124985134974269E-3</v>
      </c>
      <c r="O130" s="40">
        <f t="shared" si="14"/>
        <v>-1.3363590519415056E-2</v>
      </c>
      <c r="P130" s="40">
        <f t="shared" si="15"/>
        <v>3.5205364626990925E-3</v>
      </c>
      <c r="Q130" s="40">
        <f t="shared" si="16"/>
        <v>-1.1409308958900499E-2</v>
      </c>
      <c r="R130" s="40">
        <f t="shared" si="17"/>
        <v>-1.3211994956416845E-2</v>
      </c>
      <c r="S130" s="40">
        <f t="shared" si="18"/>
        <v>-8.8584322246364894E-3</v>
      </c>
      <c r="T130" s="41">
        <f t="shared" si="19"/>
        <v>1.1778563015312179E-3</v>
      </c>
      <c r="V130" s="39">
        <f t="shared" si="21"/>
        <v>-1.2206156985810667E-2</v>
      </c>
      <c r="W130" s="40" cm="1">
        <f t="array" ref="W130">IF(M130="","",SUMPRODUCT(M130:T130,TRANSPOSE('04_Dashboard'!$C$53:$C$60)))</f>
        <v>-8.4298539493758429E-3</v>
      </c>
      <c r="X130" s="42">
        <f t="shared" si="22"/>
        <v>1.2006973859727124</v>
      </c>
      <c r="Y130" s="118">
        <f t="shared" si="23"/>
        <v>1.1512082764176628</v>
      </c>
      <c r="AA130" s="43">
        <f>IF(X130="","",X130/MAX($X$4:X130)-1)</f>
        <v>-1.9305388305904225E-2</v>
      </c>
      <c r="AB130" s="44">
        <f>IF(Y130="","",Y130/MAX($Y$4:Y130)-1)</f>
        <v>-1.9874777159705981E-2</v>
      </c>
    </row>
    <row r="131" spans="1:28" x14ac:dyDescent="0.45">
      <c r="A131" s="121">
        <v>45387</v>
      </c>
      <c r="B131" s="124">
        <v>518.42999999999995</v>
      </c>
      <c r="C131" s="124">
        <v>169.58</v>
      </c>
      <c r="D131" s="124">
        <v>425.52</v>
      </c>
      <c r="E131" s="124">
        <v>197.45</v>
      </c>
      <c r="F131" s="124">
        <v>121.37</v>
      </c>
      <c r="G131" s="124">
        <v>152.38999999999999</v>
      </c>
      <c r="H131" s="124">
        <v>185.07</v>
      </c>
      <c r="I131" s="124">
        <v>59.51</v>
      </c>
      <c r="J131" s="125">
        <v>59.85</v>
      </c>
      <c r="L131" s="39">
        <f t="shared" si="20"/>
        <v>1.0446917574599762E-2</v>
      </c>
      <c r="M131" s="40">
        <f t="shared" si="12"/>
        <v>4.5018362753229436E-3</v>
      </c>
      <c r="N131" s="40">
        <f t="shared" si="13"/>
        <v>1.8282760601129478E-2</v>
      </c>
      <c r="O131" s="40">
        <f t="shared" si="14"/>
        <v>9.2001022233579501E-3</v>
      </c>
      <c r="P131" s="40">
        <f t="shared" si="15"/>
        <v>1.3782158369528948E-2</v>
      </c>
      <c r="Q131" s="40">
        <f t="shared" si="16"/>
        <v>-7.2131147540992549E-4</v>
      </c>
      <c r="R131" s="40">
        <f t="shared" si="17"/>
        <v>2.8166666666666628E-2</v>
      </c>
      <c r="S131" s="40">
        <f t="shared" si="18"/>
        <v>3.5413153456998461E-3</v>
      </c>
      <c r="T131" s="41">
        <f t="shared" si="19"/>
        <v>5.8823529411764948E-3</v>
      </c>
      <c r="V131" s="39">
        <f t="shared" si="21"/>
        <v>1.0446917574599762E-2</v>
      </c>
      <c r="W131" s="40" cm="1">
        <f t="array" ref="W131">IF(M131="","",SUMPRODUCT(M131:T131,TRANSPOSE('04_Dashboard'!$C$53:$C$60)))</f>
        <v>7.5724495481679557E-3</v>
      </c>
      <c r="X131" s="42">
        <f t="shared" si="22"/>
        <v>1.2132409725960067</v>
      </c>
      <c r="Y131" s="118">
        <f t="shared" si="23"/>
        <v>1.159925743010269</v>
      </c>
      <c r="AA131" s="43">
        <f>IF(X131="","",X131/MAX($X$4:X131)-1)</f>
        <v>-9.0601525316819087E-3</v>
      </c>
      <c r="AB131" s="44">
        <f>IF(Y131="","",Y131/MAX($Y$4:Y131)-1)</f>
        <v>-1.2452828358860968E-2</v>
      </c>
    </row>
    <row r="132" spans="1:28" x14ac:dyDescent="0.45">
      <c r="A132" s="121">
        <v>45390</v>
      </c>
      <c r="B132" s="124">
        <v>518.72</v>
      </c>
      <c r="C132" s="124">
        <v>168.45</v>
      </c>
      <c r="D132" s="124">
        <v>424.59</v>
      </c>
      <c r="E132" s="124">
        <v>198.48</v>
      </c>
      <c r="F132" s="124">
        <v>120.55</v>
      </c>
      <c r="G132" s="124">
        <v>151.59</v>
      </c>
      <c r="H132" s="124">
        <v>185.19</v>
      </c>
      <c r="I132" s="124">
        <v>59.27</v>
      </c>
      <c r="J132" s="125">
        <v>59.78</v>
      </c>
      <c r="L132" s="39">
        <f t="shared" si="20"/>
        <v>5.5938120864933996E-4</v>
      </c>
      <c r="M132" s="40">
        <f t="shared" ref="M132:M195" si="24">IF(C132="","",(C132-C131)/C131)</f>
        <v>-6.663521641703171E-3</v>
      </c>
      <c r="N132" s="40">
        <f t="shared" ref="N132:N195" si="25">IF(D132="","",(D132-D131)/D131)</f>
        <v>-2.1855611957134961E-3</v>
      </c>
      <c r="O132" s="40">
        <f t="shared" ref="O132:O195" si="26">IF(E132="","",(E132-E131)/E131)</f>
        <v>5.2165105089896236E-3</v>
      </c>
      <c r="P132" s="40">
        <f t="shared" ref="P132:P195" si="27">IF(F132="","",(F132-F131)/F131)</f>
        <v>-6.7562000494356704E-3</v>
      </c>
      <c r="Q132" s="40">
        <f t="shared" ref="Q132:Q195" si="28">IF(G132="","",(G132-G131)/G131)</f>
        <v>-5.2496882997570904E-3</v>
      </c>
      <c r="R132" s="40">
        <f t="shared" ref="R132:R195" si="29">IF(H132="","",(H132-H131)/H131)</f>
        <v>6.4840330685688959E-4</v>
      </c>
      <c r="S132" s="40">
        <f t="shared" ref="S132:S195" si="30">IF(I132="","",(I132-I131)/I131)</f>
        <v>-4.0329356410686423E-3</v>
      </c>
      <c r="T132" s="41">
        <f t="shared" ref="T132:T195" si="31">IF(J132="","",(J132-J131)/J131)</f>
        <v>-1.1695906432748586E-3</v>
      </c>
      <c r="V132" s="39">
        <f t="shared" si="21"/>
        <v>5.5938120864933996E-4</v>
      </c>
      <c r="W132" s="40" cm="1">
        <f t="array" ref="W132">IF(M132="","",SUMPRODUCT(M132:T132,TRANSPOSE('04_Dashboard'!$C$53:$C$60)))</f>
        <v>-1.5421568174228024E-3</v>
      </c>
      <c r="X132" s="42">
        <f t="shared" si="22"/>
        <v>1.2139196367976404</v>
      </c>
      <c r="Y132" s="118">
        <f t="shared" si="23"/>
        <v>1.1581369556179815</v>
      </c>
      <c r="AA132" s="43">
        <f>IF(X132="","",X132/MAX($X$4:X132)-1)</f>
        <v>-8.5058394021062522E-3</v>
      </c>
      <c r="AB132" s="44">
        <f>IF(Y132="","",Y132/MAX($Y$4:Y132)-1)</f>
        <v>-1.3975780962133921E-2</v>
      </c>
    </row>
    <row r="133" spans="1:28" x14ac:dyDescent="0.45">
      <c r="A133" s="121">
        <v>45391</v>
      </c>
      <c r="B133" s="124">
        <v>519.32000000000005</v>
      </c>
      <c r="C133" s="124">
        <v>169.67</v>
      </c>
      <c r="D133" s="124">
        <v>426.28</v>
      </c>
      <c r="E133" s="124">
        <v>197.15</v>
      </c>
      <c r="F133" s="124">
        <v>121.18</v>
      </c>
      <c r="G133" s="124">
        <v>152.29</v>
      </c>
      <c r="H133" s="124">
        <v>185.67</v>
      </c>
      <c r="I133" s="124">
        <v>59.72</v>
      </c>
      <c r="J133" s="125">
        <v>59.79</v>
      </c>
      <c r="L133" s="39">
        <f t="shared" ref="L133:L196" si="32">IF(B133="","",(B133-B132)/B132)</f>
        <v>1.1566933991363794E-3</v>
      </c>
      <c r="M133" s="40">
        <f t="shared" si="24"/>
        <v>7.2425051944197032E-3</v>
      </c>
      <c r="N133" s="40">
        <f t="shared" si="25"/>
        <v>3.9803104171082637E-3</v>
      </c>
      <c r="O133" s="40">
        <f t="shared" si="26"/>
        <v>-6.700927045546071E-3</v>
      </c>
      <c r="P133" s="40">
        <f t="shared" si="27"/>
        <v>5.2260472832850241E-3</v>
      </c>
      <c r="Q133" s="40">
        <f t="shared" si="28"/>
        <v>4.6177188468895618E-3</v>
      </c>
      <c r="R133" s="40">
        <f t="shared" si="29"/>
        <v>2.5919326097520912E-3</v>
      </c>
      <c r="S133" s="40">
        <f t="shared" si="30"/>
        <v>7.5923738822337725E-3</v>
      </c>
      <c r="T133" s="41">
        <f t="shared" si="31"/>
        <v>1.6728002676477099E-4</v>
      </c>
      <c r="V133" s="39">
        <f t="shared" ref="V133:V196" si="33">L133</f>
        <v>1.1566933991363794E-3</v>
      </c>
      <c r="W133" s="40" cm="1">
        <f t="array" ref="W133">IF(M133="","",SUMPRODUCT(M133:T133,TRANSPOSE('04_Dashboard'!$C$53:$C$60)))</f>
        <v>1.7084759826445401E-3</v>
      </c>
      <c r="X133" s="42">
        <f t="shared" si="22"/>
        <v>1.2153237696286063</v>
      </c>
      <c r="Y133" s="118">
        <f t="shared" si="23"/>
        <v>1.1601156047912677</v>
      </c>
      <c r="AA133" s="43">
        <f>IF(X133="","",X133/MAX($X$4:X133)-1)</f>
        <v>-7.3589846512603918E-3</v>
      </c>
      <c r="AB133" s="44">
        <f>IF(Y133="","",Y133/MAX($Y$4:Y133)-1)</f>
        <v>-1.2291182265601996E-2</v>
      </c>
    </row>
    <row r="134" spans="1:28" x14ac:dyDescent="0.45">
      <c r="A134" s="121">
        <v>45392</v>
      </c>
      <c r="B134" s="124">
        <v>514.12</v>
      </c>
      <c r="C134" s="124">
        <v>167.78</v>
      </c>
      <c r="D134" s="124">
        <v>423.26</v>
      </c>
      <c r="E134" s="124">
        <v>195.47</v>
      </c>
      <c r="F134" s="124">
        <v>122.2</v>
      </c>
      <c r="G134" s="124">
        <v>150.19999999999999</v>
      </c>
      <c r="H134" s="124">
        <v>185.95</v>
      </c>
      <c r="I134" s="124">
        <v>58.92</v>
      </c>
      <c r="J134" s="125">
        <v>60.62</v>
      </c>
      <c r="L134" s="39">
        <f t="shared" si="32"/>
        <v>-1.0013094046060319E-2</v>
      </c>
      <c r="M134" s="40">
        <f t="shared" si="24"/>
        <v>-1.1139270348323136E-2</v>
      </c>
      <c r="N134" s="40">
        <f t="shared" si="25"/>
        <v>-7.0845453692408326E-3</v>
      </c>
      <c r="O134" s="40">
        <f t="shared" si="26"/>
        <v>-8.5214303829571729E-3</v>
      </c>
      <c r="P134" s="40">
        <f t="shared" si="27"/>
        <v>8.4172305660999824E-3</v>
      </c>
      <c r="Q134" s="40">
        <f t="shared" si="28"/>
        <v>-1.3723816402915513E-2</v>
      </c>
      <c r="R134" s="40">
        <f t="shared" si="29"/>
        <v>1.5080519200732544E-3</v>
      </c>
      <c r="S134" s="40">
        <f t="shared" si="30"/>
        <v>-1.3395847287340877E-2</v>
      </c>
      <c r="T134" s="41">
        <f t="shared" si="31"/>
        <v>1.3881920053520628E-2</v>
      </c>
      <c r="V134" s="39">
        <f t="shared" si="33"/>
        <v>-1.0013094046060319E-2</v>
      </c>
      <c r="W134" s="40" cm="1">
        <f t="array" ref="W134">IF(M134="","",SUMPRODUCT(M134:T134,TRANSPOSE('04_Dashboard'!$C$53:$C$60)))</f>
        <v>-5.7724746851028647E-3</v>
      </c>
      <c r="X134" s="42">
        <f t="shared" ref="X134:X197" si="34">IF(V134="","",X133*(1+V134))</f>
        <v>1.2031546184269026</v>
      </c>
      <c r="Y134" s="118">
        <f t="shared" ref="Y134:Y197" si="35">IF(W134="","",Y133*(1+W134))</f>
        <v>1.1534188668308174</v>
      </c>
      <c r="AA134" s="43">
        <f>IF(X134="","",X134/MAX($X$4:X134)-1)</f>
        <v>-1.7298392491923997E-2</v>
      </c>
      <c r="AB134" s="44">
        <f>IF(Y134="","",Y134/MAX($Y$4:Y134)-1)</f>
        <v>-1.7992706412226611E-2</v>
      </c>
    </row>
    <row r="135" spans="1:28" x14ac:dyDescent="0.45">
      <c r="A135" s="121">
        <v>45393</v>
      </c>
      <c r="B135" s="124">
        <v>518</v>
      </c>
      <c r="C135" s="124">
        <v>175.04</v>
      </c>
      <c r="D135" s="124">
        <v>427.93</v>
      </c>
      <c r="E135" s="124">
        <v>195.43</v>
      </c>
      <c r="F135" s="124">
        <v>121.79</v>
      </c>
      <c r="G135" s="124">
        <v>148.79</v>
      </c>
      <c r="H135" s="124">
        <v>189.05</v>
      </c>
      <c r="I135" s="124">
        <v>59.05</v>
      </c>
      <c r="J135" s="125">
        <v>60.09</v>
      </c>
      <c r="L135" s="39">
        <f t="shared" si="32"/>
        <v>7.546876215669485E-3</v>
      </c>
      <c r="M135" s="40">
        <f t="shared" si="24"/>
        <v>4.3270950053641621E-2</v>
      </c>
      <c r="N135" s="40">
        <f t="shared" si="25"/>
        <v>1.1033407361905249E-2</v>
      </c>
      <c r="O135" s="40">
        <f t="shared" si="26"/>
        <v>-2.0463498235019206E-4</v>
      </c>
      <c r="P135" s="40">
        <f t="shared" si="27"/>
        <v>-3.3551554828150291E-3</v>
      </c>
      <c r="Q135" s="40">
        <f t="shared" si="28"/>
        <v>-9.387483355525944E-3</v>
      </c>
      <c r="R135" s="40">
        <f t="shared" si="29"/>
        <v>1.6671148158107142E-2</v>
      </c>
      <c r="S135" s="40">
        <f t="shared" si="30"/>
        <v>2.2063815342836975E-3</v>
      </c>
      <c r="T135" s="41">
        <f t="shared" si="31"/>
        <v>-8.7429891125040265E-3</v>
      </c>
      <c r="V135" s="39">
        <f t="shared" si="33"/>
        <v>7.546876215669485E-3</v>
      </c>
      <c r="W135" s="40" cm="1">
        <f t="array" ref="W135">IF(M135="","",SUMPRODUCT(M135:T135,TRANSPOSE('04_Dashboard'!$C$53:$C$60)))</f>
        <v>9.9433765184795395E-4</v>
      </c>
      <c r="X135" s="42">
        <f t="shared" si="34"/>
        <v>1.2122346774004815</v>
      </c>
      <c r="Y135" s="118">
        <f t="shared" si="35"/>
        <v>1.1545657546384591</v>
      </c>
      <c r="AA135" s="43">
        <f>IF(X135="","",X135/MAX($X$4:X135)-1)</f>
        <v>-9.8820651031211737E-3</v>
      </c>
      <c r="AB135" s="44">
        <f>IF(Y135="","",Y135/MAX($Y$4:Y135)-1)</f>
        <v>-1.7016259585822979E-2</v>
      </c>
    </row>
    <row r="136" spans="1:28" x14ac:dyDescent="0.45">
      <c r="A136" s="121">
        <v>45394</v>
      </c>
      <c r="B136" s="124">
        <v>510.85</v>
      </c>
      <c r="C136" s="124">
        <v>176.55</v>
      </c>
      <c r="D136" s="124">
        <v>421.9</v>
      </c>
      <c r="E136" s="124">
        <v>182.79</v>
      </c>
      <c r="F136" s="124">
        <v>120.37</v>
      </c>
      <c r="G136" s="124">
        <v>147.52000000000001</v>
      </c>
      <c r="H136" s="124">
        <v>186.13</v>
      </c>
      <c r="I136" s="124">
        <v>58.28</v>
      </c>
      <c r="J136" s="125">
        <v>60.14</v>
      </c>
      <c r="L136" s="39">
        <f t="shared" si="32"/>
        <v>-1.3803088803088759E-2</v>
      </c>
      <c r="M136" s="40">
        <f t="shared" si="24"/>
        <v>8.6265996343693977E-3</v>
      </c>
      <c r="N136" s="40">
        <f t="shared" si="25"/>
        <v>-1.4091089664197485E-2</v>
      </c>
      <c r="O136" s="40">
        <f t="shared" si="26"/>
        <v>-6.4677889781507514E-2</v>
      </c>
      <c r="P136" s="40">
        <f t="shared" si="27"/>
        <v>-1.1659413744970865E-2</v>
      </c>
      <c r="Q136" s="40">
        <f t="shared" si="28"/>
        <v>-8.5355198602055371E-3</v>
      </c>
      <c r="R136" s="40">
        <f t="shared" si="29"/>
        <v>-1.5445649299127298E-2</v>
      </c>
      <c r="S136" s="40">
        <f t="shared" si="30"/>
        <v>-1.3039796782387741E-2</v>
      </c>
      <c r="T136" s="41">
        <f t="shared" si="31"/>
        <v>8.3208520552499837E-4</v>
      </c>
      <c r="V136" s="39">
        <f t="shared" si="33"/>
        <v>-1.3803088803088759E-2</v>
      </c>
      <c r="W136" s="40" cm="1">
        <f t="array" ref="W136">IF(M136="","",SUMPRODUCT(M136:T136,TRANSPOSE('04_Dashboard'!$C$53:$C$60)))</f>
        <v>-2.1256364111569861E-2</v>
      </c>
      <c r="X136" s="42">
        <f t="shared" si="34"/>
        <v>1.1955020944981389</v>
      </c>
      <c r="Y136" s="118">
        <f t="shared" si="35"/>
        <v>1.1300238845671147</v>
      </c>
      <c r="AA136" s="43">
        <f>IF(X136="","",X136/MAX($X$4:X136)-1)</f>
        <v>-2.3548750884033742E-2</v>
      </c>
      <c r="AB136" s="44">
        <f>IF(Y136="","",Y136/MAX($Y$4:Y136)-1)</f>
        <v>-3.7910919887819583E-2</v>
      </c>
    </row>
    <row r="137" spans="1:28" x14ac:dyDescent="0.45">
      <c r="A137" s="121">
        <v>45397</v>
      </c>
      <c r="B137" s="124">
        <v>504.45</v>
      </c>
      <c r="C137" s="124">
        <v>172.69</v>
      </c>
      <c r="D137" s="124">
        <v>413.64</v>
      </c>
      <c r="E137" s="124">
        <v>182.89</v>
      </c>
      <c r="F137" s="124">
        <v>119.68</v>
      </c>
      <c r="G137" s="124">
        <v>147.59</v>
      </c>
      <c r="H137" s="124">
        <v>183.62</v>
      </c>
      <c r="I137" s="124">
        <v>58.14</v>
      </c>
      <c r="J137" s="125">
        <v>59.93</v>
      </c>
      <c r="L137" s="39">
        <f t="shared" si="32"/>
        <v>-1.2528139375550619E-2</v>
      </c>
      <c r="M137" s="40">
        <f t="shared" si="24"/>
        <v>-2.1863494760691098E-2</v>
      </c>
      <c r="N137" s="40">
        <f t="shared" si="25"/>
        <v>-1.9578099075610315E-2</v>
      </c>
      <c r="O137" s="40">
        <f t="shared" si="26"/>
        <v>5.4707587942444511E-4</v>
      </c>
      <c r="P137" s="40">
        <f t="shared" si="27"/>
        <v>-5.7323253302317663E-3</v>
      </c>
      <c r="Q137" s="40">
        <f t="shared" si="28"/>
        <v>4.7451193058563703E-4</v>
      </c>
      <c r="R137" s="40">
        <f t="shared" si="29"/>
        <v>-1.3485198517165373E-2</v>
      </c>
      <c r="S137" s="40">
        <f t="shared" si="30"/>
        <v>-2.4021962937542992E-3</v>
      </c>
      <c r="T137" s="41">
        <f t="shared" si="31"/>
        <v>-3.4918523445294455E-3</v>
      </c>
      <c r="V137" s="39">
        <f t="shared" si="33"/>
        <v>-1.2528139375550619E-2</v>
      </c>
      <c r="W137" s="40" cm="1">
        <f t="array" ref="W137">IF(M137="","",SUMPRODUCT(M137:T137,TRANSPOSE('04_Dashboard'!$C$53:$C$60)))</f>
        <v>-4.3924811813855595E-3</v>
      </c>
      <c r="X137" s="42">
        <f t="shared" si="34"/>
        <v>1.1805246776345035</v>
      </c>
      <c r="Y137" s="118">
        <f t="shared" si="35"/>
        <v>1.1250602759196373</v>
      </c>
      <c r="AA137" s="43">
        <f>IF(X137="","",X137/MAX($X$4:X137)-1)</f>
        <v>-3.5781868226389069E-2</v>
      </c>
      <c r="AB137" s="44">
        <f>IF(Y137="","",Y137/MAX($Y$4:Y137)-1)</f>
        <v>-4.2136878067028927E-2</v>
      </c>
    </row>
    <row r="138" spans="1:28" x14ac:dyDescent="0.45">
      <c r="A138" s="121">
        <v>45398</v>
      </c>
      <c r="B138" s="124">
        <v>503.53</v>
      </c>
      <c r="C138" s="124">
        <v>169.38</v>
      </c>
      <c r="D138" s="124">
        <v>414.58</v>
      </c>
      <c r="E138" s="124">
        <v>180.8</v>
      </c>
      <c r="F138" s="124">
        <v>118.69</v>
      </c>
      <c r="G138" s="124">
        <v>144.44999999999999</v>
      </c>
      <c r="H138" s="124">
        <v>183.32</v>
      </c>
      <c r="I138" s="124">
        <v>58.06</v>
      </c>
      <c r="J138" s="125">
        <v>59.84</v>
      </c>
      <c r="L138" s="39">
        <f t="shared" si="32"/>
        <v>-1.8237684606998035E-3</v>
      </c>
      <c r="M138" s="40">
        <f t="shared" si="24"/>
        <v>-1.9167293995019992E-2</v>
      </c>
      <c r="N138" s="40">
        <f t="shared" si="25"/>
        <v>2.2725074944396038E-3</v>
      </c>
      <c r="O138" s="40">
        <f t="shared" si="26"/>
        <v>-1.142763409699806E-2</v>
      </c>
      <c r="P138" s="40">
        <f t="shared" si="27"/>
        <v>-8.2720588235294865E-3</v>
      </c>
      <c r="Q138" s="40">
        <f t="shared" si="28"/>
        <v>-2.1275154143234738E-2</v>
      </c>
      <c r="R138" s="40">
        <f t="shared" si="29"/>
        <v>-1.6338089532731258E-3</v>
      </c>
      <c r="S138" s="40">
        <f t="shared" si="30"/>
        <v>-1.375988992088034E-3</v>
      </c>
      <c r="T138" s="41">
        <f t="shared" si="31"/>
        <v>-1.5017520440513317E-3</v>
      </c>
      <c r="V138" s="39">
        <f t="shared" si="33"/>
        <v>-1.8237684606998035E-3</v>
      </c>
      <c r="W138" s="40" cm="1">
        <f t="array" ref="W138">IF(M138="","",SUMPRODUCT(M138:T138,TRANSPOSE('04_Dashboard'!$C$53:$C$60)))</f>
        <v>-9.614482173785719E-3</v>
      </c>
      <c r="X138" s="42">
        <f t="shared" si="34"/>
        <v>1.178371673960356</v>
      </c>
      <c r="Y138" s="118">
        <f t="shared" si="35"/>
        <v>1.1142434039523736</v>
      </c>
      <c r="AA138" s="43">
        <f>IF(X138="","",X138/MAX($X$4:X138)-1)</f>
        <v>-3.7540378844352573E-2</v>
      </c>
      <c r="AB138" s="44">
        <f>IF(Y138="","",Y138/MAX($Y$4:Y138)-1)</f>
        <v>-5.1346235977780097E-2</v>
      </c>
    </row>
    <row r="139" spans="1:28" x14ac:dyDescent="0.45">
      <c r="A139" s="121">
        <v>45399</v>
      </c>
      <c r="B139" s="124">
        <v>500.55</v>
      </c>
      <c r="C139" s="124">
        <v>168</v>
      </c>
      <c r="D139" s="124">
        <v>411.84</v>
      </c>
      <c r="E139" s="124">
        <v>180.08</v>
      </c>
      <c r="F139" s="124">
        <v>118.63</v>
      </c>
      <c r="G139" s="124">
        <v>144.77000000000001</v>
      </c>
      <c r="H139" s="124">
        <v>181.28</v>
      </c>
      <c r="I139" s="124">
        <v>58.51</v>
      </c>
      <c r="J139" s="125">
        <v>59.65</v>
      </c>
      <c r="L139" s="39">
        <f t="shared" si="32"/>
        <v>-5.9182173852599879E-3</v>
      </c>
      <c r="M139" s="40">
        <f t="shared" si="24"/>
        <v>-8.1473609635139659E-3</v>
      </c>
      <c r="N139" s="40">
        <f t="shared" si="25"/>
        <v>-6.6090983646099888E-3</v>
      </c>
      <c r="O139" s="40">
        <f t="shared" si="26"/>
        <v>-3.9823008849557461E-3</v>
      </c>
      <c r="P139" s="40">
        <f t="shared" si="27"/>
        <v>-5.0551857780775362E-4</v>
      </c>
      <c r="Q139" s="40">
        <f t="shared" si="28"/>
        <v>2.2152994115612434E-3</v>
      </c>
      <c r="R139" s="40">
        <f t="shared" si="29"/>
        <v>-1.1128082042330309E-2</v>
      </c>
      <c r="S139" s="40">
        <f t="shared" si="30"/>
        <v>7.7506028246640667E-3</v>
      </c>
      <c r="T139" s="41">
        <f t="shared" si="31"/>
        <v>-3.175133689839653E-3</v>
      </c>
      <c r="V139" s="39">
        <f t="shared" si="33"/>
        <v>-5.9182173852599879E-3</v>
      </c>
      <c r="W139" s="40" cm="1">
        <f t="array" ref="W139">IF(M139="","",SUMPRODUCT(M139:T139,TRANSPOSE('04_Dashboard'!$C$53:$C$60)))</f>
        <v>-1.528411890534175E-3</v>
      </c>
      <c r="X139" s="42">
        <f t="shared" si="34"/>
        <v>1.171397814233226</v>
      </c>
      <c r="Y139" s="118">
        <f t="shared" si="35"/>
        <v>1.1125403810848236</v>
      </c>
      <c r="AA139" s="43">
        <f>IF(X139="","",X139/MAX($X$4:X139)-1)</f>
        <v>-4.3236424106886662E-2</v>
      </c>
      <c r="AB139" s="44">
        <f>IF(Y139="","",Y139/MAX($Y$4:Y139)-1)</f>
        <v>-5.2796169670711657E-2</v>
      </c>
    </row>
    <row r="140" spans="1:28" x14ac:dyDescent="0.45">
      <c r="A140" s="121">
        <v>45400</v>
      </c>
      <c r="B140" s="124">
        <v>499.52</v>
      </c>
      <c r="C140" s="124">
        <v>167.04</v>
      </c>
      <c r="D140" s="124">
        <v>404.27</v>
      </c>
      <c r="E140" s="124">
        <v>181.25</v>
      </c>
      <c r="F140" s="124">
        <v>118.52</v>
      </c>
      <c r="G140" s="124">
        <v>145.74</v>
      </c>
      <c r="H140" s="124">
        <v>179.22</v>
      </c>
      <c r="I140" s="124">
        <v>58.91</v>
      </c>
      <c r="J140" s="125">
        <v>59.26</v>
      </c>
      <c r="L140" s="39">
        <f t="shared" si="32"/>
        <v>-2.0577364898612116E-3</v>
      </c>
      <c r="M140" s="40">
        <f t="shared" si="24"/>
        <v>-5.714285714285762E-3</v>
      </c>
      <c r="N140" s="40">
        <f t="shared" si="25"/>
        <v>-1.8380924630924615E-2</v>
      </c>
      <c r="O140" s="40">
        <f t="shared" si="26"/>
        <v>6.4971123944912671E-3</v>
      </c>
      <c r="P140" s="40">
        <f t="shared" si="27"/>
        <v>-9.2725280283233104E-4</v>
      </c>
      <c r="Q140" s="40">
        <f t="shared" si="28"/>
        <v>6.7002832078469216E-3</v>
      </c>
      <c r="R140" s="40">
        <f t="shared" si="29"/>
        <v>-1.1363636363636376E-2</v>
      </c>
      <c r="S140" s="40">
        <f t="shared" si="30"/>
        <v>6.8364382156896018E-3</v>
      </c>
      <c r="T140" s="41">
        <f t="shared" si="31"/>
        <v>-6.5381391450125828E-3</v>
      </c>
      <c r="V140" s="39">
        <f t="shared" si="33"/>
        <v>-2.0577364898612116E-3</v>
      </c>
      <c r="W140" s="40" cm="1">
        <f t="array" ref="W140">IF(M140="","",SUMPRODUCT(M140:T140,TRANSPOSE('04_Dashboard'!$C$53:$C$60)))</f>
        <v>7.2351766145882035E-4</v>
      </c>
      <c r="X140" s="42">
        <f t="shared" si="34"/>
        <v>1.1689873862067346</v>
      </c>
      <c r="Y140" s="118">
        <f t="shared" si="35"/>
        <v>1.1133453236996245</v>
      </c>
      <c r="AA140" s="43">
        <f>IF(X140="","",X140/MAX($X$4:X140)-1)</f>
        <v>-4.5205191429172009E-2</v>
      </c>
      <c r="AB140" s="44">
        <f>IF(Y140="","",Y140/MAX($Y$4:Y140)-1)</f>
        <v>-5.2110850970467082E-2</v>
      </c>
    </row>
    <row r="141" spans="1:28" x14ac:dyDescent="0.45">
      <c r="A141" s="121">
        <v>45401</v>
      </c>
      <c r="B141" s="124">
        <v>495.16</v>
      </c>
      <c r="C141" s="124">
        <v>165</v>
      </c>
      <c r="D141" s="124">
        <v>399.12</v>
      </c>
      <c r="E141" s="124">
        <v>185.8</v>
      </c>
      <c r="F141" s="124">
        <v>119.88</v>
      </c>
      <c r="G141" s="124">
        <v>147.91</v>
      </c>
      <c r="H141" s="124">
        <v>174.63</v>
      </c>
      <c r="I141" s="124">
        <v>60.17</v>
      </c>
      <c r="J141" s="125">
        <v>59.53</v>
      </c>
      <c r="L141" s="39">
        <f t="shared" si="32"/>
        <v>-8.7283792440742258E-3</v>
      </c>
      <c r="M141" s="40">
        <f t="shared" si="24"/>
        <v>-1.2212643678160872E-2</v>
      </c>
      <c r="N141" s="40">
        <f t="shared" si="25"/>
        <v>-1.2739011056966823E-2</v>
      </c>
      <c r="O141" s="40">
        <f t="shared" si="26"/>
        <v>2.5103448275862132E-2</v>
      </c>
      <c r="P141" s="40">
        <f t="shared" si="27"/>
        <v>1.1474856564292943E-2</v>
      </c>
      <c r="Q141" s="40">
        <f t="shared" si="28"/>
        <v>1.4889529298751114E-2</v>
      </c>
      <c r="R141" s="40">
        <f t="shared" si="29"/>
        <v>-2.5610980917308356E-2</v>
      </c>
      <c r="S141" s="40">
        <f t="shared" si="30"/>
        <v>2.1388558818536837E-2</v>
      </c>
      <c r="T141" s="41">
        <f t="shared" si="31"/>
        <v>4.5561930475869579E-3</v>
      </c>
      <c r="V141" s="39">
        <f t="shared" si="33"/>
        <v>-8.7283792440742258E-3</v>
      </c>
      <c r="W141" s="40" cm="1">
        <f t="array" ref="W141">IF(M141="","",SUMPRODUCT(M141:T141,TRANSPOSE('04_Dashboard'!$C$53:$C$60)))</f>
        <v>1.0245755125997465E-2</v>
      </c>
      <c r="X141" s="42">
        <f t="shared" si="34"/>
        <v>1.1587840209683831</v>
      </c>
      <c r="Y141" s="118">
        <f t="shared" si="35"/>
        <v>1.1247523872569254</v>
      </c>
      <c r="AA141" s="43">
        <f>IF(X141="","",X141/MAX($X$4:X141)-1)</f>
        <v>-5.3539002618651521E-2</v>
      </c>
      <c r="AB141" s="44">
        <f>IF(Y141="","",Y141/MAX($Y$4:Y141)-1)</f>
        <v>-4.2399010862920194E-2</v>
      </c>
    </row>
    <row r="142" spans="1:28" x14ac:dyDescent="0.45">
      <c r="A142" s="121">
        <v>45404</v>
      </c>
      <c r="B142" s="124">
        <v>499.72</v>
      </c>
      <c r="C142" s="124">
        <v>165.84</v>
      </c>
      <c r="D142" s="124">
        <v>400.96</v>
      </c>
      <c r="E142" s="124">
        <v>189.41</v>
      </c>
      <c r="F142" s="124">
        <v>120.56</v>
      </c>
      <c r="G142" s="124">
        <v>149.12</v>
      </c>
      <c r="H142" s="124">
        <v>177.23</v>
      </c>
      <c r="I142" s="124">
        <v>60.55</v>
      </c>
      <c r="J142" s="125">
        <v>60.14</v>
      </c>
      <c r="L142" s="39">
        <f t="shared" si="32"/>
        <v>9.2091445189433768E-3</v>
      </c>
      <c r="M142" s="40">
        <f t="shared" si="24"/>
        <v>5.0909090909091112E-3</v>
      </c>
      <c r="N142" s="40">
        <f t="shared" si="25"/>
        <v>4.6101423130887323E-3</v>
      </c>
      <c r="O142" s="40">
        <f t="shared" si="26"/>
        <v>1.9429494079655461E-2</v>
      </c>
      <c r="P142" s="40">
        <f t="shared" si="27"/>
        <v>5.6723390056723959E-3</v>
      </c>
      <c r="Q142" s="40">
        <f t="shared" si="28"/>
        <v>8.180650395510837E-3</v>
      </c>
      <c r="R142" s="40">
        <f t="shared" si="29"/>
        <v>1.4888621657218087E-2</v>
      </c>
      <c r="S142" s="40">
        <f t="shared" si="30"/>
        <v>6.3154395878343931E-3</v>
      </c>
      <c r="T142" s="41">
        <f t="shared" si="31"/>
        <v>1.0246934318830832E-2</v>
      </c>
      <c r="V142" s="39">
        <f t="shared" si="33"/>
        <v>9.2091445189433768E-3</v>
      </c>
      <c r="W142" s="40" cm="1">
        <f t="array" ref="W142">IF(M142="","",SUMPRODUCT(M142:T142,TRANSPOSE('04_Dashboard'!$C$53:$C$60)))</f>
        <v>1.0831804703866884E-2</v>
      </c>
      <c r="X142" s="42">
        <f t="shared" si="34"/>
        <v>1.169455430483723</v>
      </c>
      <c r="Y142" s="118">
        <f t="shared" si="35"/>
        <v>1.1369354854559004</v>
      </c>
      <c r="AA142" s="43">
        <f>IF(X142="","",X142/MAX($X$4:X142)-1)</f>
        <v>-4.4822906512223537E-2</v>
      </c>
      <c r="AB142" s="44">
        <f>IF(Y142="","",Y142/MAX($Y$4:Y142)-1)</f>
        <v>-3.2026463964357599E-2</v>
      </c>
    </row>
    <row r="143" spans="1:28" x14ac:dyDescent="0.45">
      <c r="A143" s="121">
        <v>45405</v>
      </c>
      <c r="B143" s="124">
        <v>505.65</v>
      </c>
      <c r="C143" s="124">
        <v>166.9</v>
      </c>
      <c r="D143" s="124">
        <v>407.57</v>
      </c>
      <c r="E143" s="124">
        <v>192.14</v>
      </c>
      <c r="F143" s="124">
        <v>121.03</v>
      </c>
      <c r="G143" s="124">
        <v>149.56</v>
      </c>
      <c r="H143" s="124">
        <v>179.54</v>
      </c>
      <c r="I143" s="124">
        <v>60.64</v>
      </c>
      <c r="J143" s="125">
        <v>59.09</v>
      </c>
      <c r="L143" s="39">
        <f t="shared" si="32"/>
        <v>1.1866645321379873E-2</v>
      </c>
      <c r="M143" s="40">
        <f t="shared" si="24"/>
        <v>6.391702846116753E-3</v>
      </c>
      <c r="N143" s="40">
        <f t="shared" si="25"/>
        <v>1.6485434956105383E-2</v>
      </c>
      <c r="O143" s="40">
        <f t="shared" si="26"/>
        <v>1.4413177762525684E-2</v>
      </c>
      <c r="P143" s="40">
        <f t="shared" si="27"/>
        <v>3.8984737889847282E-3</v>
      </c>
      <c r="Q143" s="40">
        <f t="shared" si="28"/>
        <v>2.9506437768240189E-3</v>
      </c>
      <c r="R143" s="40">
        <f t="shared" si="29"/>
        <v>1.3033910737459811E-2</v>
      </c>
      <c r="S143" s="40">
        <f t="shared" si="30"/>
        <v>1.4863748967795774E-3</v>
      </c>
      <c r="T143" s="41">
        <f t="shared" si="31"/>
        <v>-1.7459261722647109E-2</v>
      </c>
      <c r="V143" s="39">
        <f t="shared" si="33"/>
        <v>1.1866645321379873E-2</v>
      </c>
      <c r="W143" s="40" cm="1">
        <f t="array" ref="W143">IF(M143="","",SUMPRODUCT(M143:T143,TRANSPOSE('04_Dashboard'!$C$53:$C$60)))</f>
        <v>4.5169951040847436E-3</v>
      </c>
      <c r="X143" s="42">
        <f t="shared" si="34"/>
        <v>1.183332943296435</v>
      </c>
      <c r="Y143" s="118">
        <f t="shared" si="35"/>
        <v>1.1420710174773647</v>
      </c>
      <c r="AA143" s="43">
        <f>IF(X143="","",X143/MAX($X$4:X143)-1)</f>
        <v>-3.348815872469757E-2</v>
      </c>
      <c r="AB143" s="44">
        <f>IF(Y143="","",Y143/MAX($Y$4:Y143)-1)</f>
        <v>-2.7654132241201168E-2</v>
      </c>
    </row>
    <row r="144" spans="1:28" x14ac:dyDescent="0.45">
      <c r="A144" s="121">
        <v>45406</v>
      </c>
      <c r="B144" s="124">
        <v>505.41</v>
      </c>
      <c r="C144" s="124">
        <v>169.02</v>
      </c>
      <c r="D144" s="124">
        <v>409.06</v>
      </c>
      <c r="E144" s="124">
        <v>193.08</v>
      </c>
      <c r="F144" s="124">
        <v>121.05</v>
      </c>
      <c r="G144" s="124">
        <v>148.53</v>
      </c>
      <c r="H144" s="124">
        <v>176.59</v>
      </c>
      <c r="I144" s="124">
        <v>61.55</v>
      </c>
      <c r="J144" s="125">
        <v>59.87</v>
      </c>
      <c r="L144" s="39">
        <f t="shared" si="32"/>
        <v>-4.746366063481702E-4</v>
      </c>
      <c r="M144" s="40">
        <f t="shared" si="24"/>
        <v>1.2702216896345144E-2</v>
      </c>
      <c r="N144" s="40">
        <f t="shared" si="25"/>
        <v>3.6558137252496728E-3</v>
      </c>
      <c r="O144" s="40">
        <f t="shared" si="26"/>
        <v>4.8922660560009688E-3</v>
      </c>
      <c r="P144" s="40">
        <f t="shared" si="27"/>
        <v>1.6524828554900455E-4</v>
      </c>
      <c r="Q144" s="40">
        <f t="shared" si="28"/>
        <v>-6.8868681465632598E-3</v>
      </c>
      <c r="R144" s="40">
        <f t="shared" si="29"/>
        <v>-1.6430878912777034E-2</v>
      </c>
      <c r="S144" s="40">
        <f t="shared" si="30"/>
        <v>1.5006596306068546E-2</v>
      </c>
      <c r="T144" s="41">
        <f t="shared" si="31"/>
        <v>1.3200203080047284E-2</v>
      </c>
      <c r="V144" s="39">
        <f t="shared" si="33"/>
        <v>-4.746366063481702E-4</v>
      </c>
      <c r="W144" s="40" cm="1">
        <f t="array" ref="W144">IF(M144="","",SUMPRODUCT(M144:T144,TRANSPOSE('04_Dashboard'!$C$53:$C$60)))</f>
        <v>3.1863487741105373E-3</v>
      </c>
      <c r="X144" s="42">
        <f t="shared" si="34"/>
        <v>1.1827712901640488</v>
      </c>
      <c r="Y144" s="118">
        <f t="shared" si="35"/>
        <v>1.145710054063851</v>
      </c>
      <c r="AA144" s="43">
        <f>IF(X144="","",X144/MAX($X$4:X144)-1)</f>
        <v>-3.3946900625035803E-2</v>
      </c>
      <c r="AB144" s="44">
        <f>IF(Y144="","",Y144/MAX($Y$4:Y144)-1)</f>
        <v>-2.4555899177456486E-2</v>
      </c>
    </row>
    <row r="145" spans="1:28" x14ac:dyDescent="0.45">
      <c r="A145" s="121">
        <v>45407</v>
      </c>
      <c r="B145" s="124">
        <v>503.49</v>
      </c>
      <c r="C145" s="124">
        <v>169.89</v>
      </c>
      <c r="D145" s="124">
        <v>399.04</v>
      </c>
      <c r="E145" s="124">
        <v>193.37</v>
      </c>
      <c r="F145" s="124">
        <v>121.33</v>
      </c>
      <c r="G145" s="124">
        <v>146.82</v>
      </c>
      <c r="H145" s="124">
        <v>173.67</v>
      </c>
      <c r="I145" s="124">
        <v>61.74</v>
      </c>
      <c r="J145" s="125">
        <v>60.21</v>
      </c>
      <c r="L145" s="39">
        <f t="shared" si="32"/>
        <v>-3.7988959458657642E-3</v>
      </c>
      <c r="M145" s="40">
        <f t="shared" si="24"/>
        <v>5.1473198438053251E-3</v>
      </c>
      <c r="N145" s="40">
        <f t="shared" si="25"/>
        <v>-2.4495184080574932E-2</v>
      </c>
      <c r="O145" s="40">
        <f t="shared" si="26"/>
        <v>1.5019680961259169E-3</v>
      </c>
      <c r="P145" s="40">
        <f t="shared" si="27"/>
        <v>2.3130937629078988E-3</v>
      </c>
      <c r="Q145" s="40">
        <f t="shared" si="28"/>
        <v>-1.1512825691779492E-2</v>
      </c>
      <c r="R145" s="40">
        <f t="shared" si="29"/>
        <v>-1.6535477660116746E-2</v>
      </c>
      <c r="S145" s="40">
        <f t="shared" si="30"/>
        <v>3.0869212022746522E-3</v>
      </c>
      <c r="T145" s="41">
        <f t="shared" si="31"/>
        <v>5.6789711040588515E-3</v>
      </c>
      <c r="V145" s="39">
        <f t="shared" si="33"/>
        <v>-3.7988959458657642E-3</v>
      </c>
      <c r="W145" s="40" cm="1">
        <f t="array" ref="W145">IF(M145="","",SUMPRODUCT(M145:T145,TRANSPOSE('04_Dashboard'!$C$53:$C$60)))</f>
        <v>-3.6510529073500927E-3</v>
      </c>
      <c r="X145" s="42">
        <f t="shared" si="34"/>
        <v>1.1782780651049582</v>
      </c>
      <c r="Y145" s="118">
        <f t="shared" si="35"/>
        <v>1.1415270060399809</v>
      </c>
      <c r="AA145" s="43">
        <f>IF(X145="","",X145/MAX($X$4:X145)-1)</f>
        <v>-3.7616835827742334E-2</v>
      </c>
      <c r="AB145" s="44">
        <f>IF(Y145="","",Y145/MAX($Y$4:Y145)-1)</f>
        <v>-2.8117297197722046E-2</v>
      </c>
    </row>
    <row r="146" spans="1:28" x14ac:dyDescent="0.45">
      <c r="A146" s="121">
        <v>45408</v>
      </c>
      <c r="B146" s="124">
        <v>508.26</v>
      </c>
      <c r="C146" s="124">
        <v>169.3</v>
      </c>
      <c r="D146" s="124">
        <v>406.32</v>
      </c>
      <c r="E146" s="124">
        <v>193.49</v>
      </c>
      <c r="F146" s="124">
        <v>117.96</v>
      </c>
      <c r="G146" s="124">
        <v>146.13999999999999</v>
      </c>
      <c r="H146" s="124">
        <v>179.62</v>
      </c>
      <c r="I146" s="124">
        <v>61.74</v>
      </c>
      <c r="J146" s="125">
        <v>60.16</v>
      </c>
      <c r="L146" s="39">
        <f t="shared" si="32"/>
        <v>9.4738723708514203E-3</v>
      </c>
      <c r="M146" s="40">
        <f t="shared" si="24"/>
        <v>-3.4728353640589502E-3</v>
      </c>
      <c r="N146" s="40">
        <f t="shared" si="25"/>
        <v>1.8243785084202015E-2</v>
      </c>
      <c r="O146" s="40">
        <f t="shared" si="26"/>
        <v>6.2057196049027531E-4</v>
      </c>
      <c r="P146" s="40">
        <f t="shared" si="27"/>
        <v>-2.777548833759173E-2</v>
      </c>
      <c r="Q146" s="40">
        <f t="shared" si="28"/>
        <v>-4.6315215910639343E-3</v>
      </c>
      <c r="R146" s="40">
        <f t="shared" si="29"/>
        <v>3.4260378879484181E-2</v>
      </c>
      <c r="S146" s="40">
        <f t="shared" si="30"/>
        <v>0</v>
      </c>
      <c r="T146" s="41">
        <f t="shared" si="31"/>
        <v>-8.304268393955201E-4</v>
      </c>
      <c r="V146" s="39">
        <f t="shared" si="33"/>
        <v>9.4738723708514203E-3</v>
      </c>
      <c r="W146" s="40" cm="1">
        <f t="array" ref="W146">IF(M146="","",SUMPRODUCT(M146:T146,TRANSPOSE('04_Dashboard'!$C$53:$C$60)))</f>
        <v>1.1082321896128185E-3</v>
      </c>
      <c r="X146" s="42">
        <f t="shared" si="34"/>
        <v>1.1894409211111363</v>
      </c>
      <c r="Y146" s="118">
        <f t="shared" si="35"/>
        <v>1.1427920830133866</v>
      </c>
      <c r="AA146" s="43">
        <f>IF(X146="","",X146/MAX($X$4:X146)-1)</f>
        <v>-2.8499340558518327E-2</v>
      </c>
      <c r="AB146" s="44">
        <f>IF(Y146="","",Y146/MAX($Y$4:Y146)-1)</f>
        <v>-2.7040225501948845E-2</v>
      </c>
    </row>
    <row r="147" spans="1:28" x14ac:dyDescent="0.45">
      <c r="A147" s="121">
        <v>45411</v>
      </c>
      <c r="B147" s="124">
        <v>510.06</v>
      </c>
      <c r="C147" s="124">
        <v>173.5</v>
      </c>
      <c r="D147" s="124">
        <v>402.25</v>
      </c>
      <c r="E147" s="124">
        <v>193.28</v>
      </c>
      <c r="F147" s="124">
        <v>119.64</v>
      </c>
      <c r="G147" s="124">
        <v>146.82</v>
      </c>
      <c r="H147" s="124">
        <v>180.96</v>
      </c>
      <c r="I147" s="124">
        <v>62.04</v>
      </c>
      <c r="J147" s="125">
        <v>60.24</v>
      </c>
      <c r="L147" s="39">
        <f t="shared" si="32"/>
        <v>3.5414945106835307E-3</v>
      </c>
      <c r="M147" s="40">
        <f t="shared" si="24"/>
        <v>2.4808033077377369E-2</v>
      </c>
      <c r="N147" s="40">
        <f t="shared" si="25"/>
        <v>-1.0016735577869643E-2</v>
      </c>
      <c r="O147" s="40">
        <f t="shared" si="26"/>
        <v>-1.0853274071011834E-3</v>
      </c>
      <c r="P147" s="40">
        <f t="shared" si="27"/>
        <v>1.4242115971515827E-2</v>
      </c>
      <c r="Q147" s="40">
        <f t="shared" si="28"/>
        <v>4.653072396332331E-3</v>
      </c>
      <c r="R147" s="40">
        <f t="shared" si="29"/>
        <v>7.4601937423449689E-3</v>
      </c>
      <c r="S147" s="40">
        <f t="shared" si="30"/>
        <v>4.8590864917395071E-3</v>
      </c>
      <c r="T147" s="41">
        <f t="shared" si="31"/>
        <v>1.3297872340426429E-3</v>
      </c>
      <c r="V147" s="39">
        <f t="shared" si="33"/>
        <v>3.5414945106835307E-3</v>
      </c>
      <c r="W147" s="40" cm="1">
        <f t="array" ref="W147">IF(M147="","",SUMPRODUCT(M147:T147,TRANSPOSE('04_Dashboard'!$C$53:$C$60)))</f>
        <v>3.6566801757556828E-3</v>
      </c>
      <c r="X147" s="42">
        <f t="shared" si="34"/>
        <v>1.1936533196040338</v>
      </c>
      <c r="Y147" s="118">
        <f t="shared" si="35"/>
        <v>1.1469709081683521</v>
      </c>
      <c r="AA147" s="43">
        <f>IF(X147="","",X147/MAX($X$4:X147)-1)</f>
        <v>-2.5058776305980857E-2</v>
      </c>
      <c r="AB147" s="44">
        <f>IF(Y147="","",Y147/MAX($Y$4:Y147)-1)</f>
        <v>-2.3482422782734158E-2</v>
      </c>
    </row>
    <row r="148" spans="1:28" x14ac:dyDescent="0.45">
      <c r="A148" s="121">
        <v>45412</v>
      </c>
      <c r="B148" s="124">
        <v>501.98</v>
      </c>
      <c r="C148" s="124">
        <v>170.33</v>
      </c>
      <c r="D148" s="124">
        <v>389.33</v>
      </c>
      <c r="E148" s="124">
        <v>191.74</v>
      </c>
      <c r="F148" s="124">
        <v>118.27</v>
      </c>
      <c r="G148" s="124">
        <v>144.59</v>
      </c>
      <c r="H148" s="124">
        <v>175</v>
      </c>
      <c r="I148" s="124">
        <v>61.77</v>
      </c>
      <c r="J148" s="125">
        <v>59.35</v>
      </c>
      <c r="L148" s="39">
        <f t="shared" si="32"/>
        <v>-1.5841273575657733E-2</v>
      </c>
      <c r="M148" s="40">
        <f t="shared" si="24"/>
        <v>-1.8270893371757854E-2</v>
      </c>
      <c r="N148" s="40">
        <f t="shared" si="25"/>
        <v>-3.2119328775637078E-2</v>
      </c>
      <c r="O148" s="40">
        <f t="shared" si="26"/>
        <v>-7.9677152317880386E-3</v>
      </c>
      <c r="P148" s="40">
        <f t="shared" si="27"/>
        <v>-1.1451019725844237E-2</v>
      </c>
      <c r="Q148" s="40">
        <f t="shared" si="28"/>
        <v>-1.5188666394224152E-2</v>
      </c>
      <c r="R148" s="40">
        <f t="shared" si="29"/>
        <v>-3.2935455349248494E-2</v>
      </c>
      <c r="S148" s="40">
        <f t="shared" si="30"/>
        <v>-4.3520309477755644E-3</v>
      </c>
      <c r="T148" s="41">
        <f t="shared" si="31"/>
        <v>-1.4774236387782214E-2</v>
      </c>
      <c r="V148" s="39">
        <f t="shared" si="33"/>
        <v>-1.5841273575657733E-2</v>
      </c>
      <c r="W148" s="40" cm="1">
        <f t="array" ref="W148">IF(M148="","",SUMPRODUCT(M148:T148,TRANSPOSE('04_Dashboard'!$C$53:$C$60)))</f>
        <v>-1.435898612243356E-2</v>
      </c>
      <c r="X148" s="42">
        <f t="shared" si="34"/>
        <v>1.1747443308136942</v>
      </c>
      <c r="Y148" s="118">
        <f t="shared" si="35"/>
        <v>1.1305015688151276</v>
      </c>
      <c r="AA148" s="43">
        <f>IF(X148="","",X148/MAX($X$4:X148)-1)</f>
        <v>-4.050308695070437E-2</v>
      </c>
      <c r="AB148" s="44">
        <f>IF(Y148="","",Y148/MAX($Y$4:Y148)-1)</f>
        <v>-3.7504225122309442E-2</v>
      </c>
    </row>
    <row r="149" spans="1:28" x14ac:dyDescent="0.45">
      <c r="A149" s="121">
        <v>45413</v>
      </c>
      <c r="B149" s="124">
        <v>500.35</v>
      </c>
      <c r="C149" s="124">
        <v>169.3</v>
      </c>
      <c r="D149" s="124">
        <v>394.94</v>
      </c>
      <c r="E149" s="124">
        <v>191.86</v>
      </c>
      <c r="F149" s="124">
        <v>116.03</v>
      </c>
      <c r="G149" s="124">
        <v>151.18</v>
      </c>
      <c r="H149" s="124">
        <v>179</v>
      </c>
      <c r="I149" s="124">
        <v>61.93</v>
      </c>
      <c r="J149" s="125">
        <v>58.85</v>
      </c>
      <c r="L149" s="39">
        <f t="shared" si="32"/>
        <v>-3.2471413203713204E-3</v>
      </c>
      <c r="M149" s="40">
        <f t="shared" si="24"/>
        <v>-6.0470850701579348E-3</v>
      </c>
      <c r="N149" s="40">
        <f t="shared" si="25"/>
        <v>1.4409369943235851E-2</v>
      </c>
      <c r="O149" s="40">
        <f t="shared" si="26"/>
        <v>6.2584750182541218E-4</v>
      </c>
      <c r="P149" s="40">
        <f t="shared" si="27"/>
        <v>-1.8939714213240848E-2</v>
      </c>
      <c r="Q149" s="40">
        <f t="shared" si="28"/>
        <v>4.557714918044127E-2</v>
      </c>
      <c r="R149" s="40">
        <f t="shared" si="29"/>
        <v>2.2857142857142857E-2</v>
      </c>
      <c r="S149" s="40">
        <f t="shared" si="30"/>
        <v>2.5902541686902473E-3</v>
      </c>
      <c r="T149" s="41">
        <f t="shared" si="31"/>
        <v>-8.4245998315080027E-3</v>
      </c>
      <c r="V149" s="39">
        <f t="shared" si="33"/>
        <v>-3.2471413203713204E-3</v>
      </c>
      <c r="W149" s="40" cm="1">
        <f t="array" ref="W149">IF(M149="","",SUMPRODUCT(M149:T149,TRANSPOSE('04_Dashboard'!$C$53:$C$60)))</f>
        <v>1.1573933838243608E-2</v>
      </c>
      <c r="X149" s="42">
        <f t="shared" si="34"/>
        <v>1.1709297699562371</v>
      </c>
      <c r="Y149" s="118">
        <f t="shared" si="35"/>
        <v>1.1435859191766247</v>
      </c>
      <c r="AA149" s="43">
        <f>IF(X149="","",X149/MAX($X$4:X149)-1)</f>
        <v>-4.3618709023835467E-2</v>
      </c>
      <c r="AB149" s="44">
        <f>IF(Y149="","",Y149/MAX($Y$4:Y149)-1)</f>
        <v>-2.6364362704285882E-2</v>
      </c>
    </row>
    <row r="150" spans="1:28" x14ac:dyDescent="0.45">
      <c r="A150" s="121">
        <v>45414</v>
      </c>
      <c r="B150" s="124">
        <v>505.03</v>
      </c>
      <c r="C150" s="124">
        <v>173.03</v>
      </c>
      <c r="D150" s="124">
        <v>397.84</v>
      </c>
      <c r="E150" s="124">
        <v>191.66</v>
      </c>
      <c r="F150" s="124">
        <v>116.24</v>
      </c>
      <c r="G150" s="124">
        <v>149.91999999999999</v>
      </c>
      <c r="H150" s="124">
        <v>184.72</v>
      </c>
      <c r="I150" s="124">
        <v>61.99</v>
      </c>
      <c r="J150" s="125">
        <v>59.71</v>
      </c>
      <c r="L150" s="39">
        <f t="shared" si="32"/>
        <v>9.353452583191665E-3</v>
      </c>
      <c r="M150" s="40">
        <f t="shared" si="24"/>
        <v>2.2031896042527994E-2</v>
      </c>
      <c r="N150" s="40">
        <f t="shared" si="25"/>
        <v>7.3428875272192667E-3</v>
      </c>
      <c r="O150" s="40">
        <f t="shared" si="26"/>
        <v>-1.0424267695195301E-3</v>
      </c>
      <c r="P150" s="40">
        <f t="shared" si="27"/>
        <v>1.8098767560113225E-3</v>
      </c>
      <c r="Q150" s="40">
        <f t="shared" si="28"/>
        <v>-8.3344357719276306E-3</v>
      </c>
      <c r="R150" s="40">
        <f t="shared" si="29"/>
        <v>3.1955307262569829E-2</v>
      </c>
      <c r="S150" s="40">
        <f t="shared" si="30"/>
        <v>9.6883578233493092E-4</v>
      </c>
      <c r="T150" s="41">
        <f t="shared" si="31"/>
        <v>1.4613423959218342E-2</v>
      </c>
      <c r="V150" s="39">
        <f t="shared" si="33"/>
        <v>9.353452583191665E-3</v>
      </c>
      <c r="W150" s="40" cm="1">
        <f t="array" ref="W150">IF(M150="","",SUMPRODUCT(M150:T150,TRANSPOSE('04_Dashboard'!$C$53:$C$60)))</f>
        <v>4.0943947334871351E-3</v>
      </c>
      <c r="X150" s="42">
        <f t="shared" si="34"/>
        <v>1.1818820060377704</v>
      </c>
      <c r="Y150" s="118">
        <f t="shared" si="35"/>
        <v>1.1482682113413913</v>
      </c>
      <c r="AA150" s="43">
        <f>IF(X150="","",X150/MAX($X$4:X150)-1)</f>
        <v>-3.46732419672382E-2</v>
      </c>
      <c r="AB150" s="44">
        <f>IF(Y150="","",Y150/MAX($Y$4:Y150)-1)</f>
        <v>-2.2377914078607009E-2</v>
      </c>
    </row>
    <row r="151" spans="1:28" x14ac:dyDescent="0.45">
      <c r="A151" s="121">
        <v>45415</v>
      </c>
      <c r="B151" s="124">
        <v>511.29</v>
      </c>
      <c r="C151" s="124">
        <v>183.38</v>
      </c>
      <c r="D151" s="124">
        <v>406.66</v>
      </c>
      <c r="E151" s="124">
        <v>190.51</v>
      </c>
      <c r="F151" s="124">
        <v>116</v>
      </c>
      <c r="G151" s="124">
        <v>149.27000000000001</v>
      </c>
      <c r="H151" s="124">
        <v>186.21</v>
      </c>
      <c r="I151" s="124">
        <v>62.17</v>
      </c>
      <c r="J151" s="125">
        <v>59.82</v>
      </c>
      <c r="L151" s="39">
        <f t="shared" si="32"/>
        <v>1.2395303249312017E-2</v>
      </c>
      <c r="M151" s="40">
        <f t="shared" si="24"/>
        <v>5.9816216841010197E-2</v>
      </c>
      <c r="N151" s="40">
        <f t="shared" si="25"/>
        <v>2.2169716468932361E-2</v>
      </c>
      <c r="O151" s="40">
        <f t="shared" si="26"/>
        <v>-6.0002087029114356E-3</v>
      </c>
      <c r="P151" s="40">
        <f t="shared" si="27"/>
        <v>-2.06469373709562E-3</v>
      </c>
      <c r="Q151" s="40">
        <f t="shared" si="28"/>
        <v>-4.3356456776946191E-3</v>
      </c>
      <c r="R151" s="40">
        <f t="shared" si="29"/>
        <v>8.0662624512776587E-3</v>
      </c>
      <c r="S151" s="40">
        <f t="shared" si="30"/>
        <v>2.9036941442168044E-3</v>
      </c>
      <c r="T151" s="41">
        <f t="shared" si="31"/>
        <v>1.8422374811589252E-3</v>
      </c>
      <c r="V151" s="39">
        <f t="shared" si="33"/>
        <v>1.2395303249312017E-2</v>
      </c>
      <c r="W151" s="40" cm="1">
        <f t="array" ref="W151">IF(M151="","",SUMPRODUCT(M151:T151,TRANSPOSE('04_Dashboard'!$C$53:$C$60)))</f>
        <v>3.4990312892748789E-3</v>
      </c>
      <c r="X151" s="42">
        <f t="shared" si="34"/>
        <v>1.1965317919075138</v>
      </c>
      <c r="Y151" s="118">
        <f t="shared" si="35"/>
        <v>1.1522860377413546</v>
      </c>
      <c r="AA151" s="43">
        <f>IF(X151="","",X151/MAX($X$4:X151)-1)</f>
        <v>-2.2707724066746815E-2</v>
      </c>
      <c r="AB151" s="44">
        <f>IF(Y151="","",Y151/MAX($Y$4:Y151)-1)</f>
        <v>-1.895718381088185E-2</v>
      </c>
    </row>
    <row r="152" spans="1:28" x14ac:dyDescent="0.45">
      <c r="A152" s="121">
        <v>45418</v>
      </c>
      <c r="B152" s="124">
        <v>516.57000000000005</v>
      </c>
      <c r="C152" s="124">
        <v>181.71</v>
      </c>
      <c r="D152" s="124">
        <v>413.54</v>
      </c>
      <c r="E152" s="124">
        <v>192</v>
      </c>
      <c r="F152" s="124">
        <v>116.75</v>
      </c>
      <c r="G152" s="124">
        <v>148.58000000000001</v>
      </c>
      <c r="H152" s="124">
        <v>188.7</v>
      </c>
      <c r="I152" s="124">
        <v>62.35</v>
      </c>
      <c r="J152" s="125">
        <v>59.87</v>
      </c>
      <c r="L152" s="39">
        <f t="shared" si="32"/>
        <v>1.0326820395470339E-2</v>
      </c>
      <c r="M152" s="40">
        <f t="shared" si="24"/>
        <v>-9.1067728214635595E-3</v>
      </c>
      <c r="N152" s="40">
        <f t="shared" si="25"/>
        <v>1.691831013623173E-2</v>
      </c>
      <c r="O152" s="40">
        <f t="shared" si="26"/>
        <v>7.8211117526639506E-3</v>
      </c>
      <c r="P152" s="40">
        <f t="shared" si="27"/>
        <v>6.4655172413793103E-3</v>
      </c>
      <c r="Q152" s="40">
        <f t="shared" si="28"/>
        <v>-4.6224961479198615E-3</v>
      </c>
      <c r="R152" s="40">
        <f t="shared" si="29"/>
        <v>1.3371999355566192E-2</v>
      </c>
      <c r="S152" s="40">
        <f t="shared" si="30"/>
        <v>2.8952871159723293E-3</v>
      </c>
      <c r="T152" s="41">
        <f t="shared" si="31"/>
        <v>8.3584085590098888E-4</v>
      </c>
      <c r="V152" s="39">
        <f t="shared" si="33"/>
        <v>1.0326820395470339E-2</v>
      </c>
      <c r="W152" s="40" cm="1">
        <f t="array" ref="W152">IF(M152="","",SUMPRODUCT(M152:T152,TRANSPOSE('04_Dashboard'!$C$53:$C$60)))</f>
        <v>3.2254944755028638E-3</v>
      </c>
      <c r="X152" s="42">
        <f t="shared" si="34"/>
        <v>1.2088881608200128</v>
      </c>
      <c r="Y152" s="118">
        <f t="shared" si="35"/>
        <v>1.1560027299902884</v>
      </c>
      <c r="AA152" s="43">
        <f>IF(X152="","",X152/MAX($X$4:X152)-1)</f>
        <v>-1.2615402259303798E-2</v>
      </c>
      <c r="AB152" s="44">
        <f>IF(Y152="","",Y152/MAX($Y$4:Y152)-1)</f>
        <v>-1.5792835627032153E-2</v>
      </c>
    </row>
    <row r="153" spans="1:28" x14ac:dyDescent="0.45">
      <c r="A153" s="121">
        <v>45419</v>
      </c>
      <c r="B153" s="124">
        <v>517.14</v>
      </c>
      <c r="C153" s="124">
        <v>182.4</v>
      </c>
      <c r="D153" s="124">
        <v>409.34</v>
      </c>
      <c r="E153" s="124">
        <v>191.75</v>
      </c>
      <c r="F153" s="124">
        <v>116.17</v>
      </c>
      <c r="G153" s="124">
        <v>148.72</v>
      </c>
      <c r="H153" s="124">
        <v>188.76</v>
      </c>
      <c r="I153" s="124">
        <v>62.62</v>
      </c>
      <c r="J153" s="125">
        <v>60.62</v>
      </c>
      <c r="L153" s="39">
        <f t="shared" si="32"/>
        <v>1.1034322550669538E-3</v>
      </c>
      <c r="M153" s="40">
        <f t="shared" si="24"/>
        <v>3.7972593693247356E-3</v>
      </c>
      <c r="N153" s="40">
        <f t="shared" si="25"/>
        <v>-1.0156212216472518E-2</v>
      </c>
      <c r="O153" s="40">
        <f t="shared" si="26"/>
        <v>-1.3020833333333333E-3</v>
      </c>
      <c r="P153" s="40">
        <f t="shared" si="27"/>
        <v>-4.9678800856530906E-3</v>
      </c>
      <c r="Q153" s="40">
        <f t="shared" si="28"/>
        <v>9.4225333153847321E-4</v>
      </c>
      <c r="R153" s="40">
        <f t="shared" si="29"/>
        <v>3.1796502384738888E-4</v>
      </c>
      <c r="S153" s="40">
        <f t="shared" si="30"/>
        <v>4.3303929430632878E-3</v>
      </c>
      <c r="T153" s="41">
        <f t="shared" si="31"/>
        <v>1.2527142141306164E-2</v>
      </c>
      <c r="V153" s="39">
        <f t="shared" si="33"/>
        <v>1.1034322550669538E-3</v>
      </c>
      <c r="W153" s="40" cm="1">
        <f t="array" ref="W153">IF(M153="","",SUMPRODUCT(M153:T153,TRANSPOSE('04_Dashboard'!$C$53:$C$60)))</f>
        <v>1.5564916262598507E-3</v>
      </c>
      <c r="X153" s="42">
        <f t="shared" si="34"/>
        <v>1.2102220870094302</v>
      </c>
      <c r="Y153" s="118">
        <f t="shared" si="35"/>
        <v>1.1578020385594519</v>
      </c>
      <c r="AA153" s="43">
        <f>IF(X153="","",X153/MAX($X$4:X153)-1)</f>
        <v>-1.152589024600037E-2</v>
      </c>
      <c r="AB153" s="44">
        <f>IF(Y153="","",Y153/MAX($Y$4:Y153)-1)</f>
        <v>-1.4260925417180603E-2</v>
      </c>
    </row>
    <row r="154" spans="1:28" x14ac:dyDescent="0.45">
      <c r="A154" s="121">
        <v>45420</v>
      </c>
      <c r="B154" s="124">
        <v>517.19000000000005</v>
      </c>
      <c r="C154" s="124">
        <v>182.74</v>
      </c>
      <c r="D154" s="124">
        <v>410.54</v>
      </c>
      <c r="E154" s="124">
        <v>195.65</v>
      </c>
      <c r="F154" s="124">
        <v>116.15</v>
      </c>
      <c r="G154" s="124">
        <v>148.94999999999999</v>
      </c>
      <c r="H154" s="124">
        <v>188</v>
      </c>
      <c r="I154" s="124">
        <v>62.85</v>
      </c>
      <c r="J154" s="125">
        <v>60.3</v>
      </c>
      <c r="L154" s="39">
        <f t="shared" si="32"/>
        <v>9.6685617047739903E-5</v>
      </c>
      <c r="M154" s="40">
        <f t="shared" si="24"/>
        <v>1.8640350877193168E-3</v>
      </c>
      <c r="N154" s="40">
        <f t="shared" si="25"/>
        <v>2.9315483461182525E-3</v>
      </c>
      <c r="O154" s="40">
        <f t="shared" si="26"/>
        <v>2.0338983050847487E-2</v>
      </c>
      <c r="P154" s="40">
        <f t="shared" si="27"/>
        <v>-1.7216148747521752E-4</v>
      </c>
      <c r="Q154" s="40">
        <f t="shared" si="28"/>
        <v>1.5465303926841701E-3</v>
      </c>
      <c r="R154" s="40">
        <f t="shared" si="29"/>
        <v>-4.0262767535494326E-3</v>
      </c>
      <c r="S154" s="40">
        <f t="shared" si="30"/>
        <v>3.6729479399553494E-3</v>
      </c>
      <c r="T154" s="41">
        <f t="shared" si="31"/>
        <v>-5.2787858792477781E-3</v>
      </c>
      <c r="V154" s="39">
        <f t="shared" si="33"/>
        <v>9.6685617047739903E-5</v>
      </c>
      <c r="W154" s="40" cm="1">
        <f t="array" ref="W154">IF(M154="","",SUMPRODUCT(M154:T154,TRANSPOSE('04_Dashboard'!$C$53:$C$60)))</f>
        <v>4.9591337489575055E-3</v>
      </c>
      <c r="X154" s="42">
        <f t="shared" si="34"/>
        <v>1.2103390980786775</v>
      </c>
      <c r="Y154" s="118">
        <f t="shared" si="35"/>
        <v>1.1635437337234837</v>
      </c>
      <c r="AA154" s="43">
        <f>IF(X154="","",X154/MAX($X$4:X154)-1)</f>
        <v>-1.1430319016763169E-2</v>
      </c>
      <c r="AB154" s="44">
        <f>IF(Y154="","",Y154/MAX($Y$4:Y154)-1)</f>
        <v>-9.372513504750879E-3</v>
      </c>
    </row>
    <row r="155" spans="1:28" x14ac:dyDescent="0.45">
      <c r="A155" s="121">
        <v>45421</v>
      </c>
      <c r="B155" s="124">
        <v>520.16999999999996</v>
      </c>
      <c r="C155" s="124">
        <v>184.57</v>
      </c>
      <c r="D155" s="124">
        <v>412.32</v>
      </c>
      <c r="E155" s="124">
        <v>197.5</v>
      </c>
      <c r="F155" s="124">
        <v>118.44</v>
      </c>
      <c r="G155" s="124">
        <v>149.85</v>
      </c>
      <c r="H155" s="124">
        <v>189.5</v>
      </c>
      <c r="I155" s="124">
        <v>62.88</v>
      </c>
      <c r="J155" s="125">
        <v>60.44</v>
      </c>
      <c r="L155" s="39">
        <f t="shared" si="32"/>
        <v>5.7619056826309564E-3</v>
      </c>
      <c r="M155" s="40">
        <f t="shared" si="24"/>
        <v>1.0014227864725752E-2</v>
      </c>
      <c r="N155" s="40">
        <f t="shared" si="25"/>
        <v>4.3357529108003423E-3</v>
      </c>
      <c r="O155" s="40">
        <f t="shared" si="26"/>
        <v>9.4556606184512861E-3</v>
      </c>
      <c r="P155" s="40">
        <f t="shared" si="27"/>
        <v>1.9715884631941384E-2</v>
      </c>
      <c r="Q155" s="40">
        <f t="shared" si="28"/>
        <v>6.0422960725075919E-3</v>
      </c>
      <c r="R155" s="40">
        <f t="shared" si="29"/>
        <v>7.9787234042553185E-3</v>
      </c>
      <c r="S155" s="40">
        <f t="shared" si="30"/>
        <v>4.7732696897376508E-4</v>
      </c>
      <c r="T155" s="41">
        <f t="shared" si="31"/>
        <v>2.3217247097844207E-3</v>
      </c>
      <c r="V155" s="39">
        <f t="shared" si="33"/>
        <v>5.7619056826309564E-3</v>
      </c>
      <c r="W155" s="40" cm="1">
        <f t="array" ref="W155">IF(M155="","",SUMPRODUCT(M155:T155,TRANSPOSE('04_Dashboard'!$C$53:$C$60)))</f>
        <v>6.490828757481827E-3</v>
      </c>
      <c r="X155" s="42">
        <f t="shared" si="34"/>
        <v>1.2173129578058075</v>
      </c>
      <c r="Y155" s="118">
        <f t="shared" si="35"/>
        <v>1.1710960968509239</v>
      </c>
      <c r="AA155" s="43">
        <f>IF(X155="","",X155/MAX($X$4:X155)-1)</f>
        <v>-5.73427375422908E-3</v>
      </c>
      <c r="AB155" s="44">
        <f>IF(Y155="","",Y155/MAX($Y$4:Y155)-1)</f>
        <v>-2.9425201274556612E-3</v>
      </c>
    </row>
    <row r="156" spans="1:28" x14ac:dyDescent="0.45">
      <c r="A156" s="121">
        <v>45422</v>
      </c>
      <c r="B156" s="124">
        <v>520.84</v>
      </c>
      <c r="C156" s="124">
        <v>183.05</v>
      </c>
      <c r="D156" s="124">
        <v>414.74</v>
      </c>
      <c r="E156" s="124">
        <v>198.77</v>
      </c>
      <c r="F156" s="124">
        <v>117.96</v>
      </c>
      <c r="G156" s="124">
        <v>149.91</v>
      </c>
      <c r="H156" s="124">
        <v>187.48</v>
      </c>
      <c r="I156" s="124">
        <v>63.26</v>
      </c>
      <c r="J156" s="125">
        <v>60.48</v>
      </c>
      <c r="L156" s="39">
        <f t="shared" si="32"/>
        <v>1.2880404483151138E-3</v>
      </c>
      <c r="M156" s="40">
        <f t="shared" si="24"/>
        <v>-8.2353578588068577E-3</v>
      </c>
      <c r="N156" s="40">
        <f t="shared" si="25"/>
        <v>5.8692277842452853E-3</v>
      </c>
      <c r="O156" s="40">
        <f t="shared" si="26"/>
        <v>6.4303797468354944E-3</v>
      </c>
      <c r="P156" s="40">
        <f t="shared" si="27"/>
        <v>-4.0526849037487676E-3</v>
      </c>
      <c r="Q156" s="40">
        <f t="shared" si="28"/>
        <v>4.004004004004156E-4</v>
      </c>
      <c r="R156" s="40">
        <f t="shared" si="29"/>
        <v>-1.0659630606860213E-2</v>
      </c>
      <c r="S156" s="40">
        <f t="shared" si="30"/>
        <v>6.0432569974553981E-3</v>
      </c>
      <c r="T156" s="41">
        <f t="shared" si="31"/>
        <v>6.6181336863003223E-4</v>
      </c>
      <c r="V156" s="39">
        <f t="shared" si="33"/>
        <v>1.2880404483151138E-3</v>
      </c>
      <c r="W156" s="40" cm="1">
        <f t="array" ref="W156">IF(M156="","",SUMPRODUCT(M156:T156,TRANSPOSE('04_Dashboard'!$C$53:$C$60)))</f>
        <v>1.5073411078895481E-3</v>
      </c>
      <c r="X156" s="42">
        <f t="shared" si="34"/>
        <v>1.2188809061337196</v>
      </c>
      <c r="Y156" s="118">
        <f t="shared" si="35"/>
        <v>1.1728613381389963</v>
      </c>
      <c r="AA156" s="43">
        <f>IF(X156="","",X156/MAX($X$4:X156)-1)</f>
        <v>-4.4536192824511378E-3</v>
      </c>
      <c r="AB156" s="44">
        <f>IF(Y156="","",Y156/MAX($Y$4:Y156)-1)</f>
        <v>-1.4396144011149525E-3</v>
      </c>
    </row>
    <row r="157" spans="1:28" x14ac:dyDescent="0.45">
      <c r="A157" s="121">
        <v>45425</v>
      </c>
      <c r="B157" s="124">
        <v>520.91</v>
      </c>
      <c r="C157" s="124">
        <v>186.28</v>
      </c>
      <c r="D157" s="124">
        <v>413.72</v>
      </c>
      <c r="E157" s="124">
        <v>198.73</v>
      </c>
      <c r="F157" s="124">
        <v>117.91</v>
      </c>
      <c r="G157" s="124">
        <v>151.22</v>
      </c>
      <c r="H157" s="124">
        <v>186.57</v>
      </c>
      <c r="I157" s="124">
        <v>63.58</v>
      </c>
      <c r="J157" s="125">
        <v>60.41</v>
      </c>
      <c r="L157" s="39">
        <f t="shared" si="32"/>
        <v>1.3439827970189756E-4</v>
      </c>
      <c r="M157" s="40">
        <f t="shared" si="24"/>
        <v>1.7645452062278008E-2</v>
      </c>
      <c r="N157" s="40">
        <f t="shared" si="25"/>
        <v>-2.4593721367603362E-3</v>
      </c>
      <c r="O157" s="40">
        <f t="shared" si="26"/>
        <v>-2.012376113096567E-4</v>
      </c>
      <c r="P157" s="40">
        <f t="shared" si="27"/>
        <v>-4.2387249915223094E-4</v>
      </c>
      <c r="Q157" s="40">
        <f t="shared" si="28"/>
        <v>8.7385764792208814E-3</v>
      </c>
      <c r="R157" s="40">
        <f t="shared" si="29"/>
        <v>-4.8538510774482433E-3</v>
      </c>
      <c r="S157" s="40">
        <f t="shared" si="30"/>
        <v>5.0584887764780319E-3</v>
      </c>
      <c r="T157" s="41">
        <f t="shared" si="31"/>
        <v>-1.1574074074074121E-3</v>
      </c>
      <c r="V157" s="39">
        <f t="shared" si="33"/>
        <v>1.3439827970189756E-4</v>
      </c>
      <c r="W157" s="40" cm="1">
        <f t="array" ref="W157">IF(M157="","",SUMPRODUCT(M157:T157,TRANSPOSE('04_Dashboard'!$C$53:$C$60)))</f>
        <v>3.0007781939624181E-3</v>
      </c>
      <c r="X157" s="42">
        <f t="shared" si="34"/>
        <v>1.2190447216306655</v>
      </c>
      <c r="Y157" s="118">
        <f t="shared" si="35"/>
        <v>1.1763808348670255</v>
      </c>
      <c r="AA157" s="43">
        <f>IF(X157="","",X157/MAX($X$4:X157)-1)</f>
        <v>-4.319819561519167E-3</v>
      </c>
      <c r="AB157" s="44">
        <f>IF(Y157="","",Y157/MAX($Y$4:Y157)-1)</f>
        <v>0</v>
      </c>
    </row>
    <row r="158" spans="1:28" x14ac:dyDescent="0.45">
      <c r="A158" s="121">
        <v>45426</v>
      </c>
      <c r="B158" s="124">
        <v>523.29999999999995</v>
      </c>
      <c r="C158" s="124">
        <v>187.43</v>
      </c>
      <c r="D158" s="124">
        <v>416.56</v>
      </c>
      <c r="E158" s="124">
        <v>201.51</v>
      </c>
      <c r="F158" s="124">
        <v>117.67</v>
      </c>
      <c r="G158" s="124">
        <v>151.38</v>
      </c>
      <c r="H158" s="124">
        <v>187.07</v>
      </c>
      <c r="I158" s="124">
        <v>63.1</v>
      </c>
      <c r="J158" s="125">
        <v>59.86</v>
      </c>
      <c r="L158" s="39">
        <f t="shared" si="32"/>
        <v>4.5881246280547244E-3</v>
      </c>
      <c r="M158" s="40">
        <f t="shared" si="24"/>
        <v>6.1735022546704193E-3</v>
      </c>
      <c r="N158" s="40">
        <f t="shared" si="25"/>
        <v>6.8645460698056049E-3</v>
      </c>
      <c r="O158" s="40">
        <f t="shared" si="26"/>
        <v>1.3988829064559963E-2</v>
      </c>
      <c r="P158" s="40">
        <f t="shared" si="27"/>
        <v>-2.0354507675345171E-3</v>
      </c>
      <c r="Q158" s="40">
        <f t="shared" si="28"/>
        <v>1.0580611030286773E-3</v>
      </c>
      <c r="R158" s="40">
        <f t="shared" si="29"/>
        <v>2.6799592646191777E-3</v>
      </c>
      <c r="S158" s="40">
        <f t="shared" si="30"/>
        <v>-7.5495438817237632E-3</v>
      </c>
      <c r="T158" s="41">
        <f t="shared" si="31"/>
        <v>-9.1044529051481082E-3</v>
      </c>
      <c r="V158" s="39">
        <f t="shared" si="33"/>
        <v>4.5881246280547244E-3</v>
      </c>
      <c r="W158" s="40" cm="1">
        <f t="array" ref="W158">IF(M158="","",SUMPRODUCT(M158:T158,TRANSPOSE('04_Dashboard'!$C$53:$C$60)))</f>
        <v>2.1552555126829833E-3</v>
      </c>
      <c r="X158" s="42">
        <f t="shared" si="34"/>
        <v>1.2246378507406794</v>
      </c>
      <c r="Y158" s="118">
        <f t="shared" si="35"/>
        <v>1.1789162361463872</v>
      </c>
      <c r="AA158" s="43">
        <f>IF(X158="","",X158/MAX($X$4:X158)-1)</f>
        <v>0</v>
      </c>
      <c r="AB158" s="44">
        <f>IF(Y158="","",Y158/MAX($Y$4:Y158)-1)</f>
        <v>0</v>
      </c>
    </row>
    <row r="159" spans="1:28" x14ac:dyDescent="0.45">
      <c r="A159" s="121">
        <v>45427</v>
      </c>
      <c r="B159" s="124">
        <v>529.78</v>
      </c>
      <c r="C159" s="124">
        <v>189.72</v>
      </c>
      <c r="D159" s="124">
        <v>423.08</v>
      </c>
      <c r="E159" s="124">
        <v>202.11</v>
      </c>
      <c r="F159" s="124">
        <v>118.58</v>
      </c>
      <c r="G159" s="124">
        <v>152.66999999999999</v>
      </c>
      <c r="H159" s="124">
        <v>185.99</v>
      </c>
      <c r="I159" s="124">
        <v>63.13</v>
      </c>
      <c r="J159" s="125">
        <v>59.83</v>
      </c>
      <c r="L159" s="39">
        <f t="shared" si="32"/>
        <v>1.2382954328301202E-2</v>
      </c>
      <c r="M159" s="40">
        <f t="shared" si="24"/>
        <v>1.2217894680680744E-2</v>
      </c>
      <c r="N159" s="40">
        <f t="shared" si="25"/>
        <v>1.5652006913769882E-2</v>
      </c>
      <c r="O159" s="40">
        <f t="shared" si="26"/>
        <v>2.977519726068298E-3</v>
      </c>
      <c r="P159" s="40">
        <f t="shared" si="27"/>
        <v>7.7334919690660031E-3</v>
      </c>
      <c r="Q159" s="40">
        <f t="shared" si="28"/>
        <v>8.5216012683313001E-3</v>
      </c>
      <c r="R159" s="40">
        <f t="shared" si="29"/>
        <v>-5.7732399636498859E-3</v>
      </c>
      <c r="S159" s="40">
        <f t="shared" si="30"/>
        <v>4.7543581616483577E-4</v>
      </c>
      <c r="T159" s="41">
        <f t="shared" si="31"/>
        <v>-5.0116939525561544E-4</v>
      </c>
      <c r="V159" s="39">
        <f t="shared" si="33"/>
        <v>1.2382954328301202E-2</v>
      </c>
      <c r="W159" s="40" cm="1">
        <f t="array" ref="W159">IF(M159="","",SUMPRODUCT(M159:T159,TRANSPOSE('04_Dashboard'!$C$53:$C$60)))</f>
        <v>4.4327792471496969E-3</v>
      </c>
      <c r="X159" s="42">
        <f t="shared" si="34"/>
        <v>1.2398024853151102</v>
      </c>
      <c r="Y159" s="118">
        <f t="shared" si="35"/>
        <v>1.1841421115721047</v>
      </c>
      <c r="AA159" s="43">
        <f>IF(X159="","",X159/MAX($X$4:X159)-1)</f>
        <v>0</v>
      </c>
      <c r="AB159" s="44">
        <f>IF(Y159="","",Y159/MAX($Y$4:Y159)-1)</f>
        <v>0</v>
      </c>
    </row>
    <row r="160" spans="1:28" x14ac:dyDescent="0.45">
      <c r="A160" s="121">
        <v>45428</v>
      </c>
      <c r="B160" s="124">
        <v>528.69000000000005</v>
      </c>
      <c r="C160" s="124">
        <v>189.84</v>
      </c>
      <c r="D160" s="124">
        <v>420.99</v>
      </c>
      <c r="E160" s="124">
        <v>202.47</v>
      </c>
      <c r="F160" s="124">
        <v>117.87</v>
      </c>
      <c r="G160" s="124">
        <v>154.28</v>
      </c>
      <c r="H160" s="124">
        <v>183.63</v>
      </c>
      <c r="I160" s="124">
        <v>63.32</v>
      </c>
      <c r="J160" s="125">
        <v>64.010000000000005</v>
      </c>
      <c r="L160" s="39">
        <f t="shared" si="32"/>
        <v>-2.057457812676806E-3</v>
      </c>
      <c r="M160" s="40">
        <f t="shared" si="24"/>
        <v>6.3251106894373049E-4</v>
      </c>
      <c r="N160" s="40">
        <f t="shared" si="25"/>
        <v>-4.9399640729885013E-3</v>
      </c>
      <c r="O160" s="40">
        <f t="shared" si="26"/>
        <v>1.7812082529314987E-3</v>
      </c>
      <c r="P160" s="40">
        <f t="shared" si="27"/>
        <v>-5.987518974531909E-3</v>
      </c>
      <c r="Q160" s="40">
        <f t="shared" si="28"/>
        <v>1.0545621274644749E-2</v>
      </c>
      <c r="R160" s="40">
        <f t="shared" si="29"/>
        <v>-1.2688854239475314E-2</v>
      </c>
      <c r="S160" s="40">
        <f t="shared" si="30"/>
        <v>3.0096626009820642E-3</v>
      </c>
      <c r="T160" s="41">
        <f t="shared" si="31"/>
        <v>6.9864616413170766E-2</v>
      </c>
      <c r="V160" s="39">
        <f t="shared" si="33"/>
        <v>-2.057457812676806E-3</v>
      </c>
      <c r="W160" s="40" cm="1">
        <f t="array" ref="W160">IF(M160="","",SUMPRODUCT(M160:T160,TRANSPOSE('04_Dashboard'!$C$53:$C$60)))</f>
        <v>1.156505872128029E-2</v>
      </c>
      <c r="X160" s="42">
        <f t="shared" si="34"/>
        <v>1.2372516440055223</v>
      </c>
      <c r="Y160" s="118">
        <f t="shared" si="35"/>
        <v>1.197836784626777</v>
      </c>
      <c r="AA160" s="43">
        <f>IF(X160="","",X160/MAX($X$4:X160)-1)</f>
        <v>-2.057457812676966E-3</v>
      </c>
      <c r="AB160" s="44">
        <f>IF(Y160="","",Y160/MAX($Y$4:Y160)-1)</f>
        <v>0</v>
      </c>
    </row>
    <row r="161" spans="1:28" x14ac:dyDescent="0.45">
      <c r="A161" s="121">
        <v>45429</v>
      </c>
      <c r="B161" s="124">
        <v>529.45000000000005</v>
      </c>
      <c r="C161" s="124">
        <v>189.87</v>
      </c>
      <c r="D161" s="124">
        <v>420.21</v>
      </c>
      <c r="E161" s="124">
        <v>204.79</v>
      </c>
      <c r="F161" s="124">
        <v>119.64</v>
      </c>
      <c r="G161" s="124">
        <v>154.63999999999999</v>
      </c>
      <c r="H161" s="124">
        <v>184.7</v>
      </c>
      <c r="I161" s="124">
        <v>63.03</v>
      </c>
      <c r="J161" s="125">
        <v>64.650000000000006</v>
      </c>
      <c r="L161" s="39">
        <f t="shared" si="32"/>
        <v>1.437515368174149E-3</v>
      </c>
      <c r="M161" s="40">
        <f t="shared" si="24"/>
        <v>1.5802781289507551E-4</v>
      </c>
      <c r="N161" s="40">
        <f t="shared" si="25"/>
        <v>-1.8527756003706253E-3</v>
      </c>
      <c r="O161" s="40">
        <f t="shared" si="26"/>
        <v>1.1458487677186709E-2</v>
      </c>
      <c r="P161" s="40">
        <f t="shared" si="27"/>
        <v>1.5016543649783626E-2</v>
      </c>
      <c r="Q161" s="40">
        <f t="shared" si="28"/>
        <v>2.3334197562871742E-3</v>
      </c>
      <c r="R161" s="40">
        <f t="shared" si="29"/>
        <v>5.8269345967434149E-3</v>
      </c>
      <c r="S161" s="40">
        <f t="shared" si="30"/>
        <v>-4.5799115603284771E-3</v>
      </c>
      <c r="T161" s="41">
        <f t="shared" si="31"/>
        <v>9.9984377441024921E-3</v>
      </c>
      <c r="V161" s="39">
        <f t="shared" si="33"/>
        <v>1.437515368174149E-3</v>
      </c>
      <c r="W161" s="40" cm="1">
        <f t="array" ref="W161">IF(M161="","",SUMPRODUCT(M161:T161,TRANSPOSE('04_Dashboard'!$C$53:$C$60)))</f>
        <v>5.0950265656660131E-3</v>
      </c>
      <c r="X161" s="42">
        <f t="shared" si="34"/>
        <v>1.239030212258079</v>
      </c>
      <c r="Y161" s="118">
        <f t="shared" si="35"/>
        <v>1.2039397948657824</v>
      </c>
      <c r="AA161" s="43">
        <f>IF(X161="","",X161/MAX($X$4:X161)-1)</f>
        <v>-6.2290007172793871E-4</v>
      </c>
      <c r="AB161" s="44">
        <f>IF(Y161="","",Y161/MAX($Y$4:Y161)-1)</f>
        <v>0</v>
      </c>
    </row>
    <row r="162" spans="1:28" x14ac:dyDescent="0.45">
      <c r="A162" s="121">
        <v>45432</v>
      </c>
      <c r="B162" s="124">
        <v>530.05999999999995</v>
      </c>
      <c r="C162" s="124">
        <v>191.04</v>
      </c>
      <c r="D162" s="124">
        <v>425.34</v>
      </c>
      <c r="E162" s="124">
        <v>195.58</v>
      </c>
      <c r="F162" s="124">
        <v>118.67</v>
      </c>
      <c r="G162" s="124">
        <v>151.27000000000001</v>
      </c>
      <c r="H162" s="124">
        <v>183.54</v>
      </c>
      <c r="I162" s="124">
        <v>62.57</v>
      </c>
      <c r="J162" s="125">
        <v>64.180000000000007</v>
      </c>
      <c r="L162" s="39">
        <f t="shared" si="32"/>
        <v>1.1521390121822645E-3</v>
      </c>
      <c r="M162" s="40">
        <f t="shared" si="24"/>
        <v>6.1621109179964577E-3</v>
      </c>
      <c r="N162" s="40">
        <f t="shared" si="25"/>
        <v>1.2208181623473967E-2</v>
      </c>
      <c r="O162" s="40">
        <f t="shared" si="26"/>
        <v>-4.4972899067337174E-2</v>
      </c>
      <c r="P162" s="40">
        <f t="shared" si="27"/>
        <v>-8.1076563022400433E-3</v>
      </c>
      <c r="Q162" s="40">
        <f t="shared" si="28"/>
        <v>-2.1792550439730836E-2</v>
      </c>
      <c r="R162" s="40">
        <f t="shared" si="29"/>
        <v>-6.2804547915538533E-3</v>
      </c>
      <c r="S162" s="40">
        <f t="shared" si="30"/>
        <v>-7.2981120101539088E-3</v>
      </c>
      <c r="T162" s="41">
        <f t="shared" si="31"/>
        <v>-7.269914926527437E-3</v>
      </c>
      <c r="V162" s="39">
        <f t="shared" si="33"/>
        <v>1.1521390121822645E-3</v>
      </c>
      <c r="W162" s="40" cm="1">
        <f t="array" ref="W162">IF(M162="","",SUMPRODUCT(M162:T162,TRANSPOSE('04_Dashboard'!$C$53:$C$60)))</f>
        <v>-1.75752273128888E-2</v>
      </c>
      <c r="X162" s="42">
        <f t="shared" si="34"/>
        <v>1.2404577473028939</v>
      </c>
      <c r="Y162" s="118">
        <f t="shared" si="35"/>
        <v>1.1827802792999835</v>
      </c>
      <c r="AA162" s="43">
        <f>IF(X162="","",X162/MAX($X$4:X162)-1)</f>
        <v>0</v>
      </c>
      <c r="AB162" s="44">
        <f>IF(Y162="","",Y162/MAX($Y$4:Y162)-1)</f>
        <v>-1.7575227312888853E-2</v>
      </c>
    </row>
    <row r="163" spans="1:28" x14ac:dyDescent="0.45">
      <c r="A163" s="121">
        <v>45433</v>
      </c>
      <c r="B163" s="124">
        <v>531.36</v>
      </c>
      <c r="C163" s="124">
        <v>192.35</v>
      </c>
      <c r="D163" s="124">
        <v>429.04</v>
      </c>
      <c r="E163" s="124">
        <v>199.52</v>
      </c>
      <c r="F163" s="124">
        <v>117.85</v>
      </c>
      <c r="G163" s="124">
        <v>151.24</v>
      </c>
      <c r="H163" s="124">
        <v>183.15</v>
      </c>
      <c r="I163" s="124">
        <v>62.91</v>
      </c>
      <c r="J163" s="125">
        <v>65.150000000000006</v>
      </c>
      <c r="L163" s="39">
        <f t="shared" si="32"/>
        <v>2.4525525412218774E-3</v>
      </c>
      <c r="M163" s="40">
        <f t="shared" si="24"/>
        <v>6.8572026800670137E-3</v>
      </c>
      <c r="N163" s="40">
        <f t="shared" si="25"/>
        <v>8.6989232143697883E-3</v>
      </c>
      <c r="O163" s="40">
        <f t="shared" si="26"/>
        <v>2.0145209121587061E-2</v>
      </c>
      <c r="P163" s="40">
        <f t="shared" si="27"/>
        <v>-6.9099182607230752E-3</v>
      </c>
      <c r="Q163" s="40">
        <f t="shared" si="28"/>
        <v>-1.9832088318900729E-4</v>
      </c>
      <c r="R163" s="40">
        <f t="shared" si="29"/>
        <v>-2.1248774109185265E-3</v>
      </c>
      <c r="S163" s="40">
        <f t="shared" si="30"/>
        <v>5.4339140163016829E-3</v>
      </c>
      <c r="T163" s="41">
        <f t="shared" si="31"/>
        <v>1.5113742598940461E-2</v>
      </c>
      <c r="V163" s="39">
        <f t="shared" si="33"/>
        <v>2.4525525412218774E-3</v>
      </c>
      <c r="W163" s="40" cm="1">
        <f t="array" ref="W163">IF(M163="","",SUMPRODUCT(M163:T163,TRANSPOSE('04_Dashboard'!$C$53:$C$60)))</f>
        <v>8.0567358338366462E-3</v>
      </c>
      <c r="X163" s="42">
        <f t="shared" si="34"/>
        <v>1.2435000351033199</v>
      </c>
      <c r="Y163" s="118">
        <f t="shared" si="35"/>
        <v>1.1923096275597749</v>
      </c>
      <c r="AA163" s="43">
        <f>IF(X163="","",X163/MAX($X$4:X163)-1)</f>
        <v>0</v>
      </c>
      <c r="AB163" s="44">
        <f>IF(Y163="","",Y163/MAX($Y$4:Y163)-1)</f>
        <v>-9.6600904427318612E-3</v>
      </c>
    </row>
    <row r="164" spans="1:28" x14ac:dyDescent="0.45">
      <c r="A164" s="121">
        <v>45434</v>
      </c>
      <c r="B164" s="124">
        <v>529.83000000000004</v>
      </c>
      <c r="C164" s="124">
        <v>190.9</v>
      </c>
      <c r="D164" s="124">
        <v>430.52</v>
      </c>
      <c r="E164" s="124">
        <v>198.31</v>
      </c>
      <c r="F164" s="124">
        <v>115.48</v>
      </c>
      <c r="G164" s="124">
        <v>153.5</v>
      </c>
      <c r="H164" s="124">
        <v>183.13</v>
      </c>
      <c r="I164" s="124">
        <v>63</v>
      </c>
      <c r="J164" s="125">
        <v>65.25</v>
      </c>
      <c r="L164" s="39">
        <f t="shared" si="32"/>
        <v>-2.8794037940378888E-3</v>
      </c>
      <c r="M164" s="40">
        <f t="shared" si="24"/>
        <v>-7.5383415648556731E-3</v>
      </c>
      <c r="N164" s="40">
        <f t="shared" si="25"/>
        <v>3.4495618124183321E-3</v>
      </c>
      <c r="O164" s="40">
        <f t="shared" si="26"/>
        <v>-6.0645549318364472E-3</v>
      </c>
      <c r="P164" s="40">
        <f t="shared" si="27"/>
        <v>-2.0110309715740265E-2</v>
      </c>
      <c r="Q164" s="40">
        <f t="shared" si="28"/>
        <v>1.4943136736313084E-2</v>
      </c>
      <c r="R164" s="40">
        <f t="shared" si="29"/>
        <v>-1.0920010920016506E-4</v>
      </c>
      <c r="S164" s="40">
        <f t="shared" si="30"/>
        <v>1.4306151645207981E-3</v>
      </c>
      <c r="T164" s="41">
        <f t="shared" si="31"/>
        <v>1.5349194167305342E-3</v>
      </c>
      <c r="V164" s="39">
        <f t="shared" si="33"/>
        <v>-2.8794037940378888E-3</v>
      </c>
      <c r="W164" s="40" cm="1">
        <f t="array" ref="W164">IF(M164="","",SUMPRODUCT(M164:T164,TRANSPOSE('04_Dashboard'!$C$53:$C$60)))</f>
        <v>1.3412909335423012E-3</v>
      </c>
      <c r="X164" s="42">
        <f t="shared" si="34"/>
        <v>1.2399194963843572</v>
      </c>
      <c r="Y164" s="118">
        <f t="shared" si="35"/>
        <v>1.1939088616531961</v>
      </c>
      <c r="AA164" s="43">
        <f>IF(X164="","",X164/MAX($X$4:X164)-1)</f>
        <v>-2.8794037940378381E-3</v>
      </c>
      <c r="AB164" s="44">
        <f>IF(Y164="","",Y164/MAX($Y$4:Y164)-1)</f>
        <v>-8.3317565009175532E-3</v>
      </c>
    </row>
    <row r="165" spans="1:28" x14ac:dyDescent="0.45">
      <c r="A165" s="121">
        <v>45435</v>
      </c>
      <c r="B165" s="124">
        <v>525.96</v>
      </c>
      <c r="C165" s="124">
        <v>186.88</v>
      </c>
      <c r="D165" s="124">
        <v>427</v>
      </c>
      <c r="E165" s="124">
        <v>196.92</v>
      </c>
      <c r="F165" s="124">
        <v>113.51</v>
      </c>
      <c r="G165" s="124">
        <v>149.69999999999999</v>
      </c>
      <c r="H165" s="124">
        <v>181.05</v>
      </c>
      <c r="I165" s="124">
        <v>62.09</v>
      </c>
      <c r="J165" s="125">
        <v>64.84</v>
      </c>
      <c r="L165" s="39">
        <f t="shared" si="32"/>
        <v>-7.3042296585697376E-3</v>
      </c>
      <c r="M165" s="40">
        <f t="shared" si="24"/>
        <v>-2.1058145625982242E-2</v>
      </c>
      <c r="N165" s="40">
        <f t="shared" si="25"/>
        <v>-8.1761590634581022E-3</v>
      </c>
      <c r="O165" s="40">
        <f t="shared" si="26"/>
        <v>-7.0092279764006598E-3</v>
      </c>
      <c r="P165" s="40">
        <f t="shared" si="27"/>
        <v>-1.7059231035677164E-2</v>
      </c>
      <c r="Q165" s="40">
        <f t="shared" si="28"/>
        <v>-2.4755700325732974E-2</v>
      </c>
      <c r="R165" s="40">
        <f t="shared" si="29"/>
        <v>-1.1358051657292548E-2</v>
      </c>
      <c r="S165" s="40">
        <f t="shared" si="30"/>
        <v>-1.444444444444439E-2</v>
      </c>
      <c r="T165" s="41">
        <f t="shared" si="31"/>
        <v>-6.2835249042145075E-3</v>
      </c>
      <c r="V165" s="39">
        <f t="shared" si="33"/>
        <v>-7.3042296585697376E-3</v>
      </c>
      <c r="W165" s="40" cm="1">
        <f t="array" ref="W165">IF(M165="","",SUMPRODUCT(M165:T165,TRANSPOSE('04_Dashboard'!$C$53:$C$60)))</f>
        <v>-1.3842587787946153E-2</v>
      </c>
      <c r="X165" s="42">
        <f t="shared" si="34"/>
        <v>1.2308628396246277</v>
      </c>
      <c r="Y165" s="118">
        <f t="shared" si="35"/>
        <v>1.1773820734249549</v>
      </c>
      <c r="AA165" s="43">
        <f>IF(X165="","",X165/MAX($X$4:X165)-1)</f>
        <v>-1.0162601626016121E-2</v>
      </c>
      <c r="AB165" s="44">
        <f>IF(Y165="","",Y165/MAX($Y$4:Y165)-1)</f>
        <v>-2.2059011218071856E-2</v>
      </c>
    </row>
    <row r="166" spans="1:28" x14ac:dyDescent="0.45">
      <c r="A166" s="121">
        <v>45436</v>
      </c>
      <c r="B166" s="124">
        <v>529.44000000000005</v>
      </c>
      <c r="C166" s="124">
        <v>189.98</v>
      </c>
      <c r="D166" s="124">
        <v>430.16</v>
      </c>
      <c r="E166" s="124">
        <v>200.71</v>
      </c>
      <c r="F166" s="124">
        <v>113.42</v>
      </c>
      <c r="G166" s="124">
        <v>146.97</v>
      </c>
      <c r="H166" s="124">
        <v>180.75</v>
      </c>
      <c r="I166" s="124">
        <v>62</v>
      </c>
      <c r="J166" s="125">
        <v>65.38</v>
      </c>
      <c r="L166" s="39">
        <f t="shared" si="32"/>
        <v>6.6164727355692791E-3</v>
      </c>
      <c r="M166" s="40">
        <f t="shared" si="24"/>
        <v>1.6588184931506818E-2</v>
      </c>
      <c r="N166" s="40">
        <f t="shared" si="25"/>
        <v>7.4004683840750004E-3</v>
      </c>
      <c r="O166" s="40">
        <f t="shared" si="26"/>
        <v>1.9246394474913775E-2</v>
      </c>
      <c r="P166" s="40">
        <f t="shared" si="27"/>
        <v>-7.9288168443311961E-4</v>
      </c>
      <c r="Q166" s="40">
        <f t="shared" si="28"/>
        <v>-1.8236472945891716E-2</v>
      </c>
      <c r="R166" s="40">
        <f t="shared" si="29"/>
        <v>-1.657000828500477E-3</v>
      </c>
      <c r="S166" s="40">
        <f t="shared" si="30"/>
        <v>-1.4495087775809857E-3</v>
      </c>
      <c r="T166" s="41">
        <f t="shared" si="31"/>
        <v>8.3281924737814931E-3</v>
      </c>
      <c r="V166" s="39">
        <f t="shared" si="33"/>
        <v>6.6164727355692791E-3</v>
      </c>
      <c r="W166" s="40" cm="1">
        <f t="array" ref="W166">IF(M166="","",SUMPRODUCT(M166:T166,TRANSPOSE('04_Dashboard'!$C$53:$C$60)))</f>
        <v>2.4337924391975019E-3</v>
      </c>
      <c r="X166" s="42">
        <f t="shared" si="34"/>
        <v>1.2390068100442295</v>
      </c>
      <c r="Y166" s="118">
        <f t="shared" si="35"/>
        <v>1.1802475770133032</v>
      </c>
      <c r="AA166" s="43">
        <f>IF(X166="","",X166/MAX($X$4:X166)-1)</f>
        <v>-3.6133694670278382E-3</v>
      </c>
      <c r="AB166" s="44">
        <f>IF(Y166="","",Y166/MAX($Y$4:Y166)-1)</f>
        <v>-1.9678905833593219E-2</v>
      </c>
    </row>
    <row r="167" spans="1:28" x14ac:dyDescent="0.45">
      <c r="A167" s="121">
        <v>45440</v>
      </c>
      <c r="B167" s="124">
        <v>529.80999999999995</v>
      </c>
      <c r="C167" s="124">
        <v>189.99</v>
      </c>
      <c r="D167" s="124">
        <v>430.32</v>
      </c>
      <c r="E167" s="124">
        <v>199.5</v>
      </c>
      <c r="F167" s="124">
        <v>114.86</v>
      </c>
      <c r="G167" s="124">
        <v>144.38</v>
      </c>
      <c r="H167" s="124">
        <v>182.15</v>
      </c>
      <c r="I167" s="124">
        <v>61.82</v>
      </c>
      <c r="J167" s="125">
        <v>65.040000000000006</v>
      </c>
      <c r="L167" s="39">
        <f t="shared" si="32"/>
        <v>6.988516168024532E-4</v>
      </c>
      <c r="M167" s="40">
        <f t="shared" si="24"/>
        <v>5.2637119696911926E-5</v>
      </c>
      <c r="N167" s="40">
        <f t="shared" si="25"/>
        <v>3.7195462153609855E-4</v>
      </c>
      <c r="O167" s="40">
        <f t="shared" si="26"/>
        <v>-6.0285984754123254E-3</v>
      </c>
      <c r="P167" s="40">
        <f t="shared" si="27"/>
        <v>1.2696173514371342E-2</v>
      </c>
      <c r="Q167" s="40">
        <f t="shared" si="28"/>
        <v>-1.7622644077022544E-2</v>
      </c>
      <c r="R167" s="40">
        <f t="shared" si="29"/>
        <v>7.7455048409405571E-3</v>
      </c>
      <c r="S167" s="40">
        <f t="shared" si="30"/>
        <v>-2.9032258064516083E-3</v>
      </c>
      <c r="T167" s="41">
        <f t="shared" si="31"/>
        <v>-5.2003670847352284E-3</v>
      </c>
      <c r="V167" s="39">
        <f t="shared" si="33"/>
        <v>6.988516168024532E-4</v>
      </c>
      <c r="W167" s="40" cm="1">
        <f t="array" ref="W167">IF(M167="","",SUMPRODUCT(M167:T167,TRANSPOSE('04_Dashboard'!$C$53:$C$60)))</f>
        <v>-5.5233287882853893E-3</v>
      </c>
      <c r="X167" s="42">
        <f t="shared" si="34"/>
        <v>1.2398726919566583</v>
      </c>
      <c r="Y167" s="118">
        <f t="shared" si="35"/>
        <v>1.1737286815938814</v>
      </c>
      <c r="AA167" s="43">
        <f>IF(X167="","",X167/MAX($X$4:X167)-1)</f>
        <v>-2.9170430593193908E-3</v>
      </c>
      <c r="AB167" s="44">
        <f>IF(Y167="","",Y167/MAX($Y$4:Y167)-1)</f>
        <v>-2.5093541554765952E-2</v>
      </c>
    </row>
    <row r="168" spans="1:28" x14ac:dyDescent="0.45">
      <c r="A168" s="121">
        <v>45441</v>
      </c>
      <c r="B168" s="124">
        <v>526.1</v>
      </c>
      <c r="C168" s="124">
        <v>190.29</v>
      </c>
      <c r="D168" s="124">
        <v>429.17</v>
      </c>
      <c r="E168" s="124">
        <v>198.11</v>
      </c>
      <c r="F168" s="124">
        <v>113.63</v>
      </c>
      <c r="G168" s="124">
        <v>144.44</v>
      </c>
      <c r="H168" s="124">
        <v>182.02</v>
      </c>
      <c r="I168" s="124">
        <v>61.7</v>
      </c>
      <c r="J168" s="125">
        <v>64.92</v>
      </c>
      <c r="L168" s="39">
        <f t="shared" si="32"/>
        <v>-7.0025103338931371E-3</v>
      </c>
      <c r="M168" s="40">
        <f t="shared" si="24"/>
        <v>1.5790304752880831E-3</v>
      </c>
      <c r="N168" s="40">
        <f t="shared" si="25"/>
        <v>-2.6724298196690306E-3</v>
      </c>
      <c r="O168" s="40">
        <f t="shared" si="26"/>
        <v>-6.9674185463658462E-3</v>
      </c>
      <c r="P168" s="40">
        <f t="shared" si="27"/>
        <v>-1.0708688838586139E-2</v>
      </c>
      <c r="Q168" s="40">
        <f t="shared" si="28"/>
        <v>4.1557002354898376E-4</v>
      </c>
      <c r="R168" s="40">
        <f t="shared" si="29"/>
        <v>-7.1369750205871785E-4</v>
      </c>
      <c r="S168" s="40">
        <f t="shared" si="30"/>
        <v>-1.9411193788417575E-3</v>
      </c>
      <c r="T168" s="41">
        <f t="shared" si="31"/>
        <v>-1.8450184501845716E-3</v>
      </c>
      <c r="V168" s="39">
        <f t="shared" si="33"/>
        <v>-7.0025103338931371E-3</v>
      </c>
      <c r="W168" s="40" cm="1">
        <f t="array" ref="W168">IF(M168="","",SUMPRODUCT(M168:T168,TRANSPOSE('04_Dashboard'!$C$53:$C$60)))</f>
        <v>-2.7613317327617095E-3</v>
      </c>
      <c r="X168" s="42">
        <f t="shared" si="34"/>
        <v>1.2311904706185199</v>
      </c>
      <c r="Y168" s="118">
        <f t="shared" si="35"/>
        <v>1.1704876273397438</v>
      </c>
      <c r="AA168" s="43">
        <f>IF(X168="","",X168/MAX($X$4:X168)-1)</f>
        <v>-9.8991267690452522E-3</v>
      </c>
      <c r="AB168" s="44">
        <f>IF(Y168="","",Y168/MAX($Y$4:Y168)-1)</f>
        <v>-2.778558169494505E-2</v>
      </c>
    </row>
    <row r="169" spans="1:28" x14ac:dyDescent="0.45">
      <c r="A169" s="121">
        <v>45442</v>
      </c>
      <c r="B169" s="124">
        <v>522.61</v>
      </c>
      <c r="C169" s="124">
        <v>191.29</v>
      </c>
      <c r="D169" s="124">
        <v>414.67</v>
      </c>
      <c r="E169" s="124">
        <v>199.33</v>
      </c>
      <c r="F169" s="124">
        <v>113.99</v>
      </c>
      <c r="G169" s="124">
        <v>145.28</v>
      </c>
      <c r="H169" s="124">
        <v>179.32</v>
      </c>
      <c r="I169" s="124">
        <v>61.97</v>
      </c>
      <c r="J169" s="125">
        <v>64.89</v>
      </c>
      <c r="L169" s="39">
        <f t="shared" si="32"/>
        <v>-6.6337198251283196E-3</v>
      </c>
      <c r="M169" s="40">
        <f t="shared" si="24"/>
        <v>5.2551368963161494E-3</v>
      </c>
      <c r="N169" s="40">
        <f t="shared" si="25"/>
        <v>-3.3786145350327375E-2</v>
      </c>
      <c r="O169" s="40">
        <f t="shared" si="26"/>
        <v>6.1581949422038198E-3</v>
      </c>
      <c r="P169" s="40">
        <f t="shared" si="27"/>
        <v>3.1681774179353997E-3</v>
      </c>
      <c r="Q169" s="40">
        <f t="shared" si="28"/>
        <v>5.8155635558017407E-3</v>
      </c>
      <c r="R169" s="40">
        <f t="shared" si="29"/>
        <v>-1.483353477639829E-2</v>
      </c>
      <c r="S169" s="40">
        <f t="shared" si="30"/>
        <v>4.3760129659642785E-3</v>
      </c>
      <c r="T169" s="41">
        <f t="shared" si="31"/>
        <v>-4.6210720887247591E-4</v>
      </c>
      <c r="V169" s="39">
        <f t="shared" si="33"/>
        <v>-6.6337198251283196E-3</v>
      </c>
      <c r="W169" s="40" cm="1">
        <f t="array" ref="W169">IF(M169="","",SUMPRODUCT(M169:T169,TRANSPOSE('04_Dashboard'!$C$53:$C$60)))</f>
        <v>4.4561065248965956E-4</v>
      </c>
      <c r="X169" s="42">
        <f t="shared" si="34"/>
        <v>1.2230230979850689</v>
      </c>
      <c r="Y169" s="118">
        <f t="shared" si="35"/>
        <v>1.1710092090950939</v>
      </c>
      <c r="AA169" s="43">
        <f>IF(X169="","",X169/MAX($X$4:X169)-1)</f>
        <v>-1.6467178560674145E-2</v>
      </c>
      <c r="AB169" s="44">
        <f>IF(Y169="","",Y169/MAX($Y$4:Y169)-1)</f>
        <v>-2.7352352593644214E-2</v>
      </c>
    </row>
    <row r="170" spans="1:28" x14ac:dyDescent="0.45">
      <c r="A170" s="121">
        <v>45443</v>
      </c>
      <c r="B170" s="124">
        <v>527.37</v>
      </c>
      <c r="C170" s="124">
        <v>192.25</v>
      </c>
      <c r="D170" s="124">
        <v>415.13</v>
      </c>
      <c r="E170" s="124">
        <v>202.63</v>
      </c>
      <c r="F170" s="124">
        <v>117.26</v>
      </c>
      <c r="G170" s="124">
        <v>146.66999999999999</v>
      </c>
      <c r="H170" s="124">
        <v>176.44</v>
      </c>
      <c r="I170" s="124">
        <v>62.93</v>
      </c>
      <c r="J170" s="125">
        <v>65.760000000000005</v>
      </c>
      <c r="L170" s="39">
        <f t="shared" si="32"/>
        <v>9.1081303457645098E-3</v>
      </c>
      <c r="M170" s="40">
        <f t="shared" si="24"/>
        <v>5.0185582100476132E-3</v>
      </c>
      <c r="N170" s="40">
        <f t="shared" si="25"/>
        <v>1.1093158415124787E-3</v>
      </c>
      <c r="O170" s="40">
        <f t="shared" si="26"/>
        <v>1.6555460793658671E-2</v>
      </c>
      <c r="P170" s="40">
        <f t="shared" si="27"/>
        <v>2.8686726905869028E-2</v>
      </c>
      <c r="Q170" s="40">
        <f t="shared" si="28"/>
        <v>9.5677312775329457E-3</v>
      </c>
      <c r="R170" s="40">
        <f t="shared" si="29"/>
        <v>-1.6060673656033881E-2</v>
      </c>
      <c r="S170" s="40">
        <f t="shared" si="30"/>
        <v>1.5491366790382457E-2</v>
      </c>
      <c r="T170" s="41">
        <f t="shared" si="31"/>
        <v>1.3407304669440661E-2</v>
      </c>
      <c r="V170" s="39">
        <f t="shared" si="33"/>
        <v>9.1081303457645098E-3</v>
      </c>
      <c r="W170" s="40" cm="1">
        <f t="array" ref="W170">IF(M170="","",SUMPRODUCT(M170:T170,TRANSPOSE('04_Dashboard'!$C$53:$C$60)))</f>
        <v>1.0824687063885266E-2</v>
      </c>
      <c r="X170" s="42">
        <f t="shared" si="34"/>
        <v>1.2341625517773978</v>
      </c>
      <c r="Y170" s="118">
        <f t="shared" si="35"/>
        <v>1.183685017332476</v>
      </c>
      <c r="AA170" s="43">
        <f>IF(X170="","",X170/MAX($X$4:X170)-1)</f>
        <v>-7.5090334236671552E-3</v>
      </c>
      <c r="AB170" s="44">
        <f>IF(Y170="","",Y170/MAX($Y$4:Y170)-1)</f>
        <v>-1.6823746187046185E-2</v>
      </c>
    </row>
    <row r="171" spans="1:28" x14ac:dyDescent="0.45">
      <c r="A171" s="121">
        <v>45446</v>
      </c>
      <c r="B171" s="124">
        <v>527.79999999999995</v>
      </c>
      <c r="C171" s="124">
        <v>194.03</v>
      </c>
      <c r="D171" s="124">
        <v>413.52</v>
      </c>
      <c r="E171" s="124">
        <v>201.82</v>
      </c>
      <c r="F171" s="124">
        <v>114.45</v>
      </c>
      <c r="G171" s="124">
        <v>147.74</v>
      </c>
      <c r="H171" s="124">
        <v>178.34</v>
      </c>
      <c r="I171" s="124">
        <v>62.93</v>
      </c>
      <c r="J171" s="125">
        <v>65.819999999999993</v>
      </c>
      <c r="L171" s="39">
        <f t="shared" si="32"/>
        <v>8.1536682025892631E-4</v>
      </c>
      <c r="M171" s="40">
        <f t="shared" si="24"/>
        <v>9.2587776332899926E-3</v>
      </c>
      <c r="N171" s="40">
        <f t="shared" si="25"/>
        <v>-3.8783031821357492E-3</v>
      </c>
      <c r="O171" s="40">
        <f t="shared" si="26"/>
        <v>-3.9974337462369948E-3</v>
      </c>
      <c r="P171" s="40">
        <f t="shared" si="27"/>
        <v>-2.3963841037011786E-2</v>
      </c>
      <c r="Q171" s="40">
        <f t="shared" si="28"/>
        <v>7.295288743437797E-3</v>
      </c>
      <c r="R171" s="40">
        <f t="shared" si="29"/>
        <v>1.0768533212423518E-2</v>
      </c>
      <c r="S171" s="40">
        <f t="shared" si="30"/>
        <v>0</v>
      </c>
      <c r="T171" s="41">
        <f t="shared" si="31"/>
        <v>9.1240875912390596E-4</v>
      </c>
      <c r="V171" s="39">
        <f t="shared" si="33"/>
        <v>8.1536682025892631E-4</v>
      </c>
      <c r="W171" s="40" cm="1">
        <f t="array" ref="W171">IF(M171="","",SUMPRODUCT(M171:T171,TRANSPOSE('04_Dashboard'!$C$53:$C$60)))</f>
        <v>7.5860310840598195E-4</v>
      </c>
      <c r="X171" s="42">
        <f t="shared" si="34"/>
        <v>1.235168846972923</v>
      </c>
      <c r="Y171" s="118">
        <f t="shared" si="35"/>
        <v>1.184582964465998</v>
      </c>
      <c r="AA171" s="43">
        <f>IF(X171="","",X171/MAX($X$4:X171)-1)</f>
        <v>-6.6997892201142717E-3</v>
      </c>
      <c r="AB171" s="44">
        <f>IF(Y171="","",Y171/MAX($Y$4:Y171)-1)</f>
        <v>-1.6077905624792721E-2</v>
      </c>
    </row>
    <row r="172" spans="1:28" x14ac:dyDescent="0.45">
      <c r="A172" s="121">
        <v>45447</v>
      </c>
      <c r="B172" s="124">
        <v>528.39</v>
      </c>
      <c r="C172" s="124">
        <v>194.35</v>
      </c>
      <c r="D172" s="124">
        <v>416.07</v>
      </c>
      <c r="E172" s="124">
        <v>199.16</v>
      </c>
      <c r="F172" s="124">
        <v>112.67</v>
      </c>
      <c r="G172" s="124">
        <v>147.80000000000001</v>
      </c>
      <c r="H172" s="124">
        <v>179.34</v>
      </c>
      <c r="I172" s="124">
        <v>63.94</v>
      </c>
      <c r="J172" s="125">
        <v>66.599999999999994</v>
      </c>
      <c r="L172" s="39">
        <f t="shared" si="32"/>
        <v>1.1178476695718679E-3</v>
      </c>
      <c r="M172" s="40">
        <f t="shared" si="24"/>
        <v>1.6492295005926566E-3</v>
      </c>
      <c r="N172" s="40">
        <f t="shared" si="25"/>
        <v>6.1665699361578919E-3</v>
      </c>
      <c r="O172" s="40">
        <f t="shared" si="26"/>
        <v>-1.3180061440887904E-2</v>
      </c>
      <c r="P172" s="40">
        <f t="shared" si="27"/>
        <v>-1.5552643075578866E-2</v>
      </c>
      <c r="Q172" s="40">
        <f t="shared" si="28"/>
        <v>4.0611885745229641E-4</v>
      </c>
      <c r="R172" s="40">
        <f t="shared" si="29"/>
        <v>5.6072670180554E-3</v>
      </c>
      <c r="S172" s="40">
        <f t="shared" si="30"/>
        <v>1.6049578897187319E-2</v>
      </c>
      <c r="T172" s="41">
        <f t="shared" si="31"/>
        <v>1.1850501367365561E-2</v>
      </c>
      <c r="V172" s="39">
        <f t="shared" si="33"/>
        <v>1.1178476695718679E-3</v>
      </c>
      <c r="W172" s="40" cm="1">
        <f t="array" ref="W172">IF(M172="","",SUMPRODUCT(M172:T172,TRANSPOSE('04_Dashboard'!$C$53:$C$60)))</f>
        <v>9.9309935958745974E-4</v>
      </c>
      <c r="X172" s="42">
        <f t="shared" si="34"/>
        <v>1.2365495775900395</v>
      </c>
      <c r="Y172" s="118">
        <f t="shared" si="35"/>
        <v>1.1857593730493874</v>
      </c>
      <c r="AA172" s="43">
        <f>IF(X172="","",X172/MAX($X$4:X172)-1)</f>
        <v>-5.5894308943086335E-3</v>
      </c>
      <c r="AB172" s="44">
        <f>IF(Y172="","",Y172/MAX($Y$4:Y172)-1)</f>
        <v>-1.5100773222984754E-2</v>
      </c>
    </row>
    <row r="173" spans="1:28" x14ac:dyDescent="0.45">
      <c r="A173" s="121">
        <v>45448</v>
      </c>
      <c r="B173" s="124">
        <v>534.66999999999996</v>
      </c>
      <c r="C173" s="124">
        <v>195.87</v>
      </c>
      <c r="D173" s="124">
        <v>424.01</v>
      </c>
      <c r="E173" s="124">
        <v>197.26</v>
      </c>
      <c r="F173" s="124">
        <v>113.12</v>
      </c>
      <c r="G173" s="124">
        <v>145.97</v>
      </c>
      <c r="H173" s="124">
        <v>181.28</v>
      </c>
      <c r="I173" s="124">
        <v>63.92</v>
      </c>
      <c r="J173" s="125">
        <v>67.09</v>
      </c>
      <c r="L173" s="39">
        <f t="shared" si="32"/>
        <v>1.1885160582145712E-2</v>
      </c>
      <c r="M173" s="40">
        <f t="shared" si="24"/>
        <v>7.8209416002058673E-3</v>
      </c>
      <c r="N173" s="40">
        <f t="shared" si="25"/>
        <v>1.9083327324729008E-2</v>
      </c>
      <c r="O173" s="40">
        <f t="shared" si="26"/>
        <v>-9.5400682868046083E-3</v>
      </c>
      <c r="P173" s="40">
        <f t="shared" si="27"/>
        <v>3.9939646756013388E-3</v>
      </c>
      <c r="Q173" s="40">
        <f t="shared" si="28"/>
        <v>-1.2381596752368149E-2</v>
      </c>
      <c r="R173" s="40">
        <f t="shared" si="29"/>
        <v>1.0817441730790665E-2</v>
      </c>
      <c r="S173" s="40">
        <f t="shared" si="30"/>
        <v>-3.127932436658746E-4</v>
      </c>
      <c r="T173" s="41">
        <f t="shared" si="31"/>
        <v>7.3573573573574944E-3</v>
      </c>
      <c r="V173" s="39">
        <f t="shared" si="33"/>
        <v>1.1885160582145712E-2</v>
      </c>
      <c r="W173" s="40" cm="1">
        <f t="array" ref="W173">IF(M173="","",SUMPRODUCT(M173:T173,TRANSPOSE('04_Dashboard'!$C$53:$C$60)))</f>
        <v>-1.5041566108693518E-3</v>
      </c>
      <c r="X173" s="42">
        <f t="shared" si="34"/>
        <v>1.2512461678874816</v>
      </c>
      <c r="Y173" s="118">
        <f t="shared" si="35"/>
        <v>1.1839758052495148</v>
      </c>
      <c r="AA173" s="43">
        <f>IF(X173="","",X173/MAX($X$4:X173)-1)</f>
        <v>0</v>
      </c>
      <c r="AB173" s="44">
        <f>IF(Y173="","",Y173/MAX($Y$4:Y173)-1)</f>
        <v>-1.6582215905981523E-2</v>
      </c>
    </row>
    <row r="174" spans="1:28" x14ac:dyDescent="0.45">
      <c r="A174" s="121">
        <v>45449</v>
      </c>
      <c r="B174" s="124">
        <v>534.66</v>
      </c>
      <c r="C174" s="124">
        <v>194.48</v>
      </c>
      <c r="D174" s="124">
        <v>424.52</v>
      </c>
      <c r="E174" s="124">
        <v>196.91</v>
      </c>
      <c r="F174" s="124">
        <v>113.97</v>
      </c>
      <c r="G174" s="124">
        <v>146.41999999999999</v>
      </c>
      <c r="H174" s="124">
        <v>185</v>
      </c>
      <c r="I174" s="124">
        <v>64.150000000000006</v>
      </c>
      <c r="J174" s="125">
        <v>67.150000000000006</v>
      </c>
      <c r="L174" s="39">
        <f t="shared" si="32"/>
        <v>-1.8703125292219325E-5</v>
      </c>
      <c r="M174" s="40">
        <f t="shared" si="24"/>
        <v>-7.0965436258743795E-3</v>
      </c>
      <c r="N174" s="40">
        <f t="shared" si="25"/>
        <v>1.2028018207117543E-3</v>
      </c>
      <c r="O174" s="40">
        <f t="shared" si="26"/>
        <v>-1.7743080198722211E-3</v>
      </c>
      <c r="P174" s="40">
        <f t="shared" si="27"/>
        <v>7.5141442715699639E-3</v>
      </c>
      <c r="Q174" s="40">
        <f t="shared" si="28"/>
        <v>3.0828252380625375E-3</v>
      </c>
      <c r="R174" s="40">
        <f t="shared" si="29"/>
        <v>2.0520741394527794E-2</v>
      </c>
      <c r="S174" s="40">
        <f t="shared" si="30"/>
        <v>3.5982478097622648E-3</v>
      </c>
      <c r="T174" s="41">
        <f t="shared" si="31"/>
        <v>8.9432106126102653E-4</v>
      </c>
      <c r="V174" s="39">
        <f t="shared" si="33"/>
        <v>-1.8703125292219325E-5</v>
      </c>
      <c r="W174" s="40" cm="1">
        <f t="array" ref="W174">IF(M174="","",SUMPRODUCT(M174:T174,TRANSPOSE('04_Dashboard'!$C$53:$C$60)))</f>
        <v>2.512620338395576E-3</v>
      </c>
      <c r="X174" s="42">
        <f t="shared" si="34"/>
        <v>1.2512227656736321</v>
      </c>
      <c r="Y174" s="118">
        <f t="shared" si="35"/>
        <v>1.1869506869379531</v>
      </c>
      <c r="AA174" s="43">
        <f>IF(X174="","",X174/MAX($X$4:X174)-1)</f>
        <v>-1.870312529228535E-5</v>
      </c>
      <c r="AB174" s="44">
        <f>IF(Y174="","",Y174/MAX($Y$4:Y174)-1)</f>
        <v>-1.4111260380526902E-2</v>
      </c>
    </row>
    <row r="175" spans="1:28" x14ac:dyDescent="0.45">
      <c r="A175" s="121">
        <v>45450</v>
      </c>
      <c r="B175" s="124">
        <v>534.01</v>
      </c>
      <c r="C175" s="124">
        <v>196.89</v>
      </c>
      <c r="D175" s="124">
        <v>423.85</v>
      </c>
      <c r="E175" s="124">
        <v>199.95</v>
      </c>
      <c r="F175" s="124">
        <v>112.75</v>
      </c>
      <c r="G175" s="124">
        <v>147.08000000000001</v>
      </c>
      <c r="H175" s="124">
        <v>184.3</v>
      </c>
      <c r="I175" s="124">
        <v>63.91</v>
      </c>
      <c r="J175" s="125">
        <v>65.88</v>
      </c>
      <c r="L175" s="39">
        <f t="shared" si="32"/>
        <v>-1.2157258818688088E-3</v>
      </c>
      <c r="M175" s="40">
        <f t="shared" si="24"/>
        <v>1.2392019744960904E-2</v>
      </c>
      <c r="N175" s="40">
        <f t="shared" si="25"/>
        <v>-1.5782530858380267E-3</v>
      </c>
      <c r="O175" s="40">
        <f t="shared" si="26"/>
        <v>1.5438525214564989E-2</v>
      </c>
      <c r="P175" s="40">
        <f t="shared" si="27"/>
        <v>-1.0704571378432911E-2</v>
      </c>
      <c r="Q175" s="40">
        <f t="shared" si="28"/>
        <v>4.5075809315668972E-3</v>
      </c>
      <c r="R175" s="40">
        <f t="shared" si="29"/>
        <v>-3.7837837837837222E-3</v>
      </c>
      <c r="S175" s="40">
        <f t="shared" si="30"/>
        <v>-3.7412314886985047E-3</v>
      </c>
      <c r="T175" s="41">
        <f t="shared" si="31"/>
        <v>-1.8912881608339691E-2</v>
      </c>
      <c r="V175" s="39">
        <f t="shared" si="33"/>
        <v>-1.2157258818688088E-3</v>
      </c>
      <c r="W175" s="40" cm="1">
        <f t="array" ref="W175">IF(M175="","",SUMPRODUCT(M175:T175,TRANSPOSE('04_Dashboard'!$C$53:$C$60)))</f>
        <v>1.3393511899815786E-3</v>
      </c>
      <c r="X175" s="42">
        <f t="shared" si="34"/>
        <v>1.2497016217734191</v>
      </c>
      <c r="Y175" s="118">
        <f t="shared" si="35"/>
        <v>1.1885404307529528</v>
      </c>
      <c r="AA175" s="43">
        <f>IF(X175="","",X175/MAX($X$4:X175)-1)</f>
        <v>-1.2344062692876134E-3</v>
      </c>
      <c r="AB175" s="44">
        <f>IF(Y175="","",Y175/MAX($Y$4:Y175)-1)</f>
        <v>-1.2790809123928271E-2</v>
      </c>
    </row>
    <row r="176" spans="1:28" x14ac:dyDescent="0.45">
      <c r="A176" s="121">
        <v>45453</v>
      </c>
      <c r="B176" s="124">
        <v>535.66</v>
      </c>
      <c r="C176" s="124">
        <v>193.12</v>
      </c>
      <c r="D176" s="124">
        <v>427.87</v>
      </c>
      <c r="E176" s="124">
        <v>199.61</v>
      </c>
      <c r="F176" s="124">
        <v>113.08</v>
      </c>
      <c r="G176" s="124">
        <v>147.13</v>
      </c>
      <c r="H176" s="124">
        <v>187.06</v>
      </c>
      <c r="I176" s="124">
        <v>63.59</v>
      </c>
      <c r="J176" s="125">
        <v>66.959999999999994</v>
      </c>
      <c r="L176" s="39">
        <f t="shared" si="32"/>
        <v>3.0898297784685254E-3</v>
      </c>
      <c r="M176" s="40">
        <f t="shared" si="24"/>
        <v>-1.9147747473208299E-2</v>
      </c>
      <c r="N176" s="40">
        <f t="shared" si="25"/>
        <v>9.4844874365930913E-3</v>
      </c>
      <c r="O176" s="40">
        <f t="shared" si="26"/>
        <v>-1.7004251062764442E-3</v>
      </c>
      <c r="P176" s="40">
        <f t="shared" si="27"/>
        <v>2.9268292682926677E-3</v>
      </c>
      <c r="Q176" s="40">
        <f t="shared" si="28"/>
        <v>3.3995104704910892E-4</v>
      </c>
      <c r="R176" s="40">
        <f t="shared" si="29"/>
        <v>1.4975583288117151E-2</v>
      </c>
      <c r="S176" s="40">
        <f t="shared" si="30"/>
        <v>-5.0070411516193588E-3</v>
      </c>
      <c r="T176" s="41">
        <f t="shared" si="31"/>
        <v>1.6393442622950796E-2</v>
      </c>
      <c r="V176" s="39">
        <f t="shared" si="33"/>
        <v>3.0898297784685254E-3</v>
      </c>
      <c r="W176" s="40" cm="1">
        <f t="array" ref="W176">IF(M176="","",SUMPRODUCT(M176:T176,TRANSPOSE('04_Dashboard'!$C$53:$C$60)))</f>
        <v>2.1093285319314253E-3</v>
      </c>
      <c r="X176" s="42">
        <f t="shared" si="34"/>
        <v>1.2535629870585749</v>
      </c>
      <c r="Y176" s="118">
        <f t="shared" si="35"/>
        <v>1.191047452994894</v>
      </c>
      <c r="AA176" s="43">
        <f>IF(X176="","",X176/MAX($X$4:X176)-1)</f>
        <v>0</v>
      </c>
      <c r="AB176" s="44">
        <f>IF(Y176="","",Y176/MAX($Y$4:Y176)-1)</f>
        <v>-1.0708460610628467E-2</v>
      </c>
    </row>
    <row r="177" spans="1:28" x14ac:dyDescent="0.45">
      <c r="A177" s="121">
        <v>45454</v>
      </c>
      <c r="B177" s="124">
        <v>536.95000000000005</v>
      </c>
      <c r="C177" s="124">
        <v>207.15</v>
      </c>
      <c r="D177" s="124">
        <v>432.68</v>
      </c>
      <c r="E177" s="124">
        <v>194.36</v>
      </c>
      <c r="F177" s="124">
        <v>112.17</v>
      </c>
      <c r="G177" s="124">
        <v>146.76</v>
      </c>
      <c r="H177" s="124">
        <v>187.23</v>
      </c>
      <c r="I177" s="124">
        <v>63.55</v>
      </c>
      <c r="J177" s="125">
        <v>66.73</v>
      </c>
      <c r="L177" s="39">
        <f t="shared" si="32"/>
        <v>2.4082440353957314E-3</v>
      </c>
      <c r="M177" s="40">
        <f t="shared" si="24"/>
        <v>7.2649130074565041E-2</v>
      </c>
      <c r="N177" s="40">
        <f t="shared" si="25"/>
        <v>1.1241732301867395E-2</v>
      </c>
      <c r="O177" s="40">
        <f t="shared" si="26"/>
        <v>-2.6301287510645758E-2</v>
      </c>
      <c r="P177" s="40">
        <f t="shared" si="27"/>
        <v>-8.0474000707463442E-3</v>
      </c>
      <c r="Q177" s="40">
        <f t="shared" si="28"/>
        <v>-2.5147828451030012E-3</v>
      </c>
      <c r="R177" s="40">
        <f t="shared" si="29"/>
        <v>9.0879931572750714E-4</v>
      </c>
      <c r="S177" s="40">
        <f t="shared" si="30"/>
        <v>-6.2902972165444651E-4</v>
      </c>
      <c r="T177" s="41">
        <f t="shared" si="31"/>
        <v>-3.4348864994024758E-3</v>
      </c>
      <c r="V177" s="39">
        <f t="shared" si="33"/>
        <v>2.4082440353957314E-3</v>
      </c>
      <c r="W177" s="40" cm="1">
        <f t="array" ref="W177">IF(M177="","",SUMPRODUCT(M177:T177,TRANSPOSE('04_Dashboard'!$C$53:$C$60)))</f>
        <v>-2.966049314038449E-3</v>
      </c>
      <c r="X177" s="42">
        <f t="shared" si="34"/>
        <v>1.2565818726451514</v>
      </c>
      <c r="Y177" s="118">
        <f t="shared" si="35"/>
        <v>1.1875147475139514</v>
      </c>
      <c r="AA177" s="43">
        <f>IF(X177="","",X177/MAX($X$4:X177)-1)</f>
        <v>0</v>
      </c>
      <c r="AB177" s="44">
        <f>IF(Y177="","",Y177/MAX($Y$4:Y177)-1)</f>
        <v>-1.3642748102418278E-2</v>
      </c>
    </row>
    <row r="178" spans="1:28" x14ac:dyDescent="0.45">
      <c r="A178" s="121">
        <v>45455</v>
      </c>
      <c r="B178" s="124">
        <v>541.36</v>
      </c>
      <c r="C178" s="124">
        <v>213.07</v>
      </c>
      <c r="D178" s="124">
        <v>441.06</v>
      </c>
      <c r="E178" s="124">
        <v>191.53</v>
      </c>
      <c r="F178" s="124">
        <v>110.93</v>
      </c>
      <c r="G178" s="124">
        <v>145.41</v>
      </c>
      <c r="H178" s="124">
        <v>186.89</v>
      </c>
      <c r="I178" s="124">
        <v>62.88</v>
      </c>
      <c r="J178" s="125">
        <v>66.31</v>
      </c>
      <c r="L178" s="39">
        <f t="shared" si="32"/>
        <v>8.2130552192941023E-3</v>
      </c>
      <c r="M178" s="40">
        <f t="shared" si="24"/>
        <v>2.857832488534872E-2</v>
      </c>
      <c r="N178" s="40">
        <f t="shared" si="25"/>
        <v>1.9367662013497263E-2</v>
      </c>
      <c r="O178" s="40">
        <f t="shared" si="26"/>
        <v>-1.4560609178843447E-2</v>
      </c>
      <c r="P178" s="40">
        <f t="shared" si="27"/>
        <v>-1.1054649193188864E-2</v>
      </c>
      <c r="Q178" s="40">
        <f t="shared" si="28"/>
        <v>-9.1986917416189314E-3</v>
      </c>
      <c r="R178" s="40">
        <f t="shared" si="29"/>
        <v>-1.8159482988837443E-3</v>
      </c>
      <c r="S178" s="40">
        <f t="shared" si="30"/>
        <v>-1.0542879622344526E-2</v>
      </c>
      <c r="T178" s="41">
        <f t="shared" si="31"/>
        <v>-6.2940206803536892E-3</v>
      </c>
      <c r="V178" s="39">
        <f t="shared" si="33"/>
        <v>8.2130552192941023E-3</v>
      </c>
      <c r="W178" s="40" cm="1">
        <f t="array" ref="W178">IF(M178="","",SUMPRODUCT(M178:T178,TRANSPOSE('04_Dashboard'!$C$53:$C$60)))</f>
        <v>-5.7745832577024954E-3</v>
      </c>
      <c r="X178" s="42">
        <f t="shared" si="34"/>
        <v>1.2669022489527499</v>
      </c>
      <c r="Y178" s="118">
        <f t="shared" si="35"/>
        <v>1.1806573447346824</v>
      </c>
      <c r="AA178" s="43">
        <f>IF(X178="","",X178/MAX($X$4:X178)-1)</f>
        <v>0</v>
      </c>
      <c r="AB178" s="44">
        <f>IF(Y178="","",Y178/MAX($Y$4:Y178)-1)</f>
        <v>-1.9338550175339586E-2</v>
      </c>
    </row>
    <row r="179" spans="1:28" x14ac:dyDescent="0.45">
      <c r="A179" s="121">
        <v>45456</v>
      </c>
      <c r="B179" s="124">
        <v>542.45000000000005</v>
      </c>
      <c r="C179" s="124">
        <v>214.24</v>
      </c>
      <c r="D179" s="124">
        <v>441.58</v>
      </c>
      <c r="E179" s="124">
        <v>193.66</v>
      </c>
      <c r="F179" s="124">
        <v>110.04</v>
      </c>
      <c r="G179" s="124">
        <v>145.44999999999999</v>
      </c>
      <c r="H179" s="124">
        <v>183.83</v>
      </c>
      <c r="I179" s="124">
        <v>62.99</v>
      </c>
      <c r="J179" s="125">
        <v>66.7</v>
      </c>
      <c r="L179" s="39">
        <f t="shared" si="32"/>
        <v>2.0134476134181169E-3</v>
      </c>
      <c r="M179" s="40">
        <f t="shared" si="24"/>
        <v>5.4911531421599283E-3</v>
      </c>
      <c r="N179" s="40">
        <f t="shared" si="25"/>
        <v>1.1789779168366703E-3</v>
      </c>
      <c r="O179" s="40">
        <f t="shared" si="26"/>
        <v>1.1120973215684202E-2</v>
      </c>
      <c r="P179" s="40">
        <f t="shared" si="27"/>
        <v>-8.0230776165149242E-3</v>
      </c>
      <c r="Q179" s="40">
        <f t="shared" si="28"/>
        <v>2.750842445498387E-4</v>
      </c>
      <c r="R179" s="40">
        <f t="shared" si="29"/>
        <v>-1.6373267697575977E-2</v>
      </c>
      <c r="S179" s="40">
        <f t="shared" si="30"/>
        <v>1.7493638676844693E-3</v>
      </c>
      <c r="T179" s="41">
        <f t="shared" si="31"/>
        <v>5.881465842256078E-3</v>
      </c>
      <c r="V179" s="39">
        <f t="shared" si="33"/>
        <v>2.0134476134181169E-3</v>
      </c>
      <c r="W179" s="40" cm="1">
        <f t="array" ref="W179">IF(M179="","",SUMPRODUCT(M179:T179,TRANSPOSE('04_Dashboard'!$C$53:$C$60)))</f>
        <v>2.5418735939641873E-3</v>
      </c>
      <c r="X179" s="42">
        <f t="shared" si="34"/>
        <v>1.269453090262338</v>
      </c>
      <c r="Y179" s="118">
        <f t="shared" si="35"/>
        <v>1.1836584264627834</v>
      </c>
      <c r="AA179" s="43">
        <f>IF(X179="","",X179/MAX($X$4:X179)-1)</f>
        <v>0</v>
      </c>
      <c r="AB179" s="44">
        <f>IF(Y179="","",Y179/MAX($Y$4:Y179)-1)</f>
        <v>-1.6845832731411603E-2</v>
      </c>
    </row>
    <row r="180" spans="1:28" x14ac:dyDescent="0.45">
      <c r="A180" s="121">
        <v>45457</v>
      </c>
      <c r="B180" s="124">
        <v>542.78</v>
      </c>
      <c r="C180" s="124">
        <v>212.49</v>
      </c>
      <c r="D180" s="124">
        <v>442.57</v>
      </c>
      <c r="E180" s="124">
        <v>193.78</v>
      </c>
      <c r="F180" s="124">
        <v>109.11</v>
      </c>
      <c r="G180" s="124">
        <v>145.54</v>
      </c>
      <c r="H180" s="124">
        <v>183.66</v>
      </c>
      <c r="I180" s="124">
        <v>62.55</v>
      </c>
      <c r="J180" s="125">
        <v>67.02</v>
      </c>
      <c r="L180" s="39">
        <f t="shared" si="32"/>
        <v>6.0835100009204023E-4</v>
      </c>
      <c r="M180" s="40">
        <f t="shared" si="24"/>
        <v>-8.1684092606422697E-3</v>
      </c>
      <c r="N180" s="40">
        <f t="shared" si="25"/>
        <v>2.2419493636487366E-3</v>
      </c>
      <c r="O180" s="40">
        <f t="shared" si="26"/>
        <v>6.1964267272541856E-4</v>
      </c>
      <c r="P180" s="40">
        <f t="shared" si="27"/>
        <v>-8.4514721919302684E-3</v>
      </c>
      <c r="Q180" s="40">
        <f t="shared" si="28"/>
        <v>6.1876933654179045E-4</v>
      </c>
      <c r="R180" s="40">
        <f t="shared" si="29"/>
        <v>-9.2476744818591043E-4</v>
      </c>
      <c r="S180" s="40">
        <f t="shared" si="30"/>
        <v>-6.9852357517066963E-3</v>
      </c>
      <c r="T180" s="41">
        <f t="shared" si="31"/>
        <v>4.7976011994001972E-3</v>
      </c>
      <c r="V180" s="39">
        <f t="shared" si="33"/>
        <v>6.0835100009204023E-4</v>
      </c>
      <c r="W180" s="40" cm="1">
        <f t="array" ref="W180">IF(M180="","",SUMPRODUCT(M180:T180,TRANSPOSE('04_Dashboard'!$C$53:$C$60)))</f>
        <v>-7.9176242685128424E-4</v>
      </c>
      <c r="X180" s="42">
        <f t="shared" si="34"/>
        <v>1.270225363319369</v>
      </c>
      <c r="Y180" s="118">
        <f t="shared" si="35"/>
        <v>1.1827212501944842</v>
      </c>
      <c r="AA180" s="43">
        <f>IF(X180="","",X180/MAX($X$4:X180)-1)</f>
        <v>0</v>
      </c>
      <c r="AB180" s="44">
        <f>IF(Y180="","",Y180/MAX($Y$4:Y180)-1)</f>
        <v>-1.7624257260857257E-2</v>
      </c>
    </row>
    <row r="181" spans="1:28" x14ac:dyDescent="0.45">
      <c r="A181" s="121">
        <v>45460</v>
      </c>
      <c r="B181" s="124">
        <v>547.1</v>
      </c>
      <c r="C181" s="124">
        <v>216.67</v>
      </c>
      <c r="D181" s="124">
        <v>448.37</v>
      </c>
      <c r="E181" s="124">
        <v>194.98</v>
      </c>
      <c r="F181" s="124">
        <v>108.36</v>
      </c>
      <c r="G181" s="124">
        <v>145.94999999999999</v>
      </c>
      <c r="H181" s="124">
        <v>184.06</v>
      </c>
      <c r="I181" s="124">
        <v>62.62</v>
      </c>
      <c r="J181" s="125">
        <v>67.42</v>
      </c>
      <c r="L181" s="39">
        <f t="shared" si="32"/>
        <v>7.9590257562917755E-3</v>
      </c>
      <c r="M181" s="40">
        <f t="shared" si="24"/>
        <v>1.9671513953597713E-2</v>
      </c>
      <c r="N181" s="40">
        <f t="shared" si="25"/>
        <v>1.3105271482477374E-2</v>
      </c>
      <c r="O181" s="40">
        <f t="shared" si="26"/>
        <v>6.1925895345236277E-3</v>
      </c>
      <c r="P181" s="40">
        <f t="shared" si="27"/>
        <v>-6.8737970855100358E-3</v>
      </c>
      <c r="Q181" s="40">
        <f t="shared" si="28"/>
        <v>2.8170949567129077E-3</v>
      </c>
      <c r="R181" s="40">
        <f t="shared" si="29"/>
        <v>2.1779374931939761E-3</v>
      </c>
      <c r="S181" s="40">
        <f t="shared" si="30"/>
        <v>1.1191047162270229E-3</v>
      </c>
      <c r="T181" s="41">
        <f t="shared" si="31"/>
        <v>5.9683676514474147E-3</v>
      </c>
      <c r="V181" s="39">
        <f t="shared" si="33"/>
        <v>7.9590257562917755E-3</v>
      </c>
      <c r="W181" s="40" cm="1">
        <f t="array" ref="W181">IF(M181="","",SUMPRODUCT(M181:T181,TRANSPOSE('04_Dashboard'!$C$53:$C$60)))</f>
        <v>4.9191886225664104E-3</v>
      </c>
      <c r="X181" s="42">
        <f t="shared" si="34"/>
        <v>1.2803351197023229</v>
      </c>
      <c r="Y181" s="118">
        <f t="shared" si="35"/>
        <v>1.1885392791121083</v>
      </c>
      <c r="AA181" s="43">
        <f>IF(X181="","",X181/MAX($X$4:X181)-1)</f>
        <v>0</v>
      </c>
      <c r="AB181" s="44">
        <f>IF(Y181="","",Y181/MAX($Y$4:Y181)-1)</f>
        <v>-1.2791765684089684E-2</v>
      </c>
    </row>
    <row r="182" spans="1:28" x14ac:dyDescent="0.45">
      <c r="A182" s="121">
        <v>45461</v>
      </c>
      <c r="B182" s="124">
        <v>548.49</v>
      </c>
      <c r="C182" s="124">
        <v>214.29</v>
      </c>
      <c r="D182" s="124">
        <v>446.34</v>
      </c>
      <c r="E182" s="124">
        <v>197</v>
      </c>
      <c r="F182" s="124">
        <v>109.38</v>
      </c>
      <c r="G182" s="124">
        <v>145.65</v>
      </c>
      <c r="H182" s="124">
        <v>182.81</v>
      </c>
      <c r="I182" s="124">
        <v>62.63</v>
      </c>
      <c r="J182" s="125">
        <v>67.599999999999994</v>
      </c>
      <c r="L182" s="39">
        <f t="shared" si="32"/>
        <v>2.5406689819045627E-3</v>
      </c>
      <c r="M182" s="40">
        <f t="shared" si="24"/>
        <v>-1.0984446393132393E-2</v>
      </c>
      <c r="N182" s="40">
        <f t="shared" si="25"/>
        <v>-4.527510761201752E-3</v>
      </c>
      <c r="O182" s="40">
        <f t="shared" si="26"/>
        <v>1.0360036926864347E-2</v>
      </c>
      <c r="P182" s="40">
        <f t="shared" si="27"/>
        <v>9.4130675526024003E-3</v>
      </c>
      <c r="Q182" s="40">
        <f t="shared" si="28"/>
        <v>-2.0554984583760396E-3</v>
      </c>
      <c r="R182" s="40">
        <f t="shared" si="29"/>
        <v>-6.7912637183527112E-3</v>
      </c>
      <c r="S182" s="40">
        <f t="shared" si="30"/>
        <v>1.5969338869378978E-4</v>
      </c>
      <c r="T182" s="41">
        <f t="shared" si="31"/>
        <v>2.6698309107088787E-3</v>
      </c>
      <c r="V182" s="39">
        <f t="shared" si="33"/>
        <v>2.5406689819045627E-3</v>
      </c>
      <c r="W182" s="40" cm="1">
        <f t="array" ref="W182">IF(M182="","",SUMPRODUCT(M182:T182,TRANSPOSE('04_Dashboard'!$C$53:$C$60)))</f>
        <v>1.4181182573373959E-3</v>
      </c>
      <c r="X182" s="42">
        <f t="shared" si="34"/>
        <v>1.2835880274273936</v>
      </c>
      <c r="Y182" s="118">
        <f t="shared" si="35"/>
        <v>1.1902247683633798</v>
      </c>
      <c r="AA182" s="43">
        <f>IF(X182="","",X182/MAX($X$4:X182)-1)</f>
        <v>0</v>
      </c>
      <c r="AB182" s="44">
        <f>IF(Y182="","",Y182/MAX($Y$4:Y182)-1)</f>
        <v>-1.1391787663212471E-2</v>
      </c>
    </row>
    <row r="183" spans="1:28" x14ac:dyDescent="0.45">
      <c r="A183" s="121">
        <v>45463</v>
      </c>
      <c r="B183" s="124">
        <v>547</v>
      </c>
      <c r="C183" s="124">
        <v>209.68</v>
      </c>
      <c r="D183" s="124">
        <v>445.7</v>
      </c>
      <c r="E183" s="124">
        <v>198.67</v>
      </c>
      <c r="F183" s="124">
        <v>111.74</v>
      </c>
      <c r="G183" s="124">
        <v>147.78</v>
      </c>
      <c r="H183" s="124">
        <v>186.1</v>
      </c>
      <c r="I183" s="124">
        <v>62.18</v>
      </c>
      <c r="J183" s="125">
        <v>68.010000000000005</v>
      </c>
      <c r="L183" s="39">
        <f t="shared" si="32"/>
        <v>-2.7165490710860892E-3</v>
      </c>
      <c r="M183" s="40">
        <f t="shared" si="24"/>
        <v>-2.1512903075271761E-2</v>
      </c>
      <c r="N183" s="40">
        <f t="shared" si="25"/>
        <v>-1.4338844826813336E-3</v>
      </c>
      <c r="O183" s="40">
        <f t="shared" si="26"/>
        <v>8.4771573604060287E-3</v>
      </c>
      <c r="P183" s="40">
        <f t="shared" si="27"/>
        <v>2.1576156518559146E-2</v>
      </c>
      <c r="Q183" s="40">
        <f t="shared" si="28"/>
        <v>1.462409886714724E-2</v>
      </c>
      <c r="R183" s="40">
        <f t="shared" si="29"/>
        <v>1.7996827307040053E-2</v>
      </c>
      <c r="S183" s="40">
        <f t="shared" si="30"/>
        <v>-7.1850550854223663E-3</v>
      </c>
      <c r="T183" s="41">
        <f t="shared" si="31"/>
        <v>6.0650887573966096E-3</v>
      </c>
      <c r="V183" s="39">
        <f t="shared" si="33"/>
        <v>-2.7165490710860892E-3</v>
      </c>
      <c r="W183" s="40" cm="1">
        <f t="array" ref="W183">IF(M183="","",SUMPRODUCT(M183:T183,TRANSPOSE('04_Dashboard'!$C$53:$C$60)))</f>
        <v>6.4648314722912676E-3</v>
      </c>
      <c r="X183" s="42">
        <f t="shared" si="34"/>
        <v>1.2801010975638285</v>
      </c>
      <c r="Y183" s="118">
        <f t="shared" si="35"/>
        <v>1.197919370904996</v>
      </c>
      <c r="AA183" s="43">
        <f>IF(X183="","",X183/MAX($X$4:X183)-1)</f>
        <v>-2.716549071086094E-3</v>
      </c>
      <c r="AB183" s="44">
        <f>IF(Y183="","",Y183/MAX($Y$4:Y183)-1)</f>
        <v>-5.000602178331981E-3</v>
      </c>
    </row>
    <row r="184" spans="1:28" x14ac:dyDescent="0.45">
      <c r="A184" s="121">
        <v>45464</v>
      </c>
      <c r="B184" s="124">
        <v>544.51</v>
      </c>
      <c r="C184" s="124">
        <v>207.49</v>
      </c>
      <c r="D184" s="124">
        <v>449.78</v>
      </c>
      <c r="E184" s="124">
        <v>196.3</v>
      </c>
      <c r="F184" s="124">
        <v>110.76</v>
      </c>
      <c r="G184" s="124">
        <v>148.75</v>
      </c>
      <c r="H184" s="124">
        <v>189.08</v>
      </c>
      <c r="I184" s="124">
        <v>62.77</v>
      </c>
      <c r="J184" s="125">
        <v>67.91</v>
      </c>
      <c r="L184" s="39">
        <f t="shared" si="32"/>
        <v>-4.5521023765996513E-3</v>
      </c>
      <c r="M184" s="40">
        <f t="shared" si="24"/>
        <v>-1.0444486837085071E-2</v>
      </c>
      <c r="N184" s="40">
        <f t="shared" si="25"/>
        <v>9.1541395557549563E-3</v>
      </c>
      <c r="O184" s="40">
        <f t="shared" si="26"/>
        <v>-1.1929330044797787E-2</v>
      </c>
      <c r="P184" s="40">
        <f t="shared" si="27"/>
        <v>-8.7703597637371553E-3</v>
      </c>
      <c r="Q184" s="40">
        <f t="shared" si="28"/>
        <v>6.5638110705102098E-3</v>
      </c>
      <c r="R184" s="40">
        <f t="shared" si="29"/>
        <v>1.6012896292316059E-2</v>
      </c>
      <c r="S184" s="40">
        <f t="shared" si="30"/>
        <v>9.4885815374719101E-3</v>
      </c>
      <c r="T184" s="41">
        <f t="shared" si="31"/>
        <v>-1.4703720041171668E-3</v>
      </c>
      <c r="V184" s="39">
        <f t="shared" si="33"/>
        <v>-4.5521023765996513E-3</v>
      </c>
      <c r="W184" s="40" cm="1">
        <f t="array" ref="W184">IF(M184="","",SUMPRODUCT(M184:T184,TRANSPOSE('04_Dashboard'!$C$53:$C$60)))</f>
        <v>6.3124600356695339E-4</v>
      </c>
      <c r="X184" s="42">
        <f t="shared" si="34"/>
        <v>1.2742739463153203</v>
      </c>
      <c r="Y184" s="118">
        <f t="shared" si="35"/>
        <v>1.1986755527204751</v>
      </c>
      <c r="AA184" s="43">
        <f>IF(X184="","",X184/MAX($X$4:X184)-1)</f>
        <v>-7.2562854382031139E-3</v>
      </c>
      <c r="AB184" s="44">
        <f>IF(Y184="","",Y184/MAX($Y$4:Y184)-1)</f>
        <v>-4.37251278490558E-3</v>
      </c>
    </row>
    <row r="185" spans="1:28" x14ac:dyDescent="0.45">
      <c r="A185" s="121">
        <v>45467</v>
      </c>
      <c r="B185" s="124">
        <v>542.74</v>
      </c>
      <c r="C185" s="124">
        <v>208.14</v>
      </c>
      <c r="D185" s="124">
        <v>447.67</v>
      </c>
      <c r="E185" s="124">
        <v>198.88</v>
      </c>
      <c r="F185" s="124">
        <v>114.05</v>
      </c>
      <c r="G185" s="124">
        <v>149.12</v>
      </c>
      <c r="H185" s="124">
        <v>185.57</v>
      </c>
      <c r="I185" s="124">
        <v>63.97</v>
      </c>
      <c r="J185" s="125">
        <v>68.900000000000006</v>
      </c>
      <c r="L185" s="39">
        <f t="shared" si="32"/>
        <v>-3.2506290058951751E-3</v>
      </c>
      <c r="M185" s="40">
        <f t="shared" si="24"/>
        <v>3.1326810930646164E-3</v>
      </c>
      <c r="N185" s="40">
        <f t="shared" si="25"/>
        <v>-4.691182355818304E-3</v>
      </c>
      <c r="O185" s="40">
        <f t="shared" si="26"/>
        <v>1.3143148242485908E-2</v>
      </c>
      <c r="P185" s="40">
        <f t="shared" si="27"/>
        <v>2.970386421090639E-2</v>
      </c>
      <c r="Q185" s="40">
        <f t="shared" si="28"/>
        <v>2.487394957983224E-3</v>
      </c>
      <c r="R185" s="40">
        <f t="shared" si="29"/>
        <v>-1.8563570975248671E-2</v>
      </c>
      <c r="S185" s="40">
        <f t="shared" si="30"/>
        <v>1.9117412776804139E-2</v>
      </c>
      <c r="T185" s="41">
        <f t="shared" si="31"/>
        <v>1.4578118097482096E-2</v>
      </c>
      <c r="V185" s="39">
        <f t="shared" si="33"/>
        <v>-3.2506290058951751E-3</v>
      </c>
      <c r="W185" s="40" cm="1">
        <f t="array" ref="W185">IF(M185="","",SUMPRODUCT(M185:T185,TRANSPOSE('04_Dashboard'!$C$53:$C$60)))</f>
        <v>8.3621304339699526E-3</v>
      </c>
      <c r="X185" s="42">
        <f t="shared" si="34"/>
        <v>1.2701317544639712</v>
      </c>
      <c r="Y185" s="118">
        <f t="shared" si="35"/>
        <v>1.208699034040335</v>
      </c>
      <c r="AA185" s="43">
        <f>IF(X185="","",X185/MAX($X$4:X185)-1)</f>
        <v>-1.0483326952177907E-2</v>
      </c>
      <c r="AB185" s="44">
        <f>IF(Y185="","",Y185/MAX($Y$4:Y185)-1)</f>
        <v>0</v>
      </c>
    </row>
    <row r="186" spans="1:28" x14ac:dyDescent="0.45">
      <c r="A186" s="121">
        <v>45468</v>
      </c>
      <c r="B186" s="124">
        <v>544.83000000000004</v>
      </c>
      <c r="C186" s="124">
        <v>209.07</v>
      </c>
      <c r="D186" s="124">
        <v>450.95</v>
      </c>
      <c r="E186" s="124">
        <v>198.07</v>
      </c>
      <c r="F186" s="124">
        <v>114.37</v>
      </c>
      <c r="G186" s="124">
        <v>147.19</v>
      </c>
      <c r="H186" s="124">
        <v>186.34</v>
      </c>
      <c r="I186" s="124">
        <v>63.84</v>
      </c>
      <c r="J186" s="125">
        <v>67.42</v>
      </c>
      <c r="L186" s="39">
        <f t="shared" si="32"/>
        <v>3.8508309687880602E-3</v>
      </c>
      <c r="M186" s="40">
        <f t="shared" si="24"/>
        <v>4.4681464398962567E-3</v>
      </c>
      <c r="N186" s="40">
        <f t="shared" si="25"/>
        <v>7.3268255634730325E-3</v>
      </c>
      <c r="O186" s="40">
        <f t="shared" si="26"/>
        <v>-4.0728077232502127E-3</v>
      </c>
      <c r="P186" s="40">
        <f t="shared" si="27"/>
        <v>2.8057869355546461E-3</v>
      </c>
      <c r="Q186" s="40">
        <f t="shared" si="28"/>
        <v>-1.294259656652365E-2</v>
      </c>
      <c r="R186" s="40">
        <f t="shared" si="29"/>
        <v>4.1493775933610514E-3</v>
      </c>
      <c r="S186" s="40">
        <f t="shared" si="30"/>
        <v>-2.0322025949663196E-3</v>
      </c>
      <c r="T186" s="41">
        <f t="shared" si="31"/>
        <v>-2.1480406386066818E-2</v>
      </c>
      <c r="V186" s="39">
        <f t="shared" si="33"/>
        <v>3.8508309687880602E-3</v>
      </c>
      <c r="W186" s="40" cm="1">
        <f t="array" ref="W186">IF(M186="","",SUMPRODUCT(M186:T186,TRANSPOSE('04_Dashboard'!$C$53:$C$60)))</f>
        <v>-6.1375917100913195E-3</v>
      </c>
      <c r="X186" s="42">
        <f t="shared" si="34"/>
        <v>1.2750228171585023</v>
      </c>
      <c r="Y186" s="118">
        <f t="shared" si="35"/>
        <v>1.2012805328690137</v>
      </c>
      <c r="AA186" s="43">
        <f>IF(X186="","",X186/MAX($X$4:X186)-1)</f>
        <v>-6.6728655034731243E-3</v>
      </c>
      <c r="AB186" s="44">
        <f>IF(Y186="","",Y186/MAX($Y$4:Y186)-1)</f>
        <v>-6.1375917100912059E-3</v>
      </c>
    </row>
    <row r="187" spans="1:28" x14ac:dyDescent="0.45">
      <c r="A187" s="121">
        <v>45469</v>
      </c>
      <c r="B187" s="124">
        <v>545.51</v>
      </c>
      <c r="C187" s="124">
        <v>213.25</v>
      </c>
      <c r="D187" s="124">
        <v>452.16</v>
      </c>
      <c r="E187" s="124">
        <v>197.43</v>
      </c>
      <c r="F187" s="124">
        <v>114.41</v>
      </c>
      <c r="G187" s="124">
        <v>146.82</v>
      </c>
      <c r="H187" s="124">
        <v>193.61</v>
      </c>
      <c r="I187" s="124">
        <v>64.05</v>
      </c>
      <c r="J187" s="125">
        <v>68.290000000000006</v>
      </c>
      <c r="L187" s="39">
        <f t="shared" si="32"/>
        <v>1.2480957362846208E-3</v>
      </c>
      <c r="M187" s="40">
        <f t="shared" si="24"/>
        <v>1.9993303678193939E-2</v>
      </c>
      <c r="N187" s="40">
        <f t="shared" si="25"/>
        <v>2.6832243042466714E-3</v>
      </c>
      <c r="O187" s="40">
        <f t="shared" si="26"/>
        <v>-3.2311808956428855E-3</v>
      </c>
      <c r="P187" s="40">
        <f t="shared" si="27"/>
        <v>3.4974206522682557E-4</v>
      </c>
      <c r="Q187" s="40">
        <f t="shared" si="28"/>
        <v>-2.51375772810656E-3</v>
      </c>
      <c r="R187" s="40">
        <f t="shared" si="29"/>
        <v>3.9014704303960555E-2</v>
      </c>
      <c r="S187" s="40">
        <f t="shared" si="30"/>
        <v>3.2894736842104281E-3</v>
      </c>
      <c r="T187" s="41">
        <f t="shared" si="31"/>
        <v>1.2904182735093511E-2</v>
      </c>
      <c r="V187" s="39">
        <f t="shared" si="33"/>
        <v>1.2480957362846208E-3</v>
      </c>
      <c r="W187" s="40" cm="1">
        <f t="array" ref="W187">IF(M187="","",SUMPRODUCT(M187:T187,TRANSPOSE('04_Dashboard'!$C$53:$C$60)))</f>
        <v>5.0623294009416991E-3</v>
      </c>
      <c r="X187" s="42">
        <f t="shared" si="34"/>
        <v>1.2766141677002634</v>
      </c>
      <c r="Y187" s="118">
        <f t="shared" si="35"/>
        <v>1.2073618106293356</v>
      </c>
      <c r="AA187" s="43">
        <f>IF(X187="","",X187/MAX($X$4:X187)-1)</f>
        <v>-5.433098142172188E-3</v>
      </c>
      <c r="AB187" s="44">
        <f>IF(Y187="","",Y187/MAX($Y$4:Y187)-1)</f>
        <v>-1.1063328201144085E-3</v>
      </c>
    </row>
    <row r="188" spans="1:28" x14ac:dyDescent="0.45">
      <c r="A188" s="121">
        <v>45470</v>
      </c>
      <c r="B188" s="124">
        <v>546.37</v>
      </c>
      <c r="C188" s="124">
        <v>214.1</v>
      </c>
      <c r="D188" s="124">
        <v>452.85</v>
      </c>
      <c r="E188" s="124">
        <v>199.17</v>
      </c>
      <c r="F188" s="124">
        <v>114.9</v>
      </c>
      <c r="G188" s="124">
        <v>145.80000000000001</v>
      </c>
      <c r="H188" s="124">
        <v>197.85</v>
      </c>
      <c r="I188" s="124">
        <v>63.91</v>
      </c>
      <c r="J188" s="125">
        <v>67.88</v>
      </c>
      <c r="L188" s="39">
        <f t="shared" si="32"/>
        <v>1.5765063885171925E-3</v>
      </c>
      <c r="M188" s="40">
        <f t="shared" si="24"/>
        <v>3.9859320046893047E-3</v>
      </c>
      <c r="N188" s="40">
        <f t="shared" si="25"/>
        <v>1.526008492568997E-3</v>
      </c>
      <c r="O188" s="40">
        <f t="shared" si="26"/>
        <v>8.8132502659169359E-3</v>
      </c>
      <c r="P188" s="40">
        <f t="shared" si="27"/>
        <v>4.282842408880422E-3</v>
      </c>
      <c r="Q188" s="40">
        <f t="shared" si="28"/>
        <v>-6.9472823865957076E-3</v>
      </c>
      <c r="R188" s="40">
        <f t="shared" si="29"/>
        <v>2.1899695263674294E-2</v>
      </c>
      <c r="S188" s="40">
        <f t="shared" si="30"/>
        <v>-2.1857923497267851E-3</v>
      </c>
      <c r="T188" s="41">
        <f t="shared" si="31"/>
        <v>-6.0038072924295032E-3</v>
      </c>
      <c r="V188" s="39">
        <f t="shared" si="33"/>
        <v>1.5765063885171925E-3</v>
      </c>
      <c r="W188" s="40" cm="1">
        <f t="array" ref="W188">IF(M188="","",SUMPRODUCT(M188:T188,TRANSPOSE('04_Dashboard'!$C$53:$C$60)))</f>
        <v>1.4416336820989436E-3</v>
      </c>
      <c r="X188" s="42">
        <f t="shared" si="34"/>
        <v>1.2786267580913144</v>
      </c>
      <c r="Y188" s="118">
        <f t="shared" si="35"/>
        <v>1.209102384082019</v>
      </c>
      <c r="AA188" s="43">
        <f>IF(X188="","",X188/MAX($X$4:X188)-1)</f>
        <v>-3.8651570675856117E-3</v>
      </c>
      <c r="AB188" s="44">
        <f>IF(Y188="","",Y188/MAX($Y$4:Y188)-1)</f>
        <v>0</v>
      </c>
    </row>
    <row r="189" spans="1:28" x14ac:dyDescent="0.45">
      <c r="A189" s="121">
        <v>45471</v>
      </c>
      <c r="B189" s="124">
        <v>544.22</v>
      </c>
      <c r="C189" s="124">
        <v>210.62</v>
      </c>
      <c r="D189" s="124">
        <v>446.95</v>
      </c>
      <c r="E189" s="124">
        <v>202.26</v>
      </c>
      <c r="F189" s="124">
        <v>115.12</v>
      </c>
      <c r="G189" s="124">
        <v>146.16</v>
      </c>
      <c r="H189" s="124">
        <v>193.25</v>
      </c>
      <c r="I189" s="124">
        <v>63.65</v>
      </c>
      <c r="J189" s="125">
        <v>67.709999999999994</v>
      </c>
      <c r="L189" s="39">
        <f t="shared" si="32"/>
        <v>-3.9350623204055446E-3</v>
      </c>
      <c r="M189" s="40">
        <f t="shared" si="24"/>
        <v>-1.6254086875291871E-2</v>
      </c>
      <c r="N189" s="40">
        <f t="shared" si="25"/>
        <v>-1.3028596665562622E-2</v>
      </c>
      <c r="O189" s="40">
        <f t="shared" si="26"/>
        <v>1.5514384696490453E-2</v>
      </c>
      <c r="P189" s="40">
        <f t="shared" si="27"/>
        <v>1.9147084421235758E-3</v>
      </c>
      <c r="Q189" s="40">
        <f t="shared" si="28"/>
        <v>2.4691358024690343E-3</v>
      </c>
      <c r="R189" s="40">
        <f t="shared" si="29"/>
        <v>-2.3249936820823828E-2</v>
      </c>
      <c r="S189" s="40">
        <f t="shared" si="30"/>
        <v>-4.0682209356907844E-3</v>
      </c>
      <c r="T189" s="41">
        <f t="shared" si="31"/>
        <v>-2.5044195639363836E-3</v>
      </c>
      <c r="V189" s="39">
        <f t="shared" si="33"/>
        <v>-3.9350623204055446E-3</v>
      </c>
      <c r="W189" s="40" cm="1">
        <f t="array" ref="W189">IF(M189="","",SUMPRODUCT(M189:T189,TRANSPOSE('04_Dashboard'!$C$53:$C$60)))</f>
        <v>-4.3306348823764207E-5</v>
      </c>
      <c r="X189" s="42">
        <f t="shared" si="34"/>
        <v>1.2735952821136871</v>
      </c>
      <c r="Y189" s="118">
        <f t="shared" si="35"/>
        <v>1.2090500222724103</v>
      </c>
      <c r="AA189" s="43">
        <f>IF(X189="","",X189/MAX($X$4:X189)-1)</f>
        <v>-7.7850097540519414E-3</v>
      </c>
      <c r="AB189" s="44">
        <f>IF(Y189="","",Y189/MAX($Y$4:Y189)-1)</f>
        <v>-4.3306348823768381E-5</v>
      </c>
    </row>
    <row r="190" spans="1:28" x14ac:dyDescent="0.45">
      <c r="A190" s="121">
        <v>45474</v>
      </c>
      <c r="B190" s="124">
        <v>545.34</v>
      </c>
      <c r="C190" s="124">
        <v>216.75</v>
      </c>
      <c r="D190" s="124">
        <v>456.73</v>
      </c>
      <c r="E190" s="124">
        <v>205.45</v>
      </c>
      <c r="F190" s="124">
        <v>114.96</v>
      </c>
      <c r="G190" s="124">
        <v>146.44</v>
      </c>
      <c r="H190" s="124">
        <v>197.2</v>
      </c>
      <c r="I190" s="124">
        <v>63.28</v>
      </c>
      <c r="J190" s="125">
        <v>67.48</v>
      </c>
      <c r="L190" s="39">
        <f t="shared" si="32"/>
        <v>2.0579912535371807E-3</v>
      </c>
      <c r="M190" s="40">
        <f t="shared" si="24"/>
        <v>2.910454847592819E-2</v>
      </c>
      <c r="N190" s="40">
        <f t="shared" si="25"/>
        <v>2.1881642241861572E-2</v>
      </c>
      <c r="O190" s="40">
        <f t="shared" si="26"/>
        <v>1.5771778898447532E-2</v>
      </c>
      <c r="P190" s="40">
        <f t="shared" si="27"/>
        <v>-1.3898540653232349E-3</v>
      </c>
      <c r="Q190" s="40">
        <f t="shared" si="28"/>
        <v>1.9157088122605443E-3</v>
      </c>
      <c r="R190" s="40">
        <f t="shared" si="29"/>
        <v>2.0439844760672645E-2</v>
      </c>
      <c r="S190" s="40">
        <f t="shared" si="30"/>
        <v>-5.8130400628436359E-3</v>
      </c>
      <c r="T190" s="41">
        <f t="shared" si="31"/>
        <v>-3.3968394624130822E-3</v>
      </c>
      <c r="V190" s="39">
        <f t="shared" si="33"/>
        <v>2.0579912535371807E-3</v>
      </c>
      <c r="W190" s="40" cm="1">
        <f t="array" ref="W190">IF(M190="","",SUMPRODUCT(M190:T190,TRANSPOSE('04_Dashboard'!$C$53:$C$60)))</f>
        <v>7.4430813219241582E-3</v>
      </c>
      <c r="X190" s="42">
        <f t="shared" si="34"/>
        <v>1.2762163300648233</v>
      </c>
      <c r="Y190" s="118">
        <f t="shared" si="35"/>
        <v>1.2180490799104582</v>
      </c>
      <c r="AA190" s="43">
        <f>IF(X190="","",X190/MAX($X$4:X190)-1)</f>
        <v>-5.7430399824972556E-3</v>
      </c>
      <c r="AB190" s="44">
        <f>IF(Y190="","",Y190/MAX($Y$4:Y190)-1)</f>
        <v>0</v>
      </c>
    </row>
    <row r="191" spans="1:28" x14ac:dyDescent="0.45">
      <c r="A191" s="121">
        <v>45475</v>
      </c>
      <c r="B191" s="124">
        <v>549.01</v>
      </c>
      <c r="C191" s="124">
        <v>220.27</v>
      </c>
      <c r="D191" s="124">
        <v>459.28</v>
      </c>
      <c r="E191" s="124">
        <v>208.83</v>
      </c>
      <c r="F191" s="124">
        <v>114.18</v>
      </c>
      <c r="G191" s="124">
        <v>146.03</v>
      </c>
      <c r="H191" s="124">
        <v>200</v>
      </c>
      <c r="I191" s="124">
        <v>63.15</v>
      </c>
      <c r="J191" s="125">
        <v>68.069999999999993</v>
      </c>
      <c r="L191" s="39">
        <f t="shared" si="32"/>
        <v>6.7297465801150818E-3</v>
      </c>
      <c r="M191" s="40">
        <f t="shared" si="24"/>
        <v>1.623990772779705E-2</v>
      </c>
      <c r="N191" s="40">
        <f t="shared" si="25"/>
        <v>5.5831672979658759E-3</v>
      </c>
      <c r="O191" s="40">
        <f t="shared" si="26"/>
        <v>1.645169140910209E-2</v>
      </c>
      <c r="P191" s="40">
        <f t="shared" si="27"/>
        <v>-6.7849686847598033E-3</v>
      </c>
      <c r="Q191" s="40">
        <f t="shared" si="28"/>
        <v>-2.7997814804697936E-3</v>
      </c>
      <c r="R191" s="40">
        <f t="shared" si="29"/>
        <v>1.4198782961460505E-2</v>
      </c>
      <c r="S191" s="40">
        <f t="shared" si="30"/>
        <v>-2.0543615676359441E-3</v>
      </c>
      <c r="T191" s="41">
        <f t="shared" si="31"/>
        <v>8.7433313574390801E-3</v>
      </c>
      <c r="V191" s="39">
        <f t="shared" si="33"/>
        <v>6.7297465801150818E-3</v>
      </c>
      <c r="W191" s="40" cm="1">
        <f t="array" ref="W191">IF(M191="","",SUMPRODUCT(M191:T191,TRANSPOSE('04_Dashboard'!$C$53:$C$60)))</f>
        <v>6.1478917844697339E-3</v>
      </c>
      <c r="X191" s="42">
        <f t="shared" si="34"/>
        <v>1.2848049425475641</v>
      </c>
      <c r="Y191" s="118">
        <f t="shared" si="35"/>
        <v>1.2255375138419207</v>
      </c>
      <c r="AA191" s="43">
        <f>IF(X191="","",X191/MAX($X$4:X191)-1)</f>
        <v>0</v>
      </c>
      <c r="AB191" s="44">
        <f>IF(Y191="","",Y191/MAX($Y$4:Y191)-1)</f>
        <v>0</v>
      </c>
    </row>
    <row r="192" spans="1:28" x14ac:dyDescent="0.45">
      <c r="A192" s="121">
        <v>45476</v>
      </c>
      <c r="B192" s="124">
        <v>551.46</v>
      </c>
      <c r="C192" s="124">
        <v>221.55</v>
      </c>
      <c r="D192" s="124">
        <v>460.77</v>
      </c>
      <c r="E192" s="124">
        <v>208.69</v>
      </c>
      <c r="F192" s="124">
        <v>114.76</v>
      </c>
      <c r="G192" s="124">
        <v>145.69</v>
      </c>
      <c r="H192" s="124">
        <v>197.59</v>
      </c>
      <c r="I192" s="124">
        <v>63.33</v>
      </c>
      <c r="J192" s="125">
        <v>68.239999999999995</v>
      </c>
      <c r="L192" s="39">
        <f t="shared" si="32"/>
        <v>4.4625780951167478E-3</v>
      </c>
      <c r="M192" s="40">
        <f t="shared" si="24"/>
        <v>5.8110500749080727E-3</v>
      </c>
      <c r="N192" s="40">
        <f t="shared" si="25"/>
        <v>3.2442083260756168E-3</v>
      </c>
      <c r="O192" s="40">
        <f t="shared" si="26"/>
        <v>-6.7040176219898854E-4</v>
      </c>
      <c r="P192" s="40">
        <f t="shared" si="27"/>
        <v>5.0796987213172036E-3</v>
      </c>
      <c r="Q192" s="40">
        <f t="shared" si="28"/>
        <v>-2.3282887077997905E-3</v>
      </c>
      <c r="R192" s="40">
        <f t="shared" si="29"/>
        <v>-1.2049999999999983E-2</v>
      </c>
      <c r="S192" s="40">
        <f t="shared" si="30"/>
        <v>2.8503562945368125E-3</v>
      </c>
      <c r="T192" s="41">
        <f t="shared" si="31"/>
        <v>2.4974291170853785E-3</v>
      </c>
      <c r="V192" s="39">
        <f t="shared" si="33"/>
        <v>4.4625780951167478E-3</v>
      </c>
      <c r="W192" s="40" cm="1">
        <f t="array" ref="W192">IF(M192="","",SUMPRODUCT(M192:T192,TRANSPOSE('04_Dashboard'!$C$53:$C$60)))</f>
        <v>-6.1955576096581341E-5</v>
      </c>
      <c r="X192" s="42">
        <f t="shared" si="34"/>
        <v>1.2905384849406747</v>
      </c>
      <c r="Y192" s="118">
        <f t="shared" si="35"/>
        <v>1.2254615849592227</v>
      </c>
      <c r="AA192" s="43">
        <f>IF(X192="","",X192/MAX($X$4:X192)-1)</f>
        <v>0</v>
      </c>
      <c r="AB192" s="44">
        <f>IF(Y192="","",Y192/MAX($Y$4:Y192)-1)</f>
        <v>-6.1955576096450748E-5</v>
      </c>
    </row>
    <row r="193" spans="1:28" x14ac:dyDescent="0.45">
      <c r="A193" s="121">
        <v>45478</v>
      </c>
      <c r="B193" s="124">
        <v>554.64</v>
      </c>
      <c r="C193" s="124">
        <v>226.34</v>
      </c>
      <c r="D193" s="124">
        <v>467.56</v>
      </c>
      <c r="E193" s="124">
        <v>204.79</v>
      </c>
      <c r="F193" s="124">
        <v>113.37</v>
      </c>
      <c r="G193" s="124">
        <v>146.47999999999999</v>
      </c>
      <c r="H193" s="124">
        <v>200</v>
      </c>
      <c r="I193" s="124">
        <v>63.76</v>
      </c>
      <c r="J193" s="125">
        <v>70.040000000000006</v>
      </c>
      <c r="L193" s="39">
        <f t="shared" si="32"/>
        <v>5.7665107170056752E-3</v>
      </c>
      <c r="M193" s="40">
        <f t="shared" si="24"/>
        <v>2.1620401715188409E-2</v>
      </c>
      <c r="N193" s="40">
        <f t="shared" si="25"/>
        <v>1.4736202443735531E-2</v>
      </c>
      <c r="O193" s="40">
        <f t="shared" si="26"/>
        <v>-1.8688006133499475E-2</v>
      </c>
      <c r="P193" s="40">
        <f t="shared" si="27"/>
        <v>-1.2112234227953995E-2</v>
      </c>
      <c r="Q193" s="40">
        <f t="shared" si="28"/>
        <v>5.4224723728464007E-3</v>
      </c>
      <c r="R193" s="40">
        <f t="shared" si="29"/>
        <v>1.2196973531049125E-2</v>
      </c>
      <c r="S193" s="40">
        <f t="shared" si="30"/>
        <v>6.7898310437391396E-3</v>
      </c>
      <c r="T193" s="41">
        <f t="shared" si="31"/>
        <v>2.6377491207503101E-2</v>
      </c>
      <c r="V193" s="39">
        <f t="shared" si="33"/>
        <v>5.7665107170056752E-3</v>
      </c>
      <c r="W193" s="40" cm="1">
        <f t="array" ref="W193">IF(M193="","",SUMPRODUCT(M193:T193,TRANSPOSE('04_Dashboard'!$C$53:$C$60)))</f>
        <v>3.9681889274116701E-3</v>
      </c>
      <c r="X193" s="42">
        <f t="shared" si="34"/>
        <v>1.2979803889447934</v>
      </c>
      <c r="Y193" s="118">
        <f t="shared" si="35"/>
        <v>1.2303244480516262</v>
      </c>
      <c r="AA193" s="43">
        <f>IF(X193="","",X193/MAX($X$4:X193)-1)</f>
        <v>0</v>
      </c>
      <c r="AB193" s="44">
        <f>IF(Y193="","",Y193/MAX($Y$4:Y193)-1)</f>
        <v>0</v>
      </c>
    </row>
    <row r="194" spans="1:28" x14ac:dyDescent="0.45">
      <c r="A194" s="121">
        <v>45481</v>
      </c>
      <c r="B194" s="124">
        <v>555.28</v>
      </c>
      <c r="C194" s="124">
        <v>227.82</v>
      </c>
      <c r="D194" s="124">
        <v>466.24</v>
      </c>
      <c r="E194" s="124">
        <v>205.17</v>
      </c>
      <c r="F194" s="124">
        <v>112.18</v>
      </c>
      <c r="G194" s="124">
        <v>145.47999999999999</v>
      </c>
      <c r="H194" s="124">
        <v>199.29</v>
      </c>
      <c r="I194" s="124">
        <v>62.96</v>
      </c>
      <c r="J194" s="125">
        <v>69.680000000000007</v>
      </c>
      <c r="L194" s="39">
        <f t="shared" si="32"/>
        <v>1.1539016298860276E-3</v>
      </c>
      <c r="M194" s="40">
        <f t="shared" si="24"/>
        <v>6.538835380401121E-3</v>
      </c>
      <c r="N194" s="40">
        <f t="shared" si="25"/>
        <v>-2.8231670801608204E-3</v>
      </c>
      <c r="O194" s="40">
        <f t="shared" si="26"/>
        <v>1.8555593534840347E-3</v>
      </c>
      <c r="P194" s="40">
        <f t="shared" si="27"/>
        <v>-1.0496604039869434E-2</v>
      </c>
      <c r="Q194" s="40">
        <f t="shared" si="28"/>
        <v>-6.8268705625341352E-3</v>
      </c>
      <c r="R194" s="40">
        <f t="shared" si="29"/>
        <v>-3.5500000000000397E-3</v>
      </c>
      <c r="S194" s="40">
        <f t="shared" si="30"/>
        <v>-1.2547051442910871E-2</v>
      </c>
      <c r="T194" s="41">
        <f t="shared" si="31"/>
        <v>-5.1399200456881695E-3</v>
      </c>
      <c r="V194" s="39">
        <f t="shared" si="33"/>
        <v>1.1539016298860276E-3</v>
      </c>
      <c r="W194" s="40" cm="1">
        <f t="array" ref="W194">IF(M194="","",SUMPRODUCT(M194:T194,TRANSPOSE('04_Dashboard'!$C$53:$C$60)))</f>
        <v>-4.2587531922584111E-3</v>
      </c>
      <c r="X194" s="42">
        <f t="shared" si="34"/>
        <v>1.2994781306311569</v>
      </c>
      <c r="Y194" s="118">
        <f t="shared" si="35"/>
        <v>1.2250847998809729</v>
      </c>
      <c r="AA194" s="43">
        <f>IF(X194="","",X194/MAX($X$4:X194)-1)</f>
        <v>0</v>
      </c>
      <c r="AB194" s="44">
        <f>IF(Y194="","",Y194/MAX($Y$4:Y194)-1)</f>
        <v>-4.2587531922583244E-3</v>
      </c>
    </row>
    <row r="195" spans="1:28" x14ac:dyDescent="0.45">
      <c r="A195" s="121">
        <v>45482</v>
      </c>
      <c r="B195" s="124">
        <v>555.82000000000005</v>
      </c>
      <c r="C195" s="124">
        <v>228.68</v>
      </c>
      <c r="D195" s="124">
        <v>459.54</v>
      </c>
      <c r="E195" s="124">
        <v>207.63</v>
      </c>
      <c r="F195" s="124">
        <v>110.94</v>
      </c>
      <c r="G195" s="124">
        <v>147.05000000000001</v>
      </c>
      <c r="H195" s="124">
        <v>199.34</v>
      </c>
      <c r="I195" s="124">
        <v>62.69</v>
      </c>
      <c r="J195" s="125">
        <v>69.900000000000006</v>
      </c>
      <c r="L195" s="39">
        <f t="shared" si="32"/>
        <v>9.724823512463574E-4</v>
      </c>
      <c r="M195" s="40">
        <f t="shared" si="24"/>
        <v>3.7749100166798951E-3</v>
      </c>
      <c r="N195" s="40">
        <f t="shared" si="25"/>
        <v>-1.4370281400137243E-2</v>
      </c>
      <c r="O195" s="40">
        <f t="shared" si="26"/>
        <v>1.1990057025881016E-2</v>
      </c>
      <c r="P195" s="40">
        <f t="shared" si="27"/>
        <v>-1.105366375468006E-2</v>
      </c>
      <c r="Q195" s="40">
        <f t="shared" si="28"/>
        <v>1.0791861424250905E-2</v>
      </c>
      <c r="R195" s="40">
        <f t="shared" si="29"/>
        <v>2.5089066184962299E-4</v>
      </c>
      <c r="S195" s="40">
        <f t="shared" si="30"/>
        <v>-4.2884371029225403E-3</v>
      </c>
      <c r="T195" s="41">
        <f t="shared" si="31"/>
        <v>3.1572904707232899E-3</v>
      </c>
      <c r="V195" s="39">
        <f t="shared" si="33"/>
        <v>9.724823512463574E-4</v>
      </c>
      <c r="W195" s="40" cm="1">
        <f t="array" ref="W195">IF(M195="","",SUMPRODUCT(M195:T195,TRANSPOSE('04_Dashboard'!$C$53:$C$60)))</f>
        <v>3.9568424966991899E-3</v>
      </c>
      <c r="X195" s="42">
        <f t="shared" si="34"/>
        <v>1.3007418501790262</v>
      </c>
      <c r="Y195" s="118">
        <f t="shared" si="35"/>
        <v>1.2299322674792021</v>
      </c>
      <c r="AA195" s="43">
        <f>IF(X195="","",X195/MAX($X$4:X195)-1)</f>
        <v>0</v>
      </c>
      <c r="AB195" s="44">
        <f>IF(Y195="","",Y195/MAX($Y$4:Y195)-1)</f>
        <v>-3.1876191117319319E-4</v>
      </c>
    </row>
    <row r="196" spans="1:28" x14ac:dyDescent="0.45">
      <c r="A196" s="121">
        <v>45483</v>
      </c>
      <c r="B196" s="124">
        <v>561.32000000000005</v>
      </c>
      <c r="C196" s="124">
        <v>232.98</v>
      </c>
      <c r="D196" s="124">
        <v>466.25</v>
      </c>
      <c r="E196" s="124">
        <v>207.8</v>
      </c>
      <c r="F196" s="124">
        <v>111.92</v>
      </c>
      <c r="G196" s="124">
        <v>149.43</v>
      </c>
      <c r="H196" s="124">
        <v>199.79</v>
      </c>
      <c r="I196" s="124">
        <v>62.83</v>
      </c>
      <c r="J196" s="125">
        <v>70.41</v>
      </c>
      <c r="L196" s="39">
        <f t="shared" si="32"/>
        <v>9.8952898420351897E-3</v>
      </c>
      <c r="M196" s="40">
        <f t="shared" ref="M196:M259" si="36">IF(C196="","",(C196-C195)/C195)</f>
        <v>1.8803568305055023E-2</v>
      </c>
      <c r="N196" s="40">
        <f t="shared" ref="N196:N259" si="37">IF(D196="","",(D196-D195)/D195)</f>
        <v>1.4601558079818904E-2</v>
      </c>
      <c r="O196" s="40">
        <f t="shared" ref="O196:O259" si="38">IF(E196="","",(E196-E195)/E195)</f>
        <v>8.18764147762924E-4</v>
      </c>
      <c r="P196" s="40">
        <f t="shared" ref="P196:P259" si="39">IF(F196="","",(F196-F195)/F195)</f>
        <v>8.8336037497746892E-3</v>
      </c>
      <c r="Q196" s="40">
        <f t="shared" ref="Q196:Q259" si="40">IF(G196="","",(G196-G195)/G195)</f>
        <v>1.6184971098265864E-2</v>
      </c>
      <c r="R196" s="40">
        <f t="shared" ref="R196:R259" si="41">IF(H196="","",(H196-H195)/H195)</f>
        <v>2.2574495836259088E-3</v>
      </c>
      <c r="S196" s="40">
        <f t="shared" ref="S196:S259" si="42">IF(I196="","",(I196-I195)/I195)</f>
        <v>2.233211038443142E-3</v>
      </c>
      <c r="T196" s="41">
        <f t="shared" ref="T196:T259" si="43">IF(J196="","",(J196-J195)/J195)</f>
        <v>7.2961373390556632E-3</v>
      </c>
      <c r="V196" s="39">
        <f t="shared" si="33"/>
        <v>9.8952898420351897E-3</v>
      </c>
      <c r="W196" s="40" cm="1">
        <f t="array" ref="W196">IF(M196="","",SUMPRODUCT(M196:T196,TRANSPOSE('04_Dashboard'!$C$53:$C$60)))</f>
        <v>8.0156738605032807E-3</v>
      </c>
      <c r="X196" s="42">
        <f t="shared" si="34"/>
        <v>1.3136130677962128</v>
      </c>
      <c r="Y196" s="118">
        <f t="shared" si="35"/>
        <v>1.2397910034058248</v>
      </c>
      <c r="AA196" s="43">
        <f>IF(X196="","",X196/MAX($X$4:X196)-1)</f>
        <v>0</v>
      </c>
      <c r="AB196" s="44">
        <f>IF(Y196="","",Y196/MAX($Y$4:Y196)-1)</f>
        <v>0</v>
      </c>
    </row>
    <row r="197" spans="1:28" x14ac:dyDescent="0.45">
      <c r="A197" s="121">
        <v>45484</v>
      </c>
      <c r="B197" s="124">
        <v>556.48</v>
      </c>
      <c r="C197" s="124">
        <v>227.57</v>
      </c>
      <c r="D197" s="124">
        <v>454.7</v>
      </c>
      <c r="E197" s="124">
        <v>207.45</v>
      </c>
      <c r="F197" s="124">
        <v>113.25</v>
      </c>
      <c r="G197" s="124">
        <v>149.69999999999999</v>
      </c>
      <c r="H197" s="124">
        <v>195.05</v>
      </c>
      <c r="I197" s="124">
        <v>63.1</v>
      </c>
      <c r="J197" s="125">
        <v>69.8</v>
      </c>
      <c r="L197" s="39">
        <f t="shared" ref="L197:L260" si="44">IF(B197="","",(B197-B196)/B196)</f>
        <v>-8.622532601724563E-3</v>
      </c>
      <c r="M197" s="40">
        <f t="shared" si="36"/>
        <v>-2.3220877328526041E-2</v>
      </c>
      <c r="N197" s="40">
        <f t="shared" si="37"/>
        <v>-2.4772117962466512E-2</v>
      </c>
      <c r="O197" s="40">
        <f t="shared" si="38"/>
        <v>-1.6843118383061729E-3</v>
      </c>
      <c r="P197" s="40">
        <f t="shared" si="39"/>
        <v>1.1883488205861313E-2</v>
      </c>
      <c r="Q197" s="40">
        <f t="shared" si="40"/>
        <v>1.8068660911462343E-3</v>
      </c>
      <c r="R197" s="40">
        <f t="shared" si="41"/>
        <v>-2.3724911156714455E-2</v>
      </c>
      <c r="S197" s="40">
        <f t="shared" si="42"/>
        <v>4.2973102021327892E-3</v>
      </c>
      <c r="T197" s="41">
        <f t="shared" si="43"/>
        <v>-8.663542110495661E-3</v>
      </c>
      <c r="V197" s="39">
        <f t="shared" ref="V197:V260" si="45">L197</f>
        <v>-8.622532601724563E-3</v>
      </c>
      <c r="W197" s="40" cm="1">
        <f t="array" ref="W197">IF(M197="","",SUMPRODUCT(M197:T197,TRANSPOSE('04_Dashboard'!$C$53:$C$60)))</f>
        <v>-4.6983778996768756E-3</v>
      </c>
      <c r="X197" s="42">
        <f t="shared" si="34"/>
        <v>1.3022863962930886</v>
      </c>
      <c r="Y197" s="118">
        <f t="shared" si="35"/>
        <v>1.2339659967552048</v>
      </c>
      <c r="AA197" s="43">
        <f>IF(X197="","",X197/MAX($X$4:X197)-1)</f>
        <v>-8.6225326017245196E-3</v>
      </c>
      <c r="AB197" s="44">
        <f>IF(Y197="","",Y197/MAX($Y$4:Y197)-1)</f>
        <v>-4.6983778996767533E-3</v>
      </c>
    </row>
    <row r="198" spans="1:28" x14ac:dyDescent="0.45">
      <c r="A198" s="121">
        <v>45485</v>
      </c>
      <c r="B198" s="124">
        <v>559.99</v>
      </c>
      <c r="C198" s="124">
        <v>230.54</v>
      </c>
      <c r="D198" s="124">
        <v>453.55</v>
      </c>
      <c r="E198" s="124">
        <v>204.94</v>
      </c>
      <c r="F198" s="124">
        <v>113.27</v>
      </c>
      <c r="G198" s="124">
        <v>149.88</v>
      </c>
      <c r="H198" s="124">
        <v>194.49</v>
      </c>
      <c r="I198" s="124">
        <v>63.7</v>
      </c>
      <c r="J198" s="125">
        <v>69.239999999999995</v>
      </c>
      <c r="L198" s="39">
        <f t="shared" si="44"/>
        <v>6.3075043128234453E-3</v>
      </c>
      <c r="M198" s="40">
        <f t="shared" si="36"/>
        <v>1.3050929384365246E-2</v>
      </c>
      <c r="N198" s="40">
        <f t="shared" si="37"/>
        <v>-2.5291400923685447E-3</v>
      </c>
      <c r="O198" s="40">
        <f t="shared" si="38"/>
        <v>-1.2099301036394269E-2</v>
      </c>
      <c r="P198" s="40">
        <f t="shared" si="39"/>
        <v>1.7660044150106862E-4</v>
      </c>
      <c r="Q198" s="40">
        <f t="shared" si="40"/>
        <v>1.2024048096192842E-3</v>
      </c>
      <c r="R198" s="40">
        <f t="shared" si="41"/>
        <v>-2.8710587028967045E-3</v>
      </c>
      <c r="S198" s="40">
        <f t="shared" si="42"/>
        <v>9.5087163232963779E-3</v>
      </c>
      <c r="T198" s="41">
        <f t="shared" si="43"/>
        <v>-8.0229226361031841E-3</v>
      </c>
      <c r="V198" s="39">
        <f t="shared" si="45"/>
        <v>6.3075043128234453E-3</v>
      </c>
      <c r="W198" s="40" cm="1">
        <f t="array" ref="W198">IF(M198="","",SUMPRODUCT(M198:T198,TRANSPOSE('04_Dashboard'!$C$53:$C$60)))</f>
        <v>-2.0392624584385146E-3</v>
      </c>
      <c r="X198" s="42">
        <f t="shared" ref="X198:X261" si="46">IF(V198="","",X197*(1+V198))</f>
        <v>1.3105005733542385</v>
      </c>
      <c r="Y198" s="118">
        <f t="shared" ref="Y198:Y261" si="47">IF(W198="","",Y197*(1+W198))</f>
        <v>1.2314496162230322</v>
      </c>
      <c r="AA198" s="43">
        <f>IF(X198="","",X198/MAX($X$4:X198)-1)</f>
        <v>-2.3694149504739359E-3</v>
      </c>
      <c r="AB198" s="44">
        <f>IF(Y198="","",Y198/MAX($Y$4:Y198)-1)</f>
        <v>-6.7280591324490047E-3</v>
      </c>
    </row>
    <row r="199" spans="1:28" x14ac:dyDescent="0.45">
      <c r="A199" s="121">
        <v>45488</v>
      </c>
      <c r="B199" s="124">
        <v>561.53</v>
      </c>
      <c r="C199" s="124">
        <v>234.4</v>
      </c>
      <c r="D199" s="124">
        <v>453.96</v>
      </c>
      <c r="E199" s="124">
        <v>210.05</v>
      </c>
      <c r="F199" s="124">
        <v>115.21</v>
      </c>
      <c r="G199" s="124">
        <v>149.24</v>
      </c>
      <c r="H199" s="124">
        <v>192.72</v>
      </c>
      <c r="I199" s="124">
        <v>63.41</v>
      </c>
      <c r="J199" s="125">
        <v>69.61</v>
      </c>
      <c r="L199" s="39">
        <f t="shared" si="44"/>
        <v>2.7500491080197208E-3</v>
      </c>
      <c r="M199" s="40">
        <f t="shared" si="36"/>
        <v>1.6743298343020793E-2</v>
      </c>
      <c r="N199" s="40">
        <f t="shared" si="37"/>
        <v>9.0397971557704365E-4</v>
      </c>
      <c r="O199" s="40">
        <f t="shared" si="38"/>
        <v>2.4934127061579065E-2</v>
      </c>
      <c r="P199" s="40">
        <f t="shared" si="39"/>
        <v>1.7127218151319835E-2</v>
      </c>
      <c r="Q199" s="40">
        <f t="shared" si="40"/>
        <v>-4.270082732852858E-3</v>
      </c>
      <c r="R199" s="40">
        <f t="shared" si="41"/>
        <v>-9.1007249730063761E-3</v>
      </c>
      <c r="S199" s="40">
        <f t="shared" si="42"/>
        <v>-4.552590266876079E-3</v>
      </c>
      <c r="T199" s="41">
        <f t="shared" si="43"/>
        <v>5.3437319468515971E-3</v>
      </c>
      <c r="V199" s="39">
        <f t="shared" si="45"/>
        <v>2.7500491080197208E-3</v>
      </c>
      <c r="W199" s="40" cm="1">
        <f t="array" ref="W199">IF(M199="","",SUMPRODUCT(M199:T199,TRANSPOSE('04_Dashboard'!$C$53:$C$60)))</f>
        <v>6.1794033927398476E-3</v>
      </c>
      <c r="X199" s="42">
        <f t="shared" si="46"/>
        <v>1.3141045142870507</v>
      </c>
      <c r="Y199" s="118">
        <f t="shared" si="47"/>
        <v>1.2390592401595089</v>
      </c>
      <c r="AA199" s="43">
        <f>IF(X199="","",X199/MAX($X$4:X199)-1)</f>
        <v>0</v>
      </c>
      <c r="AB199" s="44">
        <f>IF(Y199="","",Y199/MAX($Y$4:Y199)-1)</f>
        <v>-5.9023113113887415E-4</v>
      </c>
    </row>
    <row r="200" spans="1:28" x14ac:dyDescent="0.45">
      <c r="A200" s="121">
        <v>45489</v>
      </c>
      <c r="B200" s="124">
        <v>564.86</v>
      </c>
      <c r="C200" s="124">
        <v>234.82</v>
      </c>
      <c r="D200" s="124">
        <v>449.52</v>
      </c>
      <c r="E200" s="124">
        <v>213.62</v>
      </c>
      <c r="F200" s="124">
        <v>116.04</v>
      </c>
      <c r="G200" s="124">
        <v>151.01</v>
      </c>
      <c r="H200" s="124">
        <v>193.02</v>
      </c>
      <c r="I200" s="124">
        <v>64.27</v>
      </c>
      <c r="J200" s="125">
        <v>69.989999999999995</v>
      </c>
      <c r="L200" s="39">
        <f t="shared" si="44"/>
        <v>5.9302263458765178E-3</v>
      </c>
      <c r="M200" s="40">
        <f t="shared" si="36"/>
        <v>1.791808873720083E-3</v>
      </c>
      <c r="N200" s="40">
        <f t="shared" si="37"/>
        <v>-9.7805974094633836E-3</v>
      </c>
      <c r="O200" s="40">
        <f t="shared" si="38"/>
        <v>1.6995953344441764E-2</v>
      </c>
      <c r="P200" s="40">
        <f t="shared" si="39"/>
        <v>7.2042357434251589E-3</v>
      </c>
      <c r="Q200" s="40">
        <f t="shared" si="40"/>
        <v>1.1860091128383689E-2</v>
      </c>
      <c r="R200" s="40">
        <f t="shared" si="41"/>
        <v>1.5566625155666841E-3</v>
      </c>
      <c r="S200" s="40">
        <f t="shared" si="42"/>
        <v>1.356252956946853E-2</v>
      </c>
      <c r="T200" s="41">
        <f t="shared" si="43"/>
        <v>5.458985777905408E-3</v>
      </c>
      <c r="V200" s="39">
        <f t="shared" si="45"/>
        <v>5.9302263458765178E-3</v>
      </c>
      <c r="W200" s="40" cm="1">
        <f t="array" ref="W200">IF(M200="","",SUMPRODUCT(M200:T200,TRANSPOSE('04_Dashboard'!$C$53:$C$60)))</f>
        <v>9.4023495256740277E-3</v>
      </c>
      <c r="X200" s="42">
        <f t="shared" si="46"/>
        <v>1.321897451498911</v>
      </c>
      <c r="Y200" s="118">
        <f t="shared" si="47"/>
        <v>1.2507093082185048</v>
      </c>
      <c r="AA200" s="43">
        <f>IF(X200="","",X200/MAX($X$4:X200)-1)</f>
        <v>0</v>
      </c>
      <c r="AB200" s="44">
        <f>IF(Y200="","",Y200/MAX($Y$4:Y200)-1)</f>
        <v>0</v>
      </c>
    </row>
    <row r="201" spans="1:28" x14ac:dyDescent="0.45">
      <c r="A201" s="121">
        <v>45490</v>
      </c>
      <c r="B201" s="124">
        <v>556.94000000000005</v>
      </c>
      <c r="C201" s="124">
        <v>228.88</v>
      </c>
      <c r="D201" s="124">
        <v>443.52</v>
      </c>
      <c r="E201" s="124">
        <v>216.87</v>
      </c>
      <c r="F201" s="124">
        <v>117.64</v>
      </c>
      <c r="G201" s="124">
        <v>156.58000000000001</v>
      </c>
      <c r="H201" s="124">
        <v>187.93</v>
      </c>
      <c r="I201" s="124">
        <v>65.209999999999994</v>
      </c>
      <c r="J201" s="125">
        <v>71.03</v>
      </c>
      <c r="L201" s="39">
        <f t="shared" si="44"/>
        <v>-1.4021173388096093E-2</v>
      </c>
      <c r="M201" s="40">
        <f t="shared" si="36"/>
        <v>-2.5295971382335396E-2</v>
      </c>
      <c r="N201" s="40">
        <f t="shared" si="37"/>
        <v>-1.3347570742124934E-2</v>
      </c>
      <c r="O201" s="40">
        <f t="shared" si="38"/>
        <v>1.5213931279842711E-2</v>
      </c>
      <c r="P201" s="40">
        <f t="shared" si="39"/>
        <v>1.3788348845225734E-2</v>
      </c>
      <c r="Q201" s="40">
        <f t="shared" si="40"/>
        <v>3.6884974504999814E-2</v>
      </c>
      <c r="R201" s="40">
        <f t="shared" si="41"/>
        <v>-2.6370324318723465E-2</v>
      </c>
      <c r="S201" s="40">
        <f t="shared" si="42"/>
        <v>1.4625797417146379E-2</v>
      </c>
      <c r="T201" s="41">
        <f t="shared" si="43"/>
        <v>1.4859265609372858E-2</v>
      </c>
      <c r="V201" s="39">
        <f t="shared" si="45"/>
        <v>-1.4021173388096093E-2</v>
      </c>
      <c r="W201" s="40" cm="1">
        <f t="array" ref="W201">IF(M201="","",SUMPRODUCT(M201:T201,TRANSPOSE('04_Dashboard'!$C$53:$C$60)))</f>
        <v>1.2941548891294865E-2</v>
      </c>
      <c r="X201" s="42">
        <f t="shared" si="46"/>
        <v>1.3033628981301626</v>
      </c>
      <c r="Y201" s="118">
        <f t="shared" si="47"/>
        <v>1.2668954238796122</v>
      </c>
      <c r="AA201" s="43">
        <f>IF(X201="","",X201/MAX($X$4:X201)-1)</f>
        <v>-1.4021173388095942E-2</v>
      </c>
      <c r="AB201" s="44">
        <f>IF(Y201="","",Y201/MAX($Y$4:Y201)-1)</f>
        <v>0</v>
      </c>
    </row>
    <row r="202" spans="1:28" x14ac:dyDescent="0.45">
      <c r="A202" s="121">
        <v>45491</v>
      </c>
      <c r="B202" s="124">
        <v>552.66</v>
      </c>
      <c r="C202" s="124">
        <v>224.18</v>
      </c>
      <c r="D202" s="124">
        <v>440.37</v>
      </c>
      <c r="E202" s="124">
        <v>209.98</v>
      </c>
      <c r="F202" s="124">
        <v>118.8</v>
      </c>
      <c r="G202" s="124">
        <v>155.41999999999999</v>
      </c>
      <c r="H202" s="124">
        <v>183.75</v>
      </c>
      <c r="I202" s="124">
        <v>65.19</v>
      </c>
      <c r="J202" s="125">
        <v>70.819999999999993</v>
      </c>
      <c r="L202" s="39">
        <f t="shared" si="44"/>
        <v>-7.6848493554064817E-3</v>
      </c>
      <c r="M202" s="40">
        <f t="shared" si="36"/>
        <v>-2.0534778049632947E-2</v>
      </c>
      <c r="N202" s="40">
        <f t="shared" si="37"/>
        <v>-7.1022727272726767E-3</v>
      </c>
      <c r="O202" s="40">
        <f t="shared" si="38"/>
        <v>-3.1770184903398418E-2</v>
      </c>
      <c r="P202" s="40">
        <f t="shared" si="39"/>
        <v>9.8605916354981005E-3</v>
      </c>
      <c r="Q202" s="40">
        <f t="shared" si="40"/>
        <v>-7.408353557287169E-3</v>
      </c>
      <c r="R202" s="40">
        <f t="shared" si="41"/>
        <v>-2.2242324269674915E-2</v>
      </c>
      <c r="S202" s="40">
        <f t="shared" si="42"/>
        <v>-3.0670142616157065E-4</v>
      </c>
      <c r="T202" s="41">
        <f t="shared" si="43"/>
        <v>-2.9564972546812325E-3</v>
      </c>
      <c r="V202" s="39">
        <f t="shared" si="45"/>
        <v>-7.6848493554064817E-3</v>
      </c>
      <c r="W202" s="40" cm="1">
        <f t="array" ref="W202">IF(M202="","",SUMPRODUCT(M202:T202,TRANSPOSE('04_Dashboard'!$C$53:$C$60)))</f>
        <v>-1.2509031443900099E-2</v>
      </c>
      <c r="X202" s="42">
        <f t="shared" si="46"/>
        <v>1.2933467506026064</v>
      </c>
      <c r="Y202" s="118">
        <f t="shared" si="47"/>
        <v>1.2510477891861689</v>
      </c>
      <c r="AA202" s="43">
        <f>IF(X202="","",X202/MAX($X$4:X202)-1)</f>
        <v>-2.1598272138228847E-2</v>
      </c>
      <c r="AB202" s="44">
        <f>IF(Y202="","",Y202/MAX($Y$4:Y202)-1)</f>
        <v>-1.2509031443900143E-2</v>
      </c>
    </row>
    <row r="203" spans="1:28" x14ac:dyDescent="0.45">
      <c r="A203" s="121">
        <v>45492</v>
      </c>
      <c r="B203" s="124">
        <v>548.99</v>
      </c>
      <c r="C203" s="124">
        <v>224.31</v>
      </c>
      <c r="D203" s="124">
        <v>437.11</v>
      </c>
      <c r="E203" s="124">
        <v>209.78</v>
      </c>
      <c r="F203" s="124">
        <v>116.07</v>
      </c>
      <c r="G203" s="124">
        <v>154.69</v>
      </c>
      <c r="H203" s="124">
        <v>183.13</v>
      </c>
      <c r="I203" s="124">
        <v>65.290000000000006</v>
      </c>
      <c r="J203" s="125">
        <v>70.75</v>
      </c>
      <c r="L203" s="39">
        <f t="shared" si="44"/>
        <v>-6.6406108638221682E-3</v>
      </c>
      <c r="M203" s="40">
        <f t="shared" si="36"/>
        <v>5.7989115889015724E-4</v>
      </c>
      <c r="N203" s="40">
        <f t="shared" si="37"/>
        <v>-7.4028657719644635E-3</v>
      </c>
      <c r="O203" s="40">
        <f t="shared" si="38"/>
        <v>-9.5247166396794289E-4</v>
      </c>
      <c r="P203" s="40">
        <f t="shared" si="39"/>
        <v>-2.2979797979798013E-2</v>
      </c>
      <c r="Q203" s="40">
        <f t="shared" si="40"/>
        <v>-4.6969501994594638E-3</v>
      </c>
      <c r="R203" s="40">
        <f t="shared" si="41"/>
        <v>-3.3741496598639702E-3</v>
      </c>
      <c r="S203" s="40">
        <f t="shared" si="42"/>
        <v>1.5339776039271136E-3</v>
      </c>
      <c r="T203" s="41">
        <f t="shared" si="43"/>
        <v>-9.8842134990106164E-4</v>
      </c>
      <c r="V203" s="39">
        <f t="shared" si="45"/>
        <v>-6.6406108638221682E-3</v>
      </c>
      <c r="W203" s="40" cm="1">
        <f t="array" ref="W203">IF(M203="","",SUMPRODUCT(M203:T203,TRANSPOSE('04_Dashboard'!$C$53:$C$60)))</f>
        <v>-3.1394021898177764E-3</v>
      </c>
      <c r="X203" s="42">
        <f t="shared" si="46"/>
        <v>1.2847581381198656</v>
      </c>
      <c r="Y203" s="118">
        <f t="shared" si="47"/>
        <v>1.2471202470172311</v>
      </c>
      <c r="AA203" s="43">
        <f>IF(X203="","",X203/MAX($X$4:X203)-1)</f>
        <v>-2.8095457281450131E-2</v>
      </c>
      <c r="AB203" s="44">
        <f>IF(Y203="","",Y203/MAX($Y$4:Y203)-1)</f>
        <v>-1.5609162753010497E-2</v>
      </c>
    </row>
    <row r="204" spans="1:28" x14ac:dyDescent="0.45">
      <c r="A204" s="121">
        <v>45495</v>
      </c>
      <c r="B204" s="124">
        <v>554.65</v>
      </c>
      <c r="C204" s="124">
        <v>223.96</v>
      </c>
      <c r="D204" s="124">
        <v>442.94</v>
      </c>
      <c r="E204" s="124">
        <v>210.28</v>
      </c>
      <c r="F204" s="124">
        <v>115.27</v>
      </c>
      <c r="G204" s="124">
        <v>154.24</v>
      </c>
      <c r="H204" s="124">
        <v>182.55</v>
      </c>
      <c r="I204" s="124">
        <v>64.77</v>
      </c>
      <c r="J204" s="125">
        <v>70.38</v>
      </c>
      <c r="L204" s="39">
        <f t="shared" si="44"/>
        <v>1.0309841709320694E-2</v>
      </c>
      <c r="M204" s="40">
        <f t="shared" si="36"/>
        <v>-1.5603406000623884E-3</v>
      </c>
      <c r="N204" s="40">
        <f t="shared" si="37"/>
        <v>1.3337603806822045E-2</v>
      </c>
      <c r="O204" s="40">
        <f t="shared" si="38"/>
        <v>2.3834493278672895E-3</v>
      </c>
      <c r="P204" s="40">
        <f t="shared" si="39"/>
        <v>-6.8923925217540902E-3</v>
      </c>
      <c r="Q204" s="40">
        <f t="shared" si="40"/>
        <v>-2.9090438942400198E-3</v>
      </c>
      <c r="R204" s="40">
        <f t="shared" si="41"/>
        <v>-3.1671490198218973E-3</v>
      </c>
      <c r="S204" s="40">
        <f t="shared" si="42"/>
        <v>-7.9644662276000949E-3</v>
      </c>
      <c r="T204" s="41">
        <f t="shared" si="43"/>
        <v>-5.2296819787986506E-3</v>
      </c>
      <c r="V204" s="39">
        <f t="shared" si="45"/>
        <v>1.0309841709320694E-2</v>
      </c>
      <c r="W204" s="40" cm="1">
        <f t="array" ref="W204">IF(M204="","",SUMPRODUCT(M204:T204,TRANSPOSE('04_Dashboard'!$C$53:$C$60)))</f>
        <v>-1.7167381415522168E-3</v>
      </c>
      <c r="X204" s="42">
        <f t="shared" si="46"/>
        <v>1.2980037911586428</v>
      </c>
      <c r="Y204" s="118">
        <f t="shared" si="47"/>
        <v>1.2449792681220746</v>
      </c>
      <c r="AA204" s="43">
        <f>IF(X204="","",X204/MAX($X$4:X204)-1)</f>
        <v>-1.8075275289452297E-2</v>
      </c>
      <c r="AB204" s="44">
        <f>IF(Y204="","",Y204/MAX($Y$4:Y204)-1)</f>
        <v>-1.7299104049506964E-2</v>
      </c>
    </row>
    <row r="205" spans="1:28" x14ac:dyDescent="0.45">
      <c r="A205" s="121">
        <v>45496</v>
      </c>
      <c r="B205" s="124">
        <v>553.78</v>
      </c>
      <c r="C205" s="124">
        <v>225.01</v>
      </c>
      <c r="D205" s="124">
        <v>444.85</v>
      </c>
      <c r="E205" s="124">
        <v>210.33</v>
      </c>
      <c r="F205" s="124">
        <v>113.41</v>
      </c>
      <c r="G205" s="124">
        <v>152.35</v>
      </c>
      <c r="H205" s="124">
        <v>186.41</v>
      </c>
      <c r="I205" s="124">
        <v>64.959999999999994</v>
      </c>
      <c r="J205" s="125">
        <v>70.650000000000006</v>
      </c>
      <c r="L205" s="39">
        <f t="shared" si="44"/>
        <v>-1.5685567474984306E-3</v>
      </c>
      <c r="M205" s="40">
        <f t="shared" si="36"/>
        <v>4.6883372030719012E-3</v>
      </c>
      <c r="N205" s="40">
        <f t="shared" si="37"/>
        <v>4.3120964464713621E-3</v>
      </c>
      <c r="O205" s="40">
        <f t="shared" si="38"/>
        <v>2.3777820049463271E-4</v>
      </c>
      <c r="P205" s="40">
        <f t="shared" si="39"/>
        <v>-1.6136028454931894E-2</v>
      </c>
      <c r="Q205" s="40">
        <f t="shared" si="40"/>
        <v>-1.2253630705394286E-2</v>
      </c>
      <c r="R205" s="40">
        <f t="shared" si="41"/>
        <v>2.1144891810462803E-2</v>
      </c>
      <c r="S205" s="40">
        <f t="shared" si="42"/>
        <v>2.9334568473058167E-3</v>
      </c>
      <c r="T205" s="41">
        <f t="shared" si="43"/>
        <v>3.8363171355500179E-3</v>
      </c>
      <c r="V205" s="39">
        <f t="shared" si="45"/>
        <v>-1.5685567474984306E-3</v>
      </c>
      <c r="W205" s="40" cm="1">
        <f t="array" ref="W205">IF(M205="","",SUMPRODUCT(M205:T205,TRANSPOSE('04_Dashboard'!$C$53:$C$60)))</f>
        <v>-6.2224713750440113E-4</v>
      </c>
      <c r="X205" s="42">
        <f t="shared" si="46"/>
        <v>1.2959677985537423</v>
      </c>
      <c r="Y205" s="118">
        <f t="shared" si="47"/>
        <v>1.2442045833362334</v>
      </c>
      <c r="AA205" s="43">
        <f>IF(X205="","",X205/MAX($X$4:X205)-1)</f>
        <v>-1.9615479941932579E-2</v>
      </c>
      <c r="AB205" s="44">
        <f>IF(Y205="","",Y205/MAX($Y$4:Y205)-1)</f>
        <v>-1.7910586869035017E-2</v>
      </c>
    </row>
    <row r="206" spans="1:28" x14ac:dyDescent="0.45">
      <c r="A206" s="121">
        <v>45497</v>
      </c>
      <c r="B206" s="124">
        <v>541.23</v>
      </c>
      <c r="C206" s="124">
        <v>218.54</v>
      </c>
      <c r="D206" s="124">
        <v>428.9</v>
      </c>
      <c r="E206" s="124">
        <v>208.59</v>
      </c>
      <c r="F206" s="124">
        <v>115.01</v>
      </c>
      <c r="G206" s="124">
        <v>156.28</v>
      </c>
      <c r="H206" s="124">
        <v>180.83</v>
      </c>
      <c r="I206" s="124">
        <v>65.81</v>
      </c>
      <c r="J206" s="125">
        <v>70.599999999999994</v>
      </c>
      <c r="L206" s="39">
        <f t="shared" si="44"/>
        <v>-2.2662429123478555E-2</v>
      </c>
      <c r="M206" s="40">
        <f t="shared" si="36"/>
        <v>-2.8754277587662767E-2</v>
      </c>
      <c r="N206" s="40">
        <f t="shared" si="37"/>
        <v>-3.5854782510958853E-2</v>
      </c>
      <c r="O206" s="40">
        <f t="shared" si="38"/>
        <v>-8.2727143060904729E-3</v>
      </c>
      <c r="P206" s="40">
        <f t="shared" si="39"/>
        <v>1.4108103341857055E-2</v>
      </c>
      <c r="Q206" s="40">
        <f t="shared" si="40"/>
        <v>2.5795864785034504E-2</v>
      </c>
      <c r="R206" s="40">
        <f t="shared" si="41"/>
        <v>-2.9934016415428272E-2</v>
      </c>
      <c r="S206" s="40">
        <f t="shared" si="42"/>
        <v>1.3084975369458261E-2</v>
      </c>
      <c r="T206" s="41">
        <f t="shared" si="43"/>
        <v>-7.0771408351042266E-4</v>
      </c>
      <c r="V206" s="39">
        <f t="shared" si="45"/>
        <v>-2.2662429123478555E-2</v>
      </c>
      <c r="W206" s="40" cm="1">
        <f t="array" ref="W206">IF(M206="","",SUMPRODUCT(M206:T206,TRANSPOSE('04_Dashboard'!$C$53:$C$60)))</f>
        <v>3.7876308669751446E-4</v>
      </c>
      <c r="X206" s="42">
        <f t="shared" si="46"/>
        <v>1.2665980201727076</v>
      </c>
      <c r="Y206" s="118">
        <f t="shared" si="47"/>
        <v>1.2446758421047011</v>
      </c>
      <c r="AA206" s="43">
        <f>IF(X206="","",X206/MAX($X$4:X206)-1)</f>
        <v>-4.1833374641504051E-2</v>
      </c>
      <c r="AB206" s="44">
        <f>IF(Y206="","",Y206/MAX($Y$4:Y206)-1)</f>
        <v>-1.7538607651504612E-2</v>
      </c>
    </row>
    <row r="207" spans="1:28" x14ac:dyDescent="0.45">
      <c r="A207" s="121">
        <v>45498</v>
      </c>
      <c r="B207" s="124">
        <v>538.41</v>
      </c>
      <c r="C207" s="124">
        <v>217.49</v>
      </c>
      <c r="D207" s="124">
        <v>418.4</v>
      </c>
      <c r="E207" s="124">
        <v>208.67</v>
      </c>
      <c r="F207" s="124">
        <v>117.43</v>
      </c>
      <c r="G207" s="124">
        <v>159.63999999999999</v>
      </c>
      <c r="H207" s="124">
        <v>179.85</v>
      </c>
      <c r="I207" s="124">
        <v>66.069999999999993</v>
      </c>
      <c r="J207" s="125">
        <v>70.02</v>
      </c>
      <c r="L207" s="39">
        <f t="shared" si="44"/>
        <v>-5.2103541932266321E-3</v>
      </c>
      <c r="M207" s="40">
        <f t="shared" si="36"/>
        <v>-4.8046124279307358E-3</v>
      </c>
      <c r="N207" s="40">
        <f t="shared" si="37"/>
        <v>-2.4481231056190256E-2</v>
      </c>
      <c r="O207" s="40">
        <f t="shared" si="38"/>
        <v>3.8352749412715894E-4</v>
      </c>
      <c r="P207" s="40">
        <f t="shared" si="39"/>
        <v>2.1041648552299813E-2</v>
      </c>
      <c r="Q207" s="40">
        <f t="shared" si="40"/>
        <v>2.1499872024571189E-2</v>
      </c>
      <c r="R207" s="40">
        <f t="shared" si="41"/>
        <v>-5.4194547364929384E-3</v>
      </c>
      <c r="S207" s="40">
        <f t="shared" si="42"/>
        <v>3.95076736058336E-3</v>
      </c>
      <c r="T207" s="41">
        <f t="shared" si="43"/>
        <v>-8.2152974504249056E-3</v>
      </c>
      <c r="V207" s="39">
        <f t="shared" si="45"/>
        <v>-5.2103541932266321E-3</v>
      </c>
      <c r="W207" s="40" cm="1">
        <f t="array" ref="W207">IF(M207="","",SUMPRODUCT(M207:T207,TRANSPOSE('04_Dashboard'!$C$53:$C$60)))</f>
        <v>3.3384653526663463E-3</v>
      </c>
      <c r="X207" s="42">
        <f t="shared" si="46"/>
        <v>1.2599985958671682</v>
      </c>
      <c r="Y207" s="118">
        <f t="shared" si="47"/>
        <v>1.2488311492788682</v>
      </c>
      <c r="AA207" s="43">
        <f>IF(X207="","",X207/MAX($X$4:X207)-1)</f>
        <v>-4.6825762135750515E-2</v>
      </c>
      <c r="AB207" s="44">
        <f>IF(Y207="","",Y207/MAX($Y$4:Y207)-1)</f>
        <v>-1.4258694332817012E-2</v>
      </c>
    </row>
    <row r="208" spans="1:28" x14ac:dyDescent="0.45">
      <c r="A208" s="121">
        <v>45499</v>
      </c>
      <c r="B208" s="124">
        <v>544.44000000000005</v>
      </c>
      <c r="C208" s="124">
        <v>217.96</v>
      </c>
      <c r="D208" s="124">
        <v>425.27</v>
      </c>
      <c r="E208" s="124">
        <v>212.24</v>
      </c>
      <c r="F208" s="124">
        <v>117.33</v>
      </c>
      <c r="G208" s="124">
        <v>160.63999999999999</v>
      </c>
      <c r="H208" s="124">
        <v>182.5</v>
      </c>
      <c r="I208" s="124">
        <v>67.05</v>
      </c>
      <c r="J208" s="125">
        <v>69.78</v>
      </c>
      <c r="L208" s="39">
        <f t="shared" si="44"/>
        <v>1.1199643394439343E-2</v>
      </c>
      <c r="M208" s="40">
        <f t="shared" si="36"/>
        <v>2.1610188974205656E-3</v>
      </c>
      <c r="N208" s="40">
        <f t="shared" si="37"/>
        <v>1.6419694072657757E-2</v>
      </c>
      <c r="O208" s="40">
        <f t="shared" si="38"/>
        <v>1.7108352901710939E-2</v>
      </c>
      <c r="P208" s="40">
        <f t="shared" si="39"/>
        <v>-8.515711487695522E-4</v>
      </c>
      <c r="Q208" s="40">
        <f t="shared" si="40"/>
        <v>6.2640942119769486E-3</v>
      </c>
      <c r="R208" s="40">
        <f t="shared" si="41"/>
        <v>1.4734500973033115E-2</v>
      </c>
      <c r="S208" s="40">
        <f t="shared" si="42"/>
        <v>1.4832753140608508E-2</v>
      </c>
      <c r="T208" s="41">
        <f t="shared" si="43"/>
        <v>-3.4275921165380593E-3</v>
      </c>
      <c r="V208" s="39">
        <f t="shared" si="45"/>
        <v>1.1199643394439343E-2</v>
      </c>
      <c r="W208" s="40" cm="1">
        <f t="array" ref="W208">IF(M208="","",SUMPRODUCT(M208:T208,TRANSPOSE('04_Dashboard'!$C$53:$C$60)))</f>
        <v>9.4006862228576248E-3</v>
      </c>
      <c r="X208" s="42">
        <f t="shared" si="46"/>
        <v>1.2741101308183747</v>
      </c>
      <c r="Y208" s="118">
        <f t="shared" si="47"/>
        <v>1.2605710190585697</v>
      </c>
      <c r="AA208" s="43">
        <f>IF(X208="","",X208/MAX($X$4:X208)-1)</f>
        <v>-3.6150550578904483E-2</v>
      </c>
      <c r="AB208" s="44">
        <f>IF(Y208="","",Y208/MAX($Y$4:Y208)-1)</f>
        <v>-4.9920496213295973E-3</v>
      </c>
    </row>
    <row r="209" spans="1:28" x14ac:dyDescent="0.45">
      <c r="A209" s="121">
        <v>45502</v>
      </c>
      <c r="B209" s="124">
        <v>544.76</v>
      </c>
      <c r="C209" s="124">
        <v>218.24</v>
      </c>
      <c r="D209" s="124">
        <v>426.73</v>
      </c>
      <c r="E209" s="124">
        <v>210.85</v>
      </c>
      <c r="F209" s="124">
        <v>116.1</v>
      </c>
      <c r="G209" s="124">
        <v>158.56</v>
      </c>
      <c r="H209" s="124">
        <v>183.2</v>
      </c>
      <c r="I209" s="124">
        <v>66.83</v>
      </c>
      <c r="J209" s="125">
        <v>69.62</v>
      </c>
      <c r="L209" s="39">
        <f t="shared" si="44"/>
        <v>5.8775990008069995E-4</v>
      </c>
      <c r="M209" s="40">
        <f t="shared" si="36"/>
        <v>1.2846393833731012E-3</v>
      </c>
      <c r="N209" s="40">
        <f t="shared" si="37"/>
        <v>3.4331130811015038E-3</v>
      </c>
      <c r="O209" s="40">
        <f t="shared" si="38"/>
        <v>-6.5491895966830697E-3</v>
      </c>
      <c r="P209" s="40">
        <f t="shared" si="39"/>
        <v>-1.0483252365124044E-2</v>
      </c>
      <c r="Q209" s="40">
        <f t="shared" si="40"/>
        <v>-1.2948207171314643E-2</v>
      </c>
      <c r="R209" s="40">
        <f t="shared" si="41"/>
        <v>3.8356164383561019E-3</v>
      </c>
      <c r="S209" s="40">
        <f t="shared" si="42"/>
        <v>-3.2811334824757476E-3</v>
      </c>
      <c r="T209" s="41">
        <f t="shared" si="43"/>
        <v>-2.2929206076239121E-3</v>
      </c>
      <c r="V209" s="39">
        <f t="shared" si="45"/>
        <v>5.8775990008069995E-4</v>
      </c>
      <c r="W209" s="40" cm="1">
        <f t="array" ref="W209">IF(M209="","",SUMPRODUCT(M209:T209,TRANSPOSE('04_Dashboard'!$C$53:$C$60)))</f>
        <v>-5.3498592159649137E-3</v>
      </c>
      <c r="X209" s="42">
        <f t="shared" si="46"/>
        <v>1.2748590016615564</v>
      </c>
      <c r="Y209" s="118">
        <f t="shared" si="47"/>
        <v>1.253827141574881</v>
      </c>
      <c r="AA209" s="43">
        <f>IF(X209="","",X209/MAX($X$4:X209)-1)</f>
        <v>-3.5584038522819883E-2</v>
      </c>
      <c r="AB209" s="44">
        <f>IF(Y209="","",Y209/MAX($Y$4:Y209)-1)</f>
        <v>-1.0315202074621332E-2</v>
      </c>
    </row>
    <row r="210" spans="1:28" x14ac:dyDescent="0.45">
      <c r="A210" s="121">
        <v>45503</v>
      </c>
      <c r="B210" s="124">
        <v>542</v>
      </c>
      <c r="C210" s="124">
        <v>218.8</v>
      </c>
      <c r="D210" s="124">
        <v>422.92</v>
      </c>
      <c r="E210" s="124">
        <v>215.19</v>
      </c>
      <c r="F210" s="124">
        <v>118.17</v>
      </c>
      <c r="G210" s="124">
        <v>161.33000000000001</v>
      </c>
      <c r="H210" s="124">
        <v>181.71</v>
      </c>
      <c r="I210" s="124">
        <v>67.680000000000007</v>
      </c>
      <c r="J210" s="125">
        <v>69.19</v>
      </c>
      <c r="L210" s="39">
        <f t="shared" si="44"/>
        <v>-5.0664512812981701E-3</v>
      </c>
      <c r="M210" s="40">
        <f t="shared" si="36"/>
        <v>2.5659824046920924E-3</v>
      </c>
      <c r="N210" s="40">
        <f t="shared" si="37"/>
        <v>-8.9283621962365015E-3</v>
      </c>
      <c r="O210" s="40">
        <f t="shared" si="38"/>
        <v>2.0583353094617042E-2</v>
      </c>
      <c r="P210" s="40">
        <f t="shared" si="39"/>
        <v>1.7829457364341151E-2</v>
      </c>
      <c r="Q210" s="40">
        <f t="shared" si="40"/>
        <v>1.7469727547931448E-2</v>
      </c>
      <c r="R210" s="40">
        <f t="shared" si="41"/>
        <v>-8.1331877729256593E-3</v>
      </c>
      <c r="S210" s="40">
        <f t="shared" si="42"/>
        <v>1.2718838844830294E-2</v>
      </c>
      <c r="T210" s="41">
        <f t="shared" si="43"/>
        <v>-6.1763860959495372E-3</v>
      </c>
      <c r="V210" s="39">
        <f t="shared" si="45"/>
        <v>-5.0664512812981701E-3</v>
      </c>
      <c r="W210" s="40" cm="1">
        <f t="array" ref="W210">IF(M210="","",SUMPRODUCT(M210:T210,TRANSPOSE('04_Dashboard'!$C$53:$C$60)))</f>
        <v>9.7686669490050643E-3</v>
      </c>
      <c r="X210" s="42">
        <f t="shared" si="46"/>
        <v>1.2683999906391137</v>
      </c>
      <c r="Y210" s="118">
        <f t="shared" si="47"/>
        <v>1.2660753613325491</v>
      </c>
      <c r="AA210" s="43">
        <f>IF(X210="","",X210/MAX($X$4:X210)-1)</f>
        <v>-4.0470205006550297E-2</v>
      </c>
      <c r="AB210" s="44">
        <f>IF(Y210="","",Y210/MAX($Y$4:Y210)-1)</f>
        <v>-6.4730089919484701E-4</v>
      </c>
    </row>
    <row r="211" spans="1:28" x14ac:dyDescent="0.45">
      <c r="A211" s="121">
        <v>45504</v>
      </c>
      <c r="B211" s="124">
        <v>550.80999999999995</v>
      </c>
      <c r="C211" s="124">
        <v>222.08</v>
      </c>
      <c r="D211" s="124">
        <v>418.35</v>
      </c>
      <c r="E211" s="124">
        <v>212.8</v>
      </c>
      <c r="F211" s="124">
        <v>118.59</v>
      </c>
      <c r="G211" s="124">
        <v>157.85</v>
      </c>
      <c r="H211" s="124">
        <v>186.98</v>
      </c>
      <c r="I211" s="124">
        <v>66.739999999999995</v>
      </c>
      <c r="J211" s="125">
        <v>68.64</v>
      </c>
      <c r="L211" s="39">
        <f t="shared" si="44"/>
        <v>1.6254612546125362E-2</v>
      </c>
      <c r="M211" s="40">
        <f t="shared" si="36"/>
        <v>1.4990859232175507E-2</v>
      </c>
      <c r="N211" s="40">
        <f t="shared" si="37"/>
        <v>-1.0805826160976055E-2</v>
      </c>
      <c r="O211" s="40">
        <f t="shared" si="38"/>
        <v>-1.1106464055021081E-2</v>
      </c>
      <c r="P211" s="40">
        <f t="shared" si="39"/>
        <v>3.5542015740035685E-3</v>
      </c>
      <c r="Q211" s="40">
        <f t="shared" si="40"/>
        <v>-2.1570693609372204E-2</v>
      </c>
      <c r="R211" s="40">
        <f t="shared" si="41"/>
        <v>2.9002256342523701E-2</v>
      </c>
      <c r="S211" s="40">
        <f t="shared" si="42"/>
        <v>-1.3888888888889063E-2</v>
      </c>
      <c r="T211" s="41">
        <f t="shared" si="43"/>
        <v>-7.9491255961843792E-3</v>
      </c>
      <c r="V211" s="39">
        <f t="shared" si="45"/>
        <v>1.6254612546125362E-2</v>
      </c>
      <c r="W211" s="40" cm="1">
        <f t="array" ref="W211">IF(M211="","",SUMPRODUCT(M211:T211,TRANSPOSE('04_Dashboard'!$C$53:$C$60)))</f>
        <v>-8.4028966091291048E-3</v>
      </c>
      <c r="X211" s="42">
        <f t="shared" si="46"/>
        <v>1.2890173410404615</v>
      </c>
      <c r="Y211" s="118">
        <f t="shared" si="47"/>
        <v>1.2554366609719059</v>
      </c>
      <c r="AA211" s="43">
        <f>IF(X211="","",X211/MAX($X$4:X211)-1)</f>
        <v>-2.4873419962468724E-2</v>
      </c>
      <c r="AB211" s="44">
        <f>IF(Y211="","",Y211/MAX($Y$4:Y211)-1)</f>
        <v>-9.0447583057929881E-3</v>
      </c>
    </row>
    <row r="212" spans="1:28" x14ac:dyDescent="0.45">
      <c r="A212" s="121">
        <v>45505</v>
      </c>
      <c r="B212" s="124">
        <v>543.01</v>
      </c>
      <c r="C212" s="124">
        <v>218.36</v>
      </c>
      <c r="D212" s="124">
        <v>417.11</v>
      </c>
      <c r="E212" s="124">
        <v>207.96</v>
      </c>
      <c r="F212" s="124">
        <v>116.95</v>
      </c>
      <c r="G212" s="124">
        <v>160.76</v>
      </c>
      <c r="H212" s="124">
        <v>184.07</v>
      </c>
      <c r="I212" s="124">
        <v>67.959999999999994</v>
      </c>
      <c r="J212" s="125">
        <v>69.790000000000006</v>
      </c>
      <c r="L212" s="39">
        <f t="shared" si="44"/>
        <v>-1.4160962945480211E-2</v>
      </c>
      <c r="M212" s="40">
        <f t="shared" si="36"/>
        <v>-1.6750720461095096E-2</v>
      </c>
      <c r="N212" s="40">
        <f t="shared" si="37"/>
        <v>-2.9640253376359725E-3</v>
      </c>
      <c r="O212" s="40">
        <f t="shared" si="38"/>
        <v>-2.2744360902255654E-2</v>
      </c>
      <c r="P212" s="40">
        <f t="shared" si="39"/>
        <v>-1.3829159288304246E-2</v>
      </c>
      <c r="Q212" s="40">
        <f t="shared" si="40"/>
        <v>1.8435223313272072E-2</v>
      </c>
      <c r="R212" s="40">
        <f t="shared" si="41"/>
        <v>-1.556316183549041E-2</v>
      </c>
      <c r="S212" s="40">
        <f t="shared" si="42"/>
        <v>1.8279892118669448E-2</v>
      </c>
      <c r="T212" s="41">
        <f t="shared" si="43"/>
        <v>1.6754079254079336E-2</v>
      </c>
      <c r="V212" s="39">
        <f t="shared" si="45"/>
        <v>-1.4160962945480211E-2</v>
      </c>
      <c r="W212" s="40" cm="1">
        <f t="array" ref="W212">IF(M212="","",SUMPRODUCT(M212:T212,TRANSPOSE('04_Dashboard'!$C$53:$C$60)))</f>
        <v>9.0902749338402089E-4</v>
      </c>
      <c r="X212" s="42">
        <f t="shared" si="46"/>
        <v>1.2707636142379062</v>
      </c>
      <c r="Y212" s="118">
        <f t="shared" si="47"/>
        <v>1.2565778874129316</v>
      </c>
      <c r="AA212" s="43">
        <f>IF(X212="","",X212/MAX($X$4:X212)-1)</f>
        <v>-3.868215132953301E-2</v>
      </c>
      <c r="AB212" s="44">
        <f>IF(Y212="","",Y212/MAX($Y$4:Y212)-1)</f>
        <v>-8.1439527463799122E-3</v>
      </c>
    </row>
    <row r="213" spans="1:28" x14ac:dyDescent="0.45">
      <c r="A213" s="121">
        <v>45506</v>
      </c>
      <c r="B213" s="124">
        <v>532.9</v>
      </c>
      <c r="C213" s="124">
        <v>219.86</v>
      </c>
      <c r="D213" s="124">
        <v>408.49</v>
      </c>
      <c r="E213" s="124">
        <v>199.14</v>
      </c>
      <c r="F213" s="124">
        <v>116.88</v>
      </c>
      <c r="G213" s="124">
        <v>164.14</v>
      </c>
      <c r="H213" s="124">
        <v>167.9</v>
      </c>
      <c r="I213" s="124">
        <v>69.33</v>
      </c>
      <c r="J213" s="125">
        <v>68.459999999999994</v>
      </c>
      <c r="L213" s="39">
        <f t="shared" si="44"/>
        <v>-1.8618441649325083E-2</v>
      </c>
      <c r="M213" s="40">
        <f t="shared" si="36"/>
        <v>6.8693899981681619E-3</v>
      </c>
      <c r="N213" s="40">
        <f t="shared" si="37"/>
        <v>-2.0666011363908811E-2</v>
      </c>
      <c r="O213" s="40">
        <f t="shared" si="38"/>
        <v>-4.2412002308136285E-2</v>
      </c>
      <c r="P213" s="40">
        <f t="shared" si="39"/>
        <v>-5.9854638734508237E-4</v>
      </c>
      <c r="Q213" s="40">
        <f t="shared" si="40"/>
        <v>2.1025130629509801E-2</v>
      </c>
      <c r="R213" s="40">
        <f t="shared" si="41"/>
        <v>-8.7847014722659794E-2</v>
      </c>
      <c r="S213" s="40">
        <f t="shared" si="42"/>
        <v>2.0158917010005956E-2</v>
      </c>
      <c r="T213" s="41">
        <f t="shared" si="43"/>
        <v>-1.9057171514543808E-2</v>
      </c>
      <c r="V213" s="39">
        <f t="shared" si="45"/>
        <v>-1.8618441649325083E-2</v>
      </c>
      <c r="W213" s="40" cm="1">
        <f t="array" ref="W213">IF(M213="","",SUMPRODUCT(M213:T213,TRANSPOSE('04_Dashboard'!$C$53:$C$60)))</f>
        <v>-1.2428734911317475E-2</v>
      </c>
      <c r="X213" s="42">
        <f t="shared" si="46"/>
        <v>1.2471039760361322</v>
      </c>
      <c r="Y213" s="118">
        <f t="shared" si="47"/>
        <v>1.240960213954853</v>
      </c>
      <c r="AA213" s="43">
        <f>IF(X213="","",X213/MAX($X$4:X213)-1)</f>
        <v>-5.6580391601458779E-2</v>
      </c>
      <c r="AB213" s="44">
        <f>IF(Y213="","",Y213/MAX($Y$4:Y213)-1)</f>
        <v>-2.0471468627882294E-2</v>
      </c>
    </row>
    <row r="214" spans="1:28" x14ac:dyDescent="0.45">
      <c r="A214" s="121">
        <v>45509</v>
      </c>
      <c r="B214" s="124">
        <v>517.38</v>
      </c>
      <c r="C214" s="124">
        <v>209.27</v>
      </c>
      <c r="D214" s="124">
        <v>395.15</v>
      </c>
      <c r="E214" s="124">
        <v>194.9</v>
      </c>
      <c r="F214" s="124">
        <v>114.77</v>
      </c>
      <c r="G214" s="124">
        <v>161.25</v>
      </c>
      <c r="H214" s="124">
        <v>161.02000000000001</v>
      </c>
      <c r="I214" s="124">
        <v>68.099999999999994</v>
      </c>
      <c r="J214" s="125">
        <v>67.59</v>
      </c>
      <c r="L214" s="39">
        <f t="shared" si="44"/>
        <v>-2.9123662976168103E-2</v>
      </c>
      <c r="M214" s="40">
        <f t="shared" si="36"/>
        <v>-4.8167015373419463E-2</v>
      </c>
      <c r="N214" s="40">
        <f t="shared" si="37"/>
        <v>-3.2656858185022966E-2</v>
      </c>
      <c r="O214" s="40">
        <f t="shared" si="38"/>
        <v>-2.1291553680827462E-2</v>
      </c>
      <c r="P214" s="40">
        <f t="shared" si="39"/>
        <v>-1.8052703627652288E-2</v>
      </c>
      <c r="Q214" s="40">
        <f t="shared" si="40"/>
        <v>-1.7606920921164778E-2</v>
      </c>
      <c r="R214" s="40">
        <f t="shared" si="41"/>
        <v>-4.0976771888028563E-2</v>
      </c>
      <c r="S214" s="40">
        <f t="shared" si="42"/>
        <v>-1.7741237559498111E-2</v>
      </c>
      <c r="T214" s="41">
        <f t="shared" si="43"/>
        <v>-1.2708150744960421E-2</v>
      </c>
      <c r="V214" s="39">
        <f t="shared" si="45"/>
        <v>-2.9123662976168103E-2</v>
      </c>
      <c r="W214" s="40" cm="1">
        <f t="array" ref="W214">IF(M214="","",SUMPRODUCT(M214:T214,TRANSPOSE('04_Dashboard'!$C$53:$C$60)))</f>
        <v>-2.2264991921324591E-2</v>
      </c>
      <c r="X214" s="42">
        <f t="shared" si="46"/>
        <v>1.2107837401418167</v>
      </c>
      <c r="Y214" s="118">
        <f t="shared" si="47"/>
        <v>1.2133302448164629</v>
      </c>
      <c r="AA214" s="43">
        <f>IF(X214="","",X214/MAX($X$4:X214)-1)</f>
        <v>-8.4056226321566396E-2</v>
      </c>
      <c r="AB214" s="44">
        <f>IF(Y214="","",Y214/MAX($Y$4:Y214)-1)</f>
        <v>-4.2280663465589563E-2</v>
      </c>
    </row>
    <row r="215" spans="1:28" x14ac:dyDescent="0.45">
      <c r="A215" s="121">
        <v>45510</v>
      </c>
      <c r="B215" s="124">
        <v>522.15</v>
      </c>
      <c r="C215" s="124">
        <v>207.23</v>
      </c>
      <c r="D215" s="124">
        <v>399.61</v>
      </c>
      <c r="E215" s="124">
        <v>200.34</v>
      </c>
      <c r="F215" s="124">
        <v>114.16</v>
      </c>
      <c r="G215" s="124">
        <v>158.97</v>
      </c>
      <c r="H215" s="124">
        <v>161.93</v>
      </c>
      <c r="I215" s="124">
        <v>68.05</v>
      </c>
      <c r="J215" s="125">
        <v>67.739999999999995</v>
      </c>
      <c r="L215" s="39">
        <f t="shared" si="44"/>
        <v>9.219529166183427E-3</v>
      </c>
      <c r="M215" s="40">
        <f t="shared" si="36"/>
        <v>-9.7481722177092771E-3</v>
      </c>
      <c r="N215" s="40">
        <f t="shared" si="37"/>
        <v>1.1286853093761956E-2</v>
      </c>
      <c r="O215" s="40">
        <f t="shared" si="38"/>
        <v>2.7911749615187262E-2</v>
      </c>
      <c r="P215" s="40">
        <f t="shared" si="39"/>
        <v>-5.3149777816502526E-3</v>
      </c>
      <c r="Q215" s="40">
        <f t="shared" si="40"/>
        <v>-1.4139534883720937E-2</v>
      </c>
      <c r="R215" s="40">
        <f t="shared" si="41"/>
        <v>5.6514718668488175E-3</v>
      </c>
      <c r="S215" s="40">
        <f t="shared" si="42"/>
        <v>-7.3421439060201413E-4</v>
      </c>
      <c r="T215" s="41">
        <f t="shared" si="43"/>
        <v>2.2192632046159413E-3</v>
      </c>
      <c r="V215" s="39">
        <f t="shared" si="45"/>
        <v>9.219529166183427E-3</v>
      </c>
      <c r="W215" s="40" cm="1">
        <f t="array" ref="W215">IF(M215="","",SUMPRODUCT(M215:T215,TRANSPOSE('04_Dashboard'!$C$53:$C$60)))</f>
        <v>3.8349487917352845E-3</v>
      </c>
      <c r="X215" s="42">
        <f t="shared" si="46"/>
        <v>1.2219465961479947</v>
      </c>
      <c r="Y215" s="118">
        <f t="shared" si="47"/>
        <v>1.2179833041727977</v>
      </c>
      <c r="AA215" s="43">
        <f>IF(X215="","",X215/MAX($X$4:X215)-1)</f>
        <v>-7.5611655985554083E-2</v>
      </c>
      <c r="AB215" s="44">
        <f>IF(Y215="","",Y215/MAX($Y$4:Y215)-1)</f>
        <v>-3.8607858853125343E-2</v>
      </c>
    </row>
    <row r="216" spans="1:28" x14ac:dyDescent="0.45">
      <c r="A216" s="121">
        <v>45511</v>
      </c>
      <c r="B216" s="124">
        <v>518.66</v>
      </c>
      <c r="C216" s="124">
        <v>209.82</v>
      </c>
      <c r="D216" s="124">
        <v>398.43</v>
      </c>
      <c r="E216" s="124">
        <v>200.4</v>
      </c>
      <c r="F216" s="124">
        <v>115.68</v>
      </c>
      <c r="G216" s="124">
        <v>158.9</v>
      </c>
      <c r="H216" s="124">
        <v>162.77000000000001</v>
      </c>
      <c r="I216" s="124">
        <v>68.459999999999994</v>
      </c>
      <c r="J216" s="125">
        <v>66.91</v>
      </c>
      <c r="L216" s="39">
        <f t="shared" si="44"/>
        <v>-6.6839030929809621E-3</v>
      </c>
      <c r="M216" s="40">
        <f t="shared" si="36"/>
        <v>1.2498190416445513E-2</v>
      </c>
      <c r="N216" s="40">
        <f t="shared" si="37"/>
        <v>-2.9528790570806708E-3</v>
      </c>
      <c r="O216" s="40">
        <f t="shared" si="38"/>
        <v>2.9949086552861272E-4</v>
      </c>
      <c r="P216" s="40">
        <f t="shared" si="39"/>
        <v>1.3314646110721884E-2</v>
      </c>
      <c r="Q216" s="40">
        <f t="shared" si="40"/>
        <v>-4.4033465433725345E-4</v>
      </c>
      <c r="R216" s="40">
        <f t="shared" si="41"/>
        <v>5.1874266658432861E-3</v>
      </c>
      <c r="S216" s="40">
        <f t="shared" si="42"/>
        <v>6.0249816311535136E-3</v>
      </c>
      <c r="T216" s="41">
        <f t="shared" si="43"/>
        <v>-1.2252731030410368E-2</v>
      </c>
      <c r="V216" s="39">
        <f t="shared" si="45"/>
        <v>-6.6839030929809621E-3</v>
      </c>
      <c r="W216" s="40" cm="1">
        <f t="array" ref="W216">IF(M216="","",SUMPRODUCT(M216:T216,TRANSPOSE('04_Dashboard'!$C$53:$C$60)))</f>
        <v>6.2610944353213432E-4</v>
      </c>
      <c r="X216" s="42">
        <f t="shared" si="46"/>
        <v>1.2137792235145437</v>
      </c>
      <c r="Y216" s="118">
        <f t="shared" si="47"/>
        <v>1.2187458950216046</v>
      </c>
      <c r="AA216" s="43">
        <f>IF(X216="","",X216/MAX($X$4:X216)-1)</f>
        <v>-8.1790178097227662E-2</v>
      </c>
      <c r="AB216" s="44">
        <f>IF(Y216="","",Y216/MAX($Y$4:Y216)-1)</f>
        <v>-3.8005922154615845E-2</v>
      </c>
    </row>
    <row r="217" spans="1:28" x14ac:dyDescent="0.45">
      <c r="A217" s="121">
        <v>45512</v>
      </c>
      <c r="B217" s="124">
        <v>530.65</v>
      </c>
      <c r="C217" s="124">
        <v>213.31</v>
      </c>
      <c r="D217" s="124">
        <v>402.69</v>
      </c>
      <c r="E217" s="124">
        <v>204.06</v>
      </c>
      <c r="F217" s="124">
        <v>117.89</v>
      </c>
      <c r="G217" s="124">
        <v>160.22</v>
      </c>
      <c r="H217" s="124">
        <v>165.8</v>
      </c>
      <c r="I217" s="124">
        <v>68.73</v>
      </c>
      <c r="J217" s="125">
        <v>67.66</v>
      </c>
      <c r="L217" s="39">
        <f t="shared" si="44"/>
        <v>2.3117263718042666E-2</v>
      </c>
      <c r="M217" s="40">
        <f t="shared" si="36"/>
        <v>1.6633304737394002E-2</v>
      </c>
      <c r="N217" s="40">
        <f t="shared" si="37"/>
        <v>1.0691965966418169E-2</v>
      </c>
      <c r="O217" s="40">
        <f t="shared" si="38"/>
        <v>1.8263473053892199E-2</v>
      </c>
      <c r="P217" s="40">
        <f t="shared" si="39"/>
        <v>1.9104426002766198E-2</v>
      </c>
      <c r="Q217" s="40">
        <f t="shared" si="40"/>
        <v>8.3071113908117881E-3</v>
      </c>
      <c r="R217" s="40">
        <f t="shared" si="41"/>
        <v>1.8615223935614676E-2</v>
      </c>
      <c r="S217" s="40">
        <f t="shared" si="42"/>
        <v>3.9439088518844617E-3</v>
      </c>
      <c r="T217" s="41">
        <f t="shared" si="43"/>
        <v>1.1209086833059333E-2</v>
      </c>
      <c r="V217" s="39">
        <f t="shared" si="45"/>
        <v>2.3117263718042666E-2</v>
      </c>
      <c r="W217" s="40" cm="1">
        <f t="array" ref="W217">IF(M217="","",SUMPRODUCT(M217:T217,TRANSPOSE('04_Dashboard'!$C$53:$C$60)))</f>
        <v>1.23871417947682E-2</v>
      </c>
      <c r="X217" s="42">
        <f t="shared" si="46"/>
        <v>1.2418384779200105</v>
      </c>
      <c r="Y217" s="118">
        <f t="shared" si="47"/>
        <v>1.2338426732350289</v>
      </c>
      <c r="AA217" s="43">
        <f>IF(X217="","",X217/MAX($X$4:X217)-1)</f>
        <v>-6.0563679495804323E-2</v>
      </c>
      <c r="AB217" s="44">
        <f>IF(Y217="","",Y217/MAX($Y$4:Y217)-1)</f>
        <v>-2.6089565106617751E-2</v>
      </c>
    </row>
    <row r="218" spans="1:28" x14ac:dyDescent="0.45">
      <c r="A218" s="121">
        <v>45513</v>
      </c>
      <c r="B218" s="124">
        <v>532.99</v>
      </c>
      <c r="C218" s="124">
        <v>216.24</v>
      </c>
      <c r="D218" s="124">
        <v>406.02</v>
      </c>
      <c r="E218" s="124">
        <v>205.8</v>
      </c>
      <c r="F218" s="124">
        <v>118.85</v>
      </c>
      <c r="G218" s="124">
        <v>160.62</v>
      </c>
      <c r="H218" s="124">
        <v>166.94</v>
      </c>
      <c r="I218" s="124">
        <v>68.680000000000007</v>
      </c>
      <c r="J218" s="125">
        <v>67.95</v>
      </c>
      <c r="L218" s="39">
        <f t="shared" si="44"/>
        <v>4.4096862338641888E-3</v>
      </c>
      <c r="M218" s="40">
        <f t="shared" si="36"/>
        <v>1.3735877361586456E-2</v>
      </c>
      <c r="N218" s="40">
        <f t="shared" si="37"/>
        <v>8.2693883632570572E-3</v>
      </c>
      <c r="O218" s="40">
        <f t="shared" si="38"/>
        <v>8.5269038518083363E-3</v>
      </c>
      <c r="P218" s="40">
        <f t="shared" si="39"/>
        <v>8.1431843243701223E-3</v>
      </c>
      <c r="Q218" s="40">
        <f t="shared" si="40"/>
        <v>2.4965672200724359E-3</v>
      </c>
      <c r="R218" s="40">
        <f t="shared" si="41"/>
        <v>6.8757539203859247E-3</v>
      </c>
      <c r="S218" s="40">
        <f t="shared" si="42"/>
        <v>-7.274843590862382E-4</v>
      </c>
      <c r="T218" s="41">
        <f t="shared" si="43"/>
        <v>4.2861365651789282E-3</v>
      </c>
      <c r="V218" s="39">
        <f t="shared" si="45"/>
        <v>4.4096862338641888E-3</v>
      </c>
      <c r="W218" s="40" cm="1">
        <f t="array" ref="W218">IF(M218="","",SUMPRODUCT(M218:T218,TRANSPOSE('04_Dashboard'!$C$53:$C$60)))</f>
        <v>5.3459690127515228E-3</v>
      </c>
      <c r="X218" s="42">
        <f t="shared" si="46"/>
        <v>1.2473145959607772</v>
      </c>
      <c r="Y218" s="118">
        <f t="shared" si="47"/>
        <v>1.2404387579327538</v>
      </c>
      <c r="AA218" s="43">
        <f>IF(X218="","",X218/MAX($X$4:X218)-1)</f>
        <v>-5.6421060085684926E-2</v>
      </c>
      <c r="AB218" s="44">
        <f>IF(Y218="","",Y218/MAX($Y$4:Y218)-1)</f>
        <v>-2.0883070100482404E-2</v>
      </c>
    </row>
    <row r="219" spans="1:28" x14ac:dyDescent="0.45">
      <c r="A219" s="121">
        <v>45516</v>
      </c>
      <c r="B219" s="124">
        <v>533.27</v>
      </c>
      <c r="C219" s="124">
        <v>217.53</v>
      </c>
      <c r="D219" s="124">
        <v>406.81</v>
      </c>
      <c r="E219" s="124">
        <v>206.19</v>
      </c>
      <c r="F219" s="124">
        <v>119</v>
      </c>
      <c r="G219" s="124">
        <v>159.88</v>
      </c>
      <c r="H219" s="124">
        <v>166.8</v>
      </c>
      <c r="I219" s="124">
        <v>68.17</v>
      </c>
      <c r="J219" s="125">
        <v>68.7</v>
      </c>
      <c r="L219" s="39">
        <f t="shared" si="44"/>
        <v>5.2533818645748083E-4</v>
      </c>
      <c r="M219" s="40">
        <f t="shared" si="36"/>
        <v>5.9655937846836479E-3</v>
      </c>
      <c r="N219" s="40">
        <f t="shared" si="37"/>
        <v>1.9457169597557275E-3</v>
      </c>
      <c r="O219" s="40">
        <f t="shared" si="38"/>
        <v>1.8950437317783592E-3</v>
      </c>
      <c r="P219" s="40">
        <f t="shared" si="39"/>
        <v>1.2620950778292443E-3</v>
      </c>
      <c r="Q219" s="40">
        <f t="shared" si="40"/>
        <v>-4.6071473041962964E-3</v>
      </c>
      <c r="R219" s="40">
        <f t="shared" si="41"/>
        <v>-8.3862465556479185E-4</v>
      </c>
      <c r="S219" s="40">
        <f t="shared" si="42"/>
        <v>-7.4257425742574991E-3</v>
      </c>
      <c r="T219" s="41">
        <f t="shared" si="43"/>
        <v>1.1037527593818984E-2</v>
      </c>
      <c r="V219" s="39">
        <f t="shared" si="45"/>
        <v>5.2533818645748083E-4</v>
      </c>
      <c r="W219" s="40" cm="1">
        <f t="array" ref="W219">IF(M219="","",SUMPRODUCT(M219:T219,TRANSPOSE('04_Dashboard'!$C$53:$C$60)))</f>
        <v>3.2572074573258771E-4</v>
      </c>
      <c r="X219" s="42">
        <f t="shared" si="46"/>
        <v>1.247969857948561</v>
      </c>
      <c r="Y219" s="118">
        <f t="shared" si="47"/>
        <v>1.2408427945700233</v>
      </c>
      <c r="AA219" s="43">
        <f>IF(X219="","",X219/MAX($X$4:X219)-1)</f>
        <v>-5.5925362036611026E-2</v>
      </c>
      <c r="AB219" s="44">
        <f>IF(Y219="","",Y219/MAX($Y$4:Y219)-1)</f>
        <v>-2.0564151403916098E-2</v>
      </c>
    </row>
    <row r="220" spans="1:28" x14ac:dyDescent="0.45">
      <c r="A220" s="121">
        <v>45517</v>
      </c>
      <c r="B220" s="124">
        <v>542.04</v>
      </c>
      <c r="C220" s="124">
        <v>221.27</v>
      </c>
      <c r="D220" s="124">
        <v>414.01</v>
      </c>
      <c r="E220" s="124">
        <v>207.94</v>
      </c>
      <c r="F220" s="124">
        <v>117.86</v>
      </c>
      <c r="G220" s="124">
        <v>158.38999999999999</v>
      </c>
      <c r="H220" s="124">
        <v>170.23</v>
      </c>
      <c r="I220" s="124">
        <v>68.459999999999994</v>
      </c>
      <c r="J220" s="125">
        <v>68.13</v>
      </c>
      <c r="L220" s="39">
        <f t="shared" si="44"/>
        <v>1.6445702927222573E-2</v>
      </c>
      <c r="M220" s="40">
        <f t="shared" si="36"/>
        <v>1.7193030846320088E-2</v>
      </c>
      <c r="N220" s="40">
        <f t="shared" si="37"/>
        <v>1.7698679973451953E-2</v>
      </c>
      <c r="O220" s="40">
        <f t="shared" si="38"/>
        <v>8.4873175226732635E-3</v>
      </c>
      <c r="P220" s="40">
        <f t="shared" si="39"/>
        <v>-9.5798319327731144E-3</v>
      </c>
      <c r="Q220" s="40">
        <f t="shared" si="40"/>
        <v>-9.3194896172129667E-3</v>
      </c>
      <c r="R220" s="40">
        <f t="shared" si="41"/>
        <v>2.0563549160671331E-2</v>
      </c>
      <c r="S220" s="40">
        <f t="shared" si="42"/>
        <v>4.2540707055888517E-3</v>
      </c>
      <c r="T220" s="41">
        <f t="shared" si="43"/>
        <v>-8.2969432314411555E-3</v>
      </c>
      <c r="V220" s="39">
        <f t="shared" si="45"/>
        <v>1.6445702927222573E-2</v>
      </c>
      <c r="W220" s="40" cm="1">
        <f t="array" ref="W220">IF(M220="","",SUMPRODUCT(M220:T220,TRANSPOSE('04_Dashboard'!$C$53:$C$60)))</f>
        <v>2.4075590568044562E-3</v>
      </c>
      <c r="X220" s="42">
        <f t="shared" si="46"/>
        <v>1.268493599494511</v>
      </c>
      <c r="Y220" s="118">
        <f t="shared" si="47"/>
        <v>1.2438301968781609</v>
      </c>
      <c r="AA220" s="43">
        <f>IF(X220="","",X220/MAX($X$4:X220)-1)</f>
        <v>-4.0399390999540041E-2</v>
      </c>
      <c r="AB220" s="44">
        <f>IF(Y220="","",Y220/MAX($Y$4:Y220)-1)</f>
        <v>-1.8206101756069737E-2</v>
      </c>
    </row>
    <row r="221" spans="1:28" x14ac:dyDescent="0.45">
      <c r="A221" s="121">
        <v>45518</v>
      </c>
      <c r="B221" s="124">
        <v>543.75</v>
      </c>
      <c r="C221" s="124">
        <v>221.72</v>
      </c>
      <c r="D221" s="124">
        <v>416.86</v>
      </c>
      <c r="E221" s="124">
        <v>210.24</v>
      </c>
      <c r="F221" s="124">
        <v>118.95</v>
      </c>
      <c r="G221" s="124">
        <v>158.47999999999999</v>
      </c>
      <c r="H221" s="124">
        <v>170.1</v>
      </c>
      <c r="I221" s="124">
        <v>68.58</v>
      </c>
      <c r="J221" s="125">
        <v>68.66</v>
      </c>
      <c r="L221" s="39">
        <f t="shared" si="44"/>
        <v>3.1547487270312826E-3</v>
      </c>
      <c r="M221" s="40">
        <f t="shared" si="36"/>
        <v>2.0337144664888535E-3</v>
      </c>
      <c r="N221" s="40">
        <f t="shared" si="37"/>
        <v>6.8838916934374113E-3</v>
      </c>
      <c r="O221" s="40">
        <f t="shared" si="38"/>
        <v>1.1060882947003999E-2</v>
      </c>
      <c r="P221" s="40">
        <f t="shared" si="39"/>
        <v>9.2482606482267391E-3</v>
      </c>
      <c r="Q221" s="40">
        <f t="shared" si="40"/>
        <v>5.6821769051078612E-4</v>
      </c>
      <c r="R221" s="40">
        <f t="shared" si="41"/>
        <v>-7.6367267814131151E-4</v>
      </c>
      <c r="S221" s="40">
        <f t="shared" si="42"/>
        <v>1.7528483786153164E-3</v>
      </c>
      <c r="T221" s="41">
        <f t="shared" si="43"/>
        <v>7.7792455599589192E-3</v>
      </c>
      <c r="V221" s="39">
        <f t="shared" si="45"/>
        <v>3.1547487270312826E-3</v>
      </c>
      <c r="W221" s="40" cm="1">
        <f t="array" ref="W221">IF(M221="","",SUMPRODUCT(M221:T221,TRANSPOSE('04_Dashboard'!$C$53:$C$60)))</f>
        <v>5.0718730853111359E-3</v>
      </c>
      <c r="X221" s="42">
        <f t="shared" si="46"/>
        <v>1.2724953780627637</v>
      </c>
      <c r="Y221" s="118">
        <f t="shared" si="47"/>
        <v>1.2501387457764046</v>
      </c>
      <c r="AA221" s="43">
        <f>IF(X221="","",X221/MAX($X$4:X221)-1)</f>
        <v>-3.7372092199837392E-2</v>
      </c>
      <c r="AB221" s="44">
        <f>IF(Y221="","",Y221/MAX($Y$4:Y221)-1)</f>
        <v>-1.3226567708243486E-2</v>
      </c>
    </row>
    <row r="222" spans="1:28" x14ac:dyDescent="0.45">
      <c r="A222" s="121">
        <v>45519</v>
      </c>
      <c r="B222" s="124">
        <v>553.07000000000005</v>
      </c>
      <c r="C222" s="124">
        <v>224.72</v>
      </c>
      <c r="D222" s="124">
        <v>421.03</v>
      </c>
      <c r="E222" s="124">
        <v>211.55</v>
      </c>
      <c r="F222" s="124">
        <v>118.73</v>
      </c>
      <c r="G222" s="124">
        <v>159.09</v>
      </c>
      <c r="H222" s="124">
        <v>177.59</v>
      </c>
      <c r="I222" s="124">
        <v>68.650000000000006</v>
      </c>
      <c r="J222" s="125">
        <v>73.180000000000007</v>
      </c>
      <c r="L222" s="39">
        <f t="shared" si="44"/>
        <v>1.7140229885057562E-2</v>
      </c>
      <c r="M222" s="40">
        <f t="shared" si="36"/>
        <v>1.3530579108785856E-2</v>
      </c>
      <c r="N222" s="40">
        <f t="shared" si="37"/>
        <v>1.000335844168296E-2</v>
      </c>
      <c r="O222" s="40">
        <f t="shared" si="38"/>
        <v>6.2309741248097522E-3</v>
      </c>
      <c r="P222" s="40">
        <f t="shared" si="39"/>
        <v>-1.8495166036149547E-3</v>
      </c>
      <c r="Q222" s="40">
        <f t="shared" si="40"/>
        <v>3.8490661282181578E-3</v>
      </c>
      <c r="R222" s="40">
        <f t="shared" si="41"/>
        <v>4.4032921810699642E-2</v>
      </c>
      <c r="S222" s="40">
        <f t="shared" si="42"/>
        <v>1.0207057451153017E-3</v>
      </c>
      <c r="T222" s="41">
        <f t="shared" si="43"/>
        <v>6.5831634139236969E-2</v>
      </c>
      <c r="V222" s="39">
        <f t="shared" si="45"/>
        <v>1.7140229885057562E-2</v>
      </c>
      <c r="W222" s="40" cm="1">
        <f t="array" ref="W222">IF(M222="","",SUMPRODUCT(M222:T222,TRANSPOSE('04_Dashboard'!$C$53:$C$60)))</f>
        <v>1.6292242023886908E-2</v>
      </c>
      <c r="X222" s="42">
        <f t="shared" si="46"/>
        <v>1.2943062413704327</v>
      </c>
      <c r="Y222" s="118">
        <f t="shared" si="47"/>
        <v>1.2705063087860322</v>
      </c>
      <c r="AA222" s="43">
        <f>IF(X222="","",X222/MAX($X$4:X222)-1)</f>
        <v>-2.0872428566370615E-2</v>
      </c>
      <c r="AB222" s="44">
        <f>IF(Y222="","",Y222/MAX($Y$4:Y222)-1)</f>
        <v>0</v>
      </c>
    </row>
    <row r="223" spans="1:28" x14ac:dyDescent="0.45">
      <c r="A223" s="121">
        <v>45520</v>
      </c>
      <c r="B223" s="124">
        <v>554.30999999999995</v>
      </c>
      <c r="C223" s="124">
        <v>226.05</v>
      </c>
      <c r="D223" s="124">
        <v>418.47</v>
      </c>
      <c r="E223" s="124">
        <v>213.97</v>
      </c>
      <c r="F223" s="124">
        <v>118.17</v>
      </c>
      <c r="G223" s="124">
        <v>159.38999999999999</v>
      </c>
      <c r="H223" s="124">
        <v>177.06</v>
      </c>
      <c r="I223" s="124">
        <v>69.180000000000007</v>
      </c>
      <c r="J223" s="125">
        <v>73.45</v>
      </c>
      <c r="L223" s="39">
        <f t="shared" si="44"/>
        <v>2.2420308460048373E-3</v>
      </c>
      <c r="M223" s="40">
        <f t="shared" si="36"/>
        <v>5.9184763260947517E-3</v>
      </c>
      <c r="N223" s="40">
        <f t="shared" si="37"/>
        <v>-6.0803268175663146E-3</v>
      </c>
      <c r="O223" s="40">
        <f t="shared" si="38"/>
        <v>1.1439376034034448E-2</v>
      </c>
      <c r="P223" s="40">
        <f t="shared" si="39"/>
        <v>-4.7165838457003473E-3</v>
      </c>
      <c r="Q223" s="40">
        <f t="shared" si="40"/>
        <v>1.8857250612859572E-3</v>
      </c>
      <c r="R223" s="40">
        <f t="shared" si="41"/>
        <v>-2.9844022749028723E-3</v>
      </c>
      <c r="S223" s="40">
        <f t="shared" si="42"/>
        <v>7.7203204661325728E-3</v>
      </c>
      <c r="T223" s="41">
        <f t="shared" si="43"/>
        <v>3.6895326591964471E-3</v>
      </c>
      <c r="V223" s="39">
        <f t="shared" si="45"/>
        <v>2.2420308460048373E-3</v>
      </c>
      <c r="W223" s="40" cm="1">
        <f t="array" ref="W223">IF(M223="","",SUMPRODUCT(M223:T223,TRANSPOSE('04_Dashboard'!$C$53:$C$60)))</f>
        <v>4.2017835560172493E-3</v>
      </c>
      <c r="X223" s="42">
        <f t="shared" si="46"/>
        <v>1.297208115887762</v>
      </c>
      <c r="Y223" s="118">
        <f t="shared" si="47"/>
        <v>1.2758447013021057</v>
      </c>
      <c r="AA223" s="43">
        <f>IF(X223="","",X223/MAX($X$4:X223)-1)</f>
        <v>-1.867719434904247E-2</v>
      </c>
      <c r="AB223" s="44">
        <f>IF(Y223="","",Y223/MAX($Y$4:Y223)-1)</f>
        <v>0</v>
      </c>
    </row>
    <row r="224" spans="1:28" x14ac:dyDescent="0.45">
      <c r="A224" s="121">
        <v>45523</v>
      </c>
      <c r="B224" s="124">
        <v>559.61</v>
      </c>
      <c r="C224" s="124">
        <v>225.89</v>
      </c>
      <c r="D224" s="124">
        <v>421.53</v>
      </c>
      <c r="E224" s="124">
        <v>215.45</v>
      </c>
      <c r="F224" s="124">
        <v>118.53</v>
      </c>
      <c r="G224" s="124">
        <v>159.63</v>
      </c>
      <c r="H224" s="124">
        <v>178.22</v>
      </c>
      <c r="I224" s="124">
        <v>68.98</v>
      </c>
      <c r="J224" s="125">
        <v>73.72</v>
      </c>
      <c r="L224" s="39">
        <f t="shared" si="44"/>
        <v>9.5614367411738354E-3</v>
      </c>
      <c r="M224" s="40">
        <f t="shared" si="36"/>
        <v>-7.0780800707819066E-4</v>
      </c>
      <c r="N224" s="40">
        <f t="shared" si="37"/>
        <v>7.3123521399382158E-3</v>
      </c>
      <c r="O224" s="40">
        <f t="shared" si="38"/>
        <v>6.9168575033882775E-3</v>
      </c>
      <c r="P224" s="40">
        <f t="shared" si="39"/>
        <v>3.0464584920030418E-3</v>
      </c>
      <c r="Q224" s="40">
        <f t="shared" si="40"/>
        <v>1.505740636175476E-3</v>
      </c>
      <c r="R224" s="40">
        <f t="shared" si="41"/>
        <v>6.5514514853721711E-3</v>
      </c>
      <c r="S224" s="40">
        <f t="shared" si="42"/>
        <v>-2.8910089621278232E-3</v>
      </c>
      <c r="T224" s="41">
        <f t="shared" si="43"/>
        <v>3.6759700476514091E-3</v>
      </c>
      <c r="V224" s="39">
        <f t="shared" si="45"/>
        <v>9.5614367411738354E-3</v>
      </c>
      <c r="W224" s="40" cm="1">
        <f t="array" ref="W224">IF(M224="","",SUMPRODUCT(M224:T224,TRANSPOSE('04_Dashboard'!$C$53:$C$60)))</f>
        <v>3.2035763670462615E-3</v>
      </c>
      <c r="X224" s="42">
        <f t="shared" si="46"/>
        <v>1.3096112892279601</v>
      </c>
      <c r="Y224" s="118">
        <f t="shared" si="47"/>
        <v>1.2799319672352183</v>
      </c>
      <c r="AA224" s="43">
        <f>IF(X224="","",X224/MAX($X$4:X224)-1)</f>
        <v>-9.2943384201396029E-3</v>
      </c>
      <c r="AB224" s="44">
        <f>IF(Y224="","",Y224/MAX($Y$4:Y224)-1)</f>
        <v>0</v>
      </c>
    </row>
    <row r="225" spans="1:28" x14ac:dyDescent="0.45">
      <c r="A225" s="121">
        <v>45524</v>
      </c>
      <c r="B225" s="124">
        <v>558.70000000000005</v>
      </c>
      <c r="C225" s="124">
        <v>226.51</v>
      </c>
      <c r="D225" s="124">
        <v>424.8</v>
      </c>
      <c r="E225" s="124">
        <v>214.52</v>
      </c>
      <c r="F225" s="124">
        <v>114.58</v>
      </c>
      <c r="G225" s="124">
        <v>160.16</v>
      </c>
      <c r="H225" s="124">
        <v>178.88</v>
      </c>
      <c r="I225" s="124">
        <v>69.38</v>
      </c>
      <c r="J225" s="125">
        <v>74.540000000000006</v>
      </c>
      <c r="L225" s="39">
        <f t="shared" si="44"/>
        <v>-1.6261324851235112E-3</v>
      </c>
      <c r="M225" s="40">
        <f t="shared" si="36"/>
        <v>2.7446987471778502E-3</v>
      </c>
      <c r="N225" s="40">
        <f t="shared" si="37"/>
        <v>7.7574549854103831E-3</v>
      </c>
      <c r="O225" s="40">
        <f t="shared" si="38"/>
        <v>-4.3165467625898282E-3</v>
      </c>
      <c r="P225" s="40">
        <f t="shared" si="39"/>
        <v>-3.3324896650636995E-2</v>
      </c>
      <c r="Q225" s="40">
        <f t="shared" si="40"/>
        <v>3.3201779114201664E-3</v>
      </c>
      <c r="R225" s="40">
        <f t="shared" si="41"/>
        <v>3.7032880709235586E-3</v>
      </c>
      <c r="S225" s="40">
        <f t="shared" si="42"/>
        <v>5.7987822557261735E-3</v>
      </c>
      <c r="T225" s="41">
        <f t="shared" si="43"/>
        <v>1.112316874660889E-2</v>
      </c>
      <c r="V225" s="39">
        <f t="shared" si="45"/>
        <v>-1.6261324851235112E-3</v>
      </c>
      <c r="W225" s="40" cm="1">
        <f t="array" ref="W225">IF(M225="","",SUMPRODUCT(M225:T225,TRANSPOSE('04_Dashboard'!$C$53:$C$60)))</f>
        <v>1.4078235215784843E-3</v>
      </c>
      <c r="X225" s="42">
        <f t="shared" si="46"/>
        <v>1.307481687767662</v>
      </c>
      <c r="Y225" s="118">
        <f t="shared" si="47"/>
        <v>1.2817338855647122</v>
      </c>
      <c r="AA225" s="43">
        <f>IF(X225="","",X225/MAX($X$4:X225)-1)</f>
        <v>-1.0905357079630362E-2</v>
      </c>
      <c r="AB225" s="44">
        <f>IF(Y225="","",Y225/MAX($Y$4:Y225)-1)</f>
        <v>0</v>
      </c>
    </row>
    <row r="226" spans="1:28" x14ac:dyDescent="0.45">
      <c r="A226" s="121">
        <v>45525</v>
      </c>
      <c r="B226" s="124">
        <v>560.62</v>
      </c>
      <c r="C226" s="124">
        <v>226.4</v>
      </c>
      <c r="D226" s="124">
        <v>424.14</v>
      </c>
      <c r="E226" s="124">
        <v>214.6</v>
      </c>
      <c r="F226" s="124">
        <v>113.85</v>
      </c>
      <c r="G226" s="124">
        <v>161.43</v>
      </c>
      <c r="H226" s="124">
        <v>180.11</v>
      </c>
      <c r="I226" s="124">
        <v>69.569999999999993</v>
      </c>
      <c r="J226" s="125">
        <v>75.239999999999995</v>
      </c>
      <c r="L226" s="39">
        <f t="shared" si="44"/>
        <v>3.4365491319132968E-3</v>
      </c>
      <c r="M226" s="40">
        <f t="shared" si="36"/>
        <v>-4.8562977351986769E-4</v>
      </c>
      <c r="N226" s="40">
        <f t="shared" si="37"/>
        <v>-1.5536723163842396E-3</v>
      </c>
      <c r="O226" s="40">
        <f t="shared" si="38"/>
        <v>3.7292560134245795E-4</v>
      </c>
      <c r="P226" s="40">
        <f t="shared" si="39"/>
        <v>-6.3710944318380522E-3</v>
      </c>
      <c r="Q226" s="40">
        <f t="shared" si="40"/>
        <v>7.9295704295704941E-3</v>
      </c>
      <c r="R226" s="40">
        <f t="shared" si="41"/>
        <v>6.8761180679786354E-3</v>
      </c>
      <c r="S226" s="40">
        <f t="shared" si="42"/>
        <v>2.7385413663879757E-3</v>
      </c>
      <c r="T226" s="41">
        <f t="shared" si="43"/>
        <v>9.3909310437347536E-3</v>
      </c>
      <c r="V226" s="39">
        <f t="shared" si="45"/>
        <v>3.4365491319132968E-3</v>
      </c>
      <c r="W226" s="40" cm="1">
        <f t="array" ref="W226">IF(M226="","",SUMPRODUCT(M226:T226,TRANSPOSE('04_Dashboard'!$C$53:$C$60)))</f>
        <v>3.7220406995254179E-3</v>
      </c>
      <c r="X226" s="42">
        <f t="shared" si="46"/>
        <v>1.3119749128267526</v>
      </c>
      <c r="Y226" s="118">
        <f t="shared" si="47"/>
        <v>1.2865045512527449</v>
      </c>
      <c r="AA226" s="43">
        <f>IF(X226="","",X226/MAX($X$4:X226)-1)</f>
        <v>-7.5062847431222046E-3</v>
      </c>
      <c r="AB226" s="44">
        <f>IF(Y226="","",Y226/MAX($Y$4:Y226)-1)</f>
        <v>0</v>
      </c>
    </row>
    <row r="227" spans="1:28" x14ac:dyDescent="0.45">
      <c r="A227" s="121">
        <v>45526</v>
      </c>
      <c r="B227" s="124">
        <v>556.22</v>
      </c>
      <c r="C227" s="124">
        <v>224.53</v>
      </c>
      <c r="D227" s="124">
        <v>415.55</v>
      </c>
      <c r="E227" s="124">
        <v>216.63</v>
      </c>
      <c r="F227" s="124">
        <v>114.73</v>
      </c>
      <c r="G227" s="124">
        <v>162.35</v>
      </c>
      <c r="H227" s="124">
        <v>176.13</v>
      </c>
      <c r="I227" s="124">
        <v>69.33</v>
      </c>
      <c r="J227" s="125">
        <v>75.58</v>
      </c>
      <c r="L227" s="39">
        <f t="shared" si="44"/>
        <v>-7.8484534979129834E-3</v>
      </c>
      <c r="M227" s="40">
        <f t="shared" si="36"/>
        <v>-8.2597173144876527E-3</v>
      </c>
      <c r="N227" s="40">
        <f t="shared" si="37"/>
        <v>-2.0252746734568717E-2</v>
      </c>
      <c r="O227" s="40">
        <f t="shared" si="38"/>
        <v>9.4594594594594652E-3</v>
      </c>
      <c r="P227" s="40">
        <f t="shared" si="39"/>
        <v>7.7294685990339021E-3</v>
      </c>
      <c r="Q227" s="40">
        <f t="shared" si="40"/>
        <v>5.6990646100476211E-3</v>
      </c>
      <c r="R227" s="40">
        <f t="shared" si="41"/>
        <v>-2.2097607017933583E-2</v>
      </c>
      <c r="S227" s="40">
        <f t="shared" si="42"/>
        <v>-3.4497628288054465E-3</v>
      </c>
      <c r="T227" s="41">
        <f t="shared" si="43"/>
        <v>4.5188729399256175E-3</v>
      </c>
      <c r="V227" s="39">
        <f t="shared" si="45"/>
        <v>-7.8484534979129834E-3</v>
      </c>
      <c r="W227" s="40" cm="1">
        <f t="array" ref="W227">IF(M227="","",SUMPRODUCT(M227:T227,TRANSPOSE('04_Dashboard'!$C$53:$C$60)))</f>
        <v>6.8132276061982433E-4</v>
      </c>
      <c r="X227" s="42">
        <f t="shared" si="46"/>
        <v>1.3016779387330035</v>
      </c>
      <c r="Y227" s="118">
        <f t="shared" si="47"/>
        <v>1.2873810760851543</v>
      </c>
      <c r="AA227" s="43">
        <f>IF(X227="","",X227/MAX($X$4:X227)-1)</f>
        <v>-1.5295825514286654E-2</v>
      </c>
      <c r="AB227" s="44">
        <f>IF(Y227="","",Y227/MAX($Y$4:Y227)-1)</f>
        <v>0</v>
      </c>
    </row>
    <row r="228" spans="1:28" x14ac:dyDescent="0.45">
      <c r="A228" s="121">
        <v>45527</v>
      </c>
      <c r="B228" s="124">
        <v>562.13</v>
      </c>
      <c r="C228" s="124">
        <v>226.84</v>
      </c>
      <c r="D228" s="124">
        <v>416.79</v>
      </c>
      <c r="E228" s="124">
        <v>218.31</v>
      </c>
      <c r="F228" s="124">
        <v>116.32</v>
      </c>
      <c r="G228" s="124">
        <v>164.13</v>
      </c>
      <c r="H228" s="124">
        <v>177.04</v>
      </c>
      <c r="I228" s="124">
        <v>69.790000000000006</v>
      </c>
      <c r="J228" s="125">
        <v>75.7</v>
      </c>
      <c r="L228" s="39">
        <f t="shared" si="44"/>
        <v>1.0625292150587839E-2</v>
      </c>
      <c r="M228" s="40">
        <f t="shared" si="36"/>
        <v>1.0288157484523237E-2</v>
      </c>
      <c r="N228" s="40">
        <f t="shared" si="37"/>
        <v>2.9839971122608811E-3</v>
      </c>
      <c r="O228" s="40">
        <f t="shared" si="38"/>
        <v>7.7551585652956972E-3</v>
      </c>
      <c r="P228" s="40">
        <f t="shared" si="39"/>
        <v>1.3858624596879535E-2</v>
      </c>
      <c r="Q228" s="40">
        <f t="shared" si="40"/>
        <v>1.096396673852788E-2</v>
      </c>
      <c r="R228" s="40">
        <f t="shared" si="41"/>
        <v>5.1666382785442375E-3</v>
      </c>
      <c r="S228" s="40">
        <f t="shared" si="42"/>
        <v>6.6349343718449154E-3</v>
      </c>
      <c r="T228" s="41">
        <f t="shared" si="43"/>
        <v>1.5877216194761122E-3</v>
      </c>
      <c r="V228" s="39">
        <f t="shared" si="45"/>
        <v>1.0625292150587839E-2</v>
      </c>
      <c r="W228" s="40" cm="1">
        <f t="array" ref="W228">IF(M228="","",SUMPRODUCT(M228:T228,TRANSPOSE('04_Dashboard'!$C$53:$C$60)))</f>
        <v>7.4341537008696173E-3</v>
      </c>
      <c r="X228" s="42">
        <f t="shared" si="46"/>
        <v>1.3155086471180166</v>
      </c>
      <c r="Y228" s="118">
        <f t="shared" si="47"/>
        <v>1.2969516648763622</v>
      </c>
      <c r="AA228" s="43">
        <f>IF(X228="","",X228/MAX($X$4:X228)-1)</f>
        <v>-4.8330559784725002E-3</v>
      </c>
      <c r="AB228" s="44">
        <f>IF(Y228="","",Y228/MAX($Y$4:Y228)-1)</f>
        <v>0</v>
      </c>
    </row>
    <row r="229" spans="1:28" x14ac:dyDescent="0.45">
      <c r="A229" s="121">
        <v>45530</v>
      </c>
      <c r="B229" s="124">
        <v>560.79</v>
      </c>
      <c r="C229" s="124">
        <v>227.18</v>
      </c>
      <c r="D229" s="124">
        <v>413.49</v>
      </c>
      <c r="E229" s="124">
        <v>219.17</v>
      </c>
      <c r="F229" s="124">
        <v>118.81</v>
      </c>
      <c r="G229" s="124">
        <v>164.61</v>
      </c>
      <c r="H229" s="124">
        <v>175.5</v>
      </c>
      <c r="I229" s="124">
        <v>70.84</v>
      </c>
      <c r="J229" s="125">
        <v>76.03</v>
      </c>
      <c r="L229" s="39">
        <f t="shared" si="44"/>
        <v>-2.3837902264601282E-3</v>
      </c>
      <c r="M229" s="40">
        <f t="shared" si="36"/>
        <v>1.4988538176688565E-3</v>
      </c>
      <c r="N229" s="40">
        <f t="shared" si="37"/>
        <v>-7.9176563737134078E-3</v>
      </c>
      <c r="O229" s="40">
        <f t="shared" si="38"/>
        <v>3.9393522971919986E-3</v>
      </c>
      <c r="P229" s="40">
        <f t="shared" si="39"/>
        <v>2.140646492434671E-2</v>
      </c>
      <c r="Q229" s="40">
        <f t="shared" si="40"/>
        <v>2.9245110583075501E-3</v>
      </c>
      <c r="R229" s="40">
        <f t="shared" si="41"/>
        <v>-8.6985991866244464E-3</v>
      </c>
      <c r="S229" s="40">
        <f t="shared" si="42"/>
        <v>1.5045135406218614E-2</v>
      </c>
      <c r="T229" s="41">
        <f t="shared" si="43"/>
        <v>4.3593130779392107E-3</v>
      </c>
      <c r="V229" s="39">
        <f t="shared" si="45"/>
        <v>-2.3837902264601282E-3</v>
      </c>
      <c r="W229" s="40" cm="1">
        <f t="array" ref="W229">IF(M229="","",SUMPRODUCT(M229:T229,TRANSPOSE('04_Dashboard'!$C$53:$C$60)))</f>
        <v>4.2963520307009208E-3</v>
      </c>
      <c r="X229" s="42">
        <f t="shared" si="46"/>
        <v>1.3123727504621929</v>
      </c>
      <c r="Y229" s="118">
        <f t="shared" si="47"/>
        <v>1.3025238257954745</v>
      </c>
      <c r="AA229" s="43">
        <f>IF(X229="","",X229/MAX($X$4:X229)-1)</f>
        <v>-7.2053252133271739E-3</v>
      </c>
      <c r="AB229" s="44">
        <f>IF(Y229="","",Y229/MAX($Y$4:Y229)-1)</f>
        <v>0</v>
      </c>
    </row>
    <row r="230" spans="1:28" x14ac:dyDescent="0.45">
      <c r="A230" s="121">
        <v>45531</v>
      </c>
      <c r="B230" s="124">
        <v>561.55999999999995</v>
      </c>
      <c r="C230" s="124">
        <v>228.03</v>
      </c>
      <c r="D230" s="124">
        <v>413.84</v>
      </c>
      <c r="E230" s="124">
        <v>220.18</v>
      </c>
      <c r="F230" s="124">
        <v>117.68</v>
      </c>
      <c r="G230" s="124">
        <v>162.94999999999999</v>
      </c>
      <c r="H230" s="124">
        <v>173.12</v>
      </c>
      <c r="I230" s="124">
        <v>71.5</v>
      </c>
      <c r="J230" s="125">
        <v>76.13</v>
      </c>
      <c r="L230" s="39">
        <f t="shared" si="44"/>
        <v>1.3730630004101033E-3</v>
      </c>
      <c r="M230" s="40">
        <f t="shared" si="36"/>
        <v>3.7415265428294492E-3</v>
      </c>
      <c r="N230" s="40">
        <f t="shared" si="37"/>
        <v>8.4645336041975832E-4</v>
      </c>
      <c r="O230" s="40">
        <f t="shared" si="38"/>
        <v>4.6082949308756645E-3</v>
      </c>
      <c r="P230" s="40">
        <f t="shared" si="39"/>
        <v>-9.5109839239120898E-3</v>
      </c>
      <c r="Q230" s="40">
        <f t="shared" si="40"/>
        <v>-1.0084442014458569E-2</v>
      </c>
      <c r="R230" s="40">
        <f t="shared" si="41"/>
        <v>-1.3561253561253536E-2</v>
      </c>
      <c r="S230" s="40">
        <f t="shared" si="42"/>
        <v>9.3167701863353554E-3</v>
      </c>
      <c r="T230" s="41">
        <f t="shared" si="43"/>
        <v>1.3152702880441184E-3</v>
      </c>
      <c r="V230" s="39">
        <f t="shared" si="45"/>
        <v>1.3730630004101033E-3</v>
      </c>
      <c r="W230" s="40" cm="1">
        <f t="array" ref="W230">IF(M230="","",SUMPRODUCT(M230:T230,TRANSPOSE('04_Dashboard'!$C$53:$C$60)))</f>
        <v>-1.0465968308667663E-3</v>
      </c>
      <c r="X230" s="42">
        <f t="shared" si="46"/>
        <v>1.314174720928599</v>
      </c>
      <c r="Y230" s="118">
        <f t="shared" si="47"/>
        <v>1.3011606084872687</v>
      </c>
      <c r="AA230" s="43">
        <f>IF(X230="","",X230/MAX($X$4:X230)-1)</f>
        <v>-5.8421555783734203E-3</v>
      </c>
      <c r="AB230" s="44">
        <f>IF(Y230="","",Y230/MAX($Y$4:Y230)-1)</f>
        <v>-1.0465968308667195E-3</v>
      </c>
    </row>
    <row r="231" spans="1:28" x14ac:dyDescent="0.45">
      <c r="A231" s="121">
        <v>45532</v>
      </c>
      <c r="B231" s="124">
        <v>558.29999999999995</v>
      </c>
      <c r="C231" s="124">
        <v>226.49</v>
      </c>
      <c r="D231" s="124">
        <v>410.6</v>
      </c>
      <c r="E231" s="124">
        <v>221.29</v>
      </c>
      <c r="F231" s="124">
        <v>116.52</v>
      </c>
      <c r="G231" s="124">
        <v>163.92</v>
      </c>
      <c r="H231" s="124">
        <v>170.8</v>
      </c>
      <c r="I231" s="124">
        <v>71.75</v>
      </c>
      <c r="J231" s="125">
        <v>76.08</v>
      </c>
      <c r="L231" s="39">
        <f t="shared" si="44"/>
        <v>-5.8052567846712576E-3</v>
      </c>
      <c r="M231" s="40">
        <f t="shared" si="36"/>
        <v>-6.7534973468402933E-3</v>
      </c>
      <c r="N231" s="40">
        <f t="shared" si="37"/>
        <v>-7.829112700560489E-3</v>
      </c>
      <c r="O231" s="40">
        <f t="shared" si="38"/>
        <v>5.0413298210554326E-3</v>
      </c>
      <c r="P231" s="40">
        <f t="shared" si="39"/>
        <v>-9.8572399728077045E-3</v>
      </c>
      <c r="Q231" s="40">
        <f t="shared" si="40"/>
        <v>5.9527462411782693E-3</v>
      </c>
      <c r="R231" s="40">
        <f t="shared" si="41"/>
        <v>-1.3401109057301254E-2</v>
      </c>
      <c r="S231" s="40">
        <f t="shared" si="42"/>
        <v>3.4965034965034965E-3</v>
      </c>
      <c r="T231" s="41">
        <f t="shared" si="43"/>
        <v>-6.5677131222904449E-4</v>
      </c>
      <c r="V231" s="39">
        <f t="shared" si="45"/>
        <v>-5.8052567846712576E-3</v>
      </c>
      <c r="W231" s="40" cm="1">
        <f t="array" ref="W231">IF(M231="","",SUMPRODUCT(M231:T231,TRANSPOSE('04_Dashboard'!$C$53:$C$60)))</f>
        <v>6.2262116236589987E-4</v>
      </c>
      <c r="X231" s="42">
        <f t="shared" si="46"/>
        <v>1.3065455992136847</v>
      </c>
      <c r="Y231" s="118">
        <f t="shared" si="47"/>
        <v>1.3019707386177497</v>
      </c>
      <c r="AA231" s="43">
        <f>IF(X231="","",X231/MAX($X$4:X231)-1)</f>
        <v>-1.1613497149736252E-2</v>
      </c>
      <c r="AB231" s="44">
        <f>IF(Y231="","",Y231/MAX($Y$4:Y231)-1)</f>
        <v>-4.2462730183612241E-4</v>
      </c>
    </row>
    <row r="232" spans="1:28" x14ac:dyDescent="0.45">
      <c r="A232" s="121">
        <v>45533</v>
      </c>
      <c r="B232" s="124">
        <v>558.35</v>
      </c>
      <c r="C232" s="124">
        <v>229.79</v>
      </c>
      <c r="D232" s="124">
        <v>413.12</v>
      </c>
      <c r="E232" s="124">
        <v>222.21</v>
      </c>
      <c r="F232" s="124">
        <v>118.13</v>
      </c>
      <c r="G232" s="124">
        <v>164.23</v>
      </c>
      <c r="H232" s="124">
        <v>172.12</v>
      </c>
      <c r="I232" s="124">
        <v>72.05</v>
      </c>
      <c r="J232" s="125">
        <v>76.42</v>
      </c>
      <c r="L232" s="39">
        <f t="shared" si="44"/>
        <v>8.9557585527616366E-5</v>
      </c>
      <c r="M232" s="40">
        <f t="shared" si="36"/>
        <v>1.4570179698882878E-2</v>
      </c>
      <c r="N232" s="40">
        <f t="shared" si="37"/>
        <v>6.1373599610325905E-3</v>
      </c>
      <c r="O232" s="40">
        <f t="shared" si="38"/>
        <v>4.1574404627412716E-3</v>
      </c>
      <c r="P232" s="40">
        <f t="shared" si="39"/>
        <v>1.3817370408513555E-2</v>
      </c>
      <c r="Q232" s="40">
        <f t="shared" si="40"/>
        <v>1.8911664226452067E-3</v>
      </c>
      <c r="R232" s="40">
        <f t="shared" si="41"/>
        <v>7.7283372365339175E-3</v>
      </c>
      <c r="S232" s="40">
        <f t="shared" si="42"/>
        <v>4.1811846689895071E-3</v>
      </c>
      <c r="T232" s="41">
        <f t="shared" si="43"/>
        <v>4.4689800210305393E-3</v>
      </c>
      <c r="V232" s="39">
        <f t="shared" si="45"/>
        <v>8.9557585527616366E-5</v>
      </c>
      <c r="W232" s="40" cm="1">
        <f t="array" ref="W232">IF(M232="","",SUMPRODUCT(M232:T232,TRANSPOSE('04_Dashboard'!$C$53:$C$60)))</f>
        <v>5.118434339506971E-3</v>
      </c>
      <c r="X232" s="42">
        <f t="shared" si="46"/>
        <v>1.306662610282932</v>
      </c>
      <c r="Y232" s="118">
        <f t="shared" si="47"/>
        <v>1.3086347903553242</v>
      </c>
      <c r="AA232" s="43">
        <f>IF(X232="","",X232/MAX($X$4:X232)-1)</f>
        <v>-1.1524979640972988E-2</v>
      </c>
      <c r="AB232" s="44">
        <f>IF(Y232="","",Y232/MAX($Y$4:Y232)-1)</f>
        <v>0</v>
      </c>
    </row>
    <row r="233" spans="1:28" x14ac:dyDescent="0.45">
      <c r="A233" s="121">
        <v>45534</v>
      </c>
      <c r="B233" s="124">
        <v>563.67999999999995</v>
      </c>
      <c r="C233" s="124">
        <v>229</v>
      </c>
      <c r="D233" s="124">
        <v>417.14</v>
      </c>
      <c r="E233" s="124">
        <v>224.8</v>
      </c>
      <c r="F233" s="124">
        <v>117.94</v>
      </c>
      <c r="G233" s="124">
        <v>165.86</v>
      </c>
      <c r="H233" s="124">
        <v>178.5</v>
      </c>
      <c r="I233" s="124">
        <v>72.47</v>
      </c>
      <c r="J233" s="125">
        <v>77.23</v>
      </c>
      <c r="L233" s="39">
        <f t="shared" si="44"/>
        <v>9.5459837019789152E-3</v>
      </c>
      <c r="M233" s="40">
        <f t="shared" si="36"/>
        <v>-3.4379215805735329E-3</v>
      </c>
      <c r="N233" s="40">
        <f t="shared" si="37"/>
        <v>9.7308288148721476E-3</v>
      </c>
      <c r="O233" s="40">
        <f t="shared" si="38"/>
        <v>1.1655641060258329E-2</v>
      </c>
      <c r="P233" s="40">
        <f t="shared" si="39"/>
        <v>-1.6083975281469376E-3</v>
      </c>
      <c r="Q233" s="40">
        <f t="shared" si="40"/>
        <v>9.9251050356209212E-3</v>
      </c>
      <c r="R233" s="40">
        <f t="shared" si="41"/>
        <v>3.7067162444805922E-2</v>
      </c>
      <c r="S233" s="40">
        <f t="shared" si="42"/>
        <v>5.8292852185982194E-3</v>
      </c>
      <c r="T233" s="41">
        <f t="shared" si="43"/>
        <v>1.0599319549856089E-2</v>
      </c>
      <c r="V233" s="39">
        <f t="shared" si="45"/>
        <v>9.5459837019789152E-3</v>
      </c>
      <c r="W233" s="40" cm="1">
        <f t="array" ref="W233">IF(M233="","",SUMPRODUCT(M233:T233,TRANSPOSE('04_Dashboard'!$C$53:$C$60)))</f>
        <v>1.053206228468756E-2</v>
      </c>
      <c r="X233" s="42">
        <f t="shared" si="46"/>
        <v>1.319135990264678</v>
      </c>
      <c r="Y233" s="118">
        <f t="shared" si="47"/>
        <v>1.3224174134752555</v>
      </c>
      <c r="AA233" s="43">
        <f>IF(X233="","",X233/MAX($X$4:X233)-1)</f>
        <v>-2.08901320681254E-3</v>
      </c>
      <c r="AB233" s="44">
        <f>IF(Y233="","",Y233/MAX($Y$4:Y233)-1)</f>
        <v>0</v>
      </c>
    </row>
    <row r="234" spans="1:28" x14ac:dyDescent="0.45">
      <c r="A234" s="121">
        <v>45538</v>
      </c>
      <c r="B234" s="124">
        <v>552.08000000000004</v>
      </c>
      <c r="C234" s="124">
        <v>222.77</v>
      </c>
      <c r="D234" s="124">
        <v>409.44</v>
      </c>
      <c r="E234" s="124">
        <v>220.3</v>
      </c>
      <c r="F234" s="124">
        <v>115.47</v>
      </c>
      <c r="G234" s="124">
        <v>167.16</v>
      </c>
      <c r="H234" s="124">
        <v>176.25</v>
      </c>
      <c r="I234" s="124">
        <v>73.010000000000005</v>
      </c>
      <c r="J234" s="125">
        <v>77.17</v>
      </c>
      <c r="L234" s="39">
        <f t="shared" si="44"/>
        <v>-2.0579051944365438E-2</v>
      </c>
      <c r="M234" s="40">
        <f t="shared" si="36"/>
        <v>-2.7205240174672445E-2</v>
      </c>
      <c r="N234" s="40">
        <f t="shared" si="37"/>
        <v>-1.8459030541305051E-2</v>
      </c>
      <c r="O234" s="40">
        <f t="shared" si="38"/>
        <v>-2.0017793594306048E-2</v>
      </c>
      <c r="P234" s="40">
        <f t="shared" si="39"/>
        <v>-2.0942852297778522E-2</v>
      </c>
      <c r="Q234" s="40">
        <f t="shared" si="40"/>
        <v>7.8379356083442837E-3</v>
      </c>
      <c r="R234" s="40">
        <f t="shared" si="41"/>
        <v>-1.2605042016806723E-2</v>
      </c>
      <c r="S234" s="40">
        <f t="shared" si="42"/>
        <v>7.4513591831103388E-3</v>
      </c>
      <c r="T234" s="41">
        <f t="shared" si="43"/>
        <v>-7.7690016832839925E-4</v>
      </c>
      <c r="V234" s="39">
        <f t="shared" si="45"/>
        <v>-2.0579051944365438E-2</v>
      </c>
      <c r="W234" s="40" cm="1">
        <f t="array" ref="W234">IF(M234="","",SUMPRODUCT(M234:T234,TRANSPOSE('04_Dashboard'!$C$53:$C$60)))</f>
        <v>-6.6835314194084346E-3</v>
      </c>
      <c r="X234" s="42">
        <f t="shared" si="46"/>
        <v>1.2919894221993391</v>
      </c>
      <c r="Y234" s="118">
        <f t="shared" si="47"/>
        <v>1.3135789951427208</v>
      </c>
      <c r="AA234" s="43">
        <f>IF(X234="","",X234/MAX($X$4:X234)-1)</f>
        <v>-2.2625075239882553E-2</v>
      </c>
      <c r="AB234" s="44">
        <f>IF(Y234="","",Y234/MAX($Y$4:Y234)-1)</f>
        <v>-6.6835314194084727E-3</v>
      </c>
    </row>
    <row r="235" spans="1:28" x14ac:dyDescent="0.45">
      <c r="A235" s="121">
        <v>45539</v>
      </c>
      <c r="B235" s="124">
        <v>550.95000000000005</v>
      </c>
      <c r="C235" s="124">
        <v>220.85</v>
      </c>
      <c r="D235" s="124">
        <v>408.9</v>
      </c>
      <c r="E235" s="124">
        <v>219.33</v>
      </c>
      <c r="F235" s="124">
        <v>114.06</v>
      </c>
      <c r="G235" s="124">
        <v>167.36</v>
      </c>
      <c r="H235" s="124">
        <v>173.33</v>
      </c>
      <c r="I235" s="124">
        <v>72.56</v>
      </c>
      <c r="J235" s="125">
        <v>77.239999999999995</v>
      </c>
      <c r="L235" s="39">
        <f t="shared" si="44"/>
        <v>-2.046804810896963E-3</v>
      </c>
      <c r="M235" s="40">
        <f t="shared" si="36"/>
        <v>-8.6187547694932705E-3</v>
      </c>
      <c r="N235" s="40">
        <f t="shared" si="37"/>
        <v>-1.3188745603751966E-3</v>
      </c>
      <c r="O235" s="40">
        <f t="shared" si="38"/>
        <v>-4.4030866999546017E-3</v>
      </c>
      <c r="P235" s="40">
        <f t="shared" si="39"/>
        <v>-1.2210963886723795E-2</v>
      </c>
      <c r="Q235" s="40">
        <f t="shared" si="40"/>
        <v>1.1964584828907457E-3</v>
      </c>
      <c r="R235" s="40">
        <f t="shared" si="41"/>
        <v>-1.6567375886524752E-2</v>
      </c>
      <c r="S235" s="40">
        <f t="shared" si="42"/>
        <v>-6.1635392411998743E-3</v>
      </c>
      <c r="T235" s="41">
        <f t="shared" si="43"/>
        <v>9.070882467279147E-4</v>
      </c>
      <c r="V235" s="39">
        <f t="shared" si="45"/>
        <v>-2.046804810896963E-3</v>
      </c>
      <c r="W235" s="40" cm="1">
        <f t="array" ref="W235">IF(M235="","",SUMPRODUCT(M235:T235,TRANSPOSE('04_Dashboard'!$C$53:$C$60)))</f>
        <v>-3.8792041967592923E-3</v>
      </c>
      <c r="X235" s="42">
        <f t="shared" si="46"/>
        <v>1.2893449720343535</v>
      </c>
      <c r="Y235" s="118">
        <f t="shared" si="47"/>
        <v>1.3084833539919885</v>
      </c>
      <c r="AA235" s="43">
        <f>IF(X235="","",X235/MAX($X$4:X235)-1)</f>
        <v>-2.4625570937931718E-2</v>
      </c>
      <c r="AB235" s="44">
        <f>IF(Y235="","",Y235/MAX($Y$4:Y235)-1)</f>
        <v>-1.0536808833036315E-2</v>
      </c>
    </row>
    <row r="236" spans="1:28" x14ac:dyDescent="0.45">
      <c r="A236" s="121">
        <v>45540</v>
      </c>
      <c r="B236" s="124">
        <v>549.61</v>
      </c>
      <c r="C236" s="124">
        <v>222.38</v>
      </c>
      <c r="D236" s="124">
        <v>408.39</v>
      </c>
      <c r="E236" s="124">
        <v>217.63</v>
      </c>
      <c r="F236" s="124">
        <v>113.17</v>
      </c>
      <c r="G236" s="124">
        <v>164.99</v>
      </c>
      <c r="H236" s="124">
        <v>177.89</v>
      </c>
      <c r="I236" s="124">
        <v>71.17</v>
      </c>
      <c r="J236" s="125">
        <v>76.959999999999994</v>
      </c>
      <c r="L236" s="39">
        <f t="shared" si="44"/>
        <v>-2.4321626281877335E-3</v>
      </c>
      <c r="M236" s="40">
        <f t="shared" si="36"/>
        <v>6.9277790355444929E-3</v>
      </c>
      <c r="N236" s="40">
        <f t="shared" si="37"/>
        <v>-1.247248716067476E-3</v>
      </c>
      <c r="O236" s="40">
        <f t="shared" si="38"/>
        <v>-7.7508776729130393E-3</v>
      </c>
      <c r="P236" s="40">
        <f t="shared" si="39"/>
        <v>-7.8029107487287445E-3</v>
      </c>
      <c r="Q236" s="40">
        <f t="shared" si="40"/>
        <v>-1.4161089866156815E-2</v>
      </c>
      <c r="R236" s="40">
        <f t="shared" si="41"/>
        <v>2.6308198234581283E-2</v>
      </c>
      <c r="S236" s="40">
        <f t="shared" si="42"/>
        <v>-1.9156560088202875E-2</v>
      </c>
      <c r="T236" s="41">
        <f t="shared" si="43"/>
        <v>-3.6250647332988239E-3</v>
      </c>
      <c r="V236" s="39">
        <f t="shared" si="45"/>
        <v>-2.4321626281877335E-3</v>
      </c>
      <c r="W236" s="40" cm="1">
        <f t="array" ref="W236">IF(M236="","",SUMPRODUCT(M236:T236,TRANSPOSE('04_Dashboard'!$C$53:$C$60)))</f>
        <v>-6.5279809217080225E-3</v>
      </c>
      <c r="X236" s="42">
        <f t="shared" si="46"/>
        <v>1.2862090753785298</v>
      </c>
      <c r="Y236" s="118">
        <f t="shared" si="47"/>
        <v>1.2999415996207562</v>
      </c>
      <c r="AA236" s="43">
        <f>IF(X236="","",X236/MAX($X$4:X236)-1)</f>
        <v>-2.6997840172786391E-2</v>
      </c>
      <c r="AB236" s="44">
        <f>IF(Y236="","",Y236/MAX($Y$4:Y236)-1)</f>
        <v>-1.6996005667706648E-2</v>
      </c>
    </row>
    <row r="237" spans="1:28" x14ac:dyDescent="0.45">
      <c r="A237" s="121">
        <v>45541</v>
      </c>
      <c r="B237" s="124">
        <v>540.36</v>
      </c>
      <c r="C237" s="124">
        <v>220.82</v>
      </c>
      <c r="D237" s="124">
        <v>401.7</v>
      </c>
      <c r="E237" s="124">
        <v>212.46</v>
      </c>
      <c r="F237" s="124">
        <v>112.64</v>
      </c>
      <c r="G237" s="124">
        <v>164.38</v>
      </c>
      <c r="H237" s="124">
        <v>171.39</v>
      </c>
      <c r="I237" s="124">
        <v>71.14</v>
      </c>
      <c r="J237" s="125">
        <v>76.64</v>
      </c>
      <c r="L237" s="39">
        <f t="shared" si="44"/>
        <v>-1.6830115900365712E-2</v>
      </c>
      <c r="M237" s="40">
        <f t="shared" si="36"/>
        <v>-7.0150193362712582E-3</v>
      </c>
      <c r="N237" s="40">
        <f t="shared" si="37"/>
        <v>-1.6381400132226543E-2</v>
      </c>
      <c r="O237" s="40">
        <f t="shared" si="38"/>
        <v>-2.3755916004227301E-2</v>
      </c>
      <c r="P237" s="40">
        <f t="shared" si="39"/>
        <v>-4.683219934611656E-3</v>
      </c>
      <c r="Q237" s="40">
        <f t="shared" si="40"/>
        <v>-3.6971937693194351E-3</v>
      </c>
      <c r="R237" s="40">
        <f t="shared" si="41"/>
        <v>-3.6539434481983248E-2</v>
      </c>
      <c r="S237" s="40">
        <f t="shared" si="42"/>
        <v>-4.2152592384433237E-4</v>
      </c>
      <c r="T237" s="41">
        <f t="shared" si="43"/>
        <v>-4.1580041580040698E-3</v>
      </c>
      <c r="V237" s="39">
        <f t="shared" si="45"/>
        <v>-1.6830115900365712E-2</v>
      </c>
      <c r="W237" s="40" cm="1">
        <f t="array" ref="W237">IF(M237="","",SUMPRODUCT(M237:T237,TRANSPOSE('04_Dashboard'!$C$53:$C$60)))</f>
        <v>-1.1573212403192814E-2</v>
      </c>
      <c r="X237" s="42">
        <f t="shared" si="46"/>
        <v>1.2645620275678069</v>
      </c>
      <c r="Y237" s="118">
        <f t="shared" si="47"/>
        <v>1.2848970993765989</v>
      </c>
      <c r="AA237" s="43">
        <f>IF(X237="","",X237/MAX($X$4:X237)-1)</f>
        <v>-4.3373579293984554E-2</v>
      </c>
      <c r="AB237" s="44">
        <f>IF(Y237="","",Y237/MAX($Y$4:Y237)-1)</f>
        <v>-2.8372519687301256E-2</v>
      </c>
    </row>
    <row r="238" spans="1:28" x14ac:dyDescent="0.45">
      <c r="A238" s="121">
        <v>45544</v>
      </c>
      <c r="B238" s="124">
        <v>546.41</v>
      </c>
      <c r="C238" s="124">
        <v>220.91</v>
      </c>
      <c r="D238" s="124">
        <v>405.72</v>
      </c>
      <c r="E238" s="124">
        <v>216.81</v>
      </c>
      <c r="F238" s="124">
        <v>115.01</v>
      </c>
      <c r="G238" s="124">
        <v>166.61</v>
      </c>
      <c r="H238" s="124">
        <v>175.4</v>
      </c>
      <c r="I238" s="124">
        <v>71.849999999999994</v>
      </c>
      <c r="J238" s="125">
        <v>77.34</v>
      </c>
      <c r="L238" s="39">
        <f t="shared" si="44"/>
        <v>1.1196239544007613E-2</v>
      </c>
      <c r="M238" s="40">
        <f t="shared" si="36"/>
        <v>4.0757177791868223E-4</v>
      </c>
      <c r="N238" s="40">
        <f t="shared" si="37"/>
        <v>1.0007468259895541E-2</v>
      </c>
      <c r="O238" s="40">
        <f t="shared" si="38"/>
        <v>2.0474442247952529E-2</v>
      </c>
      <c r="P238" s="40">
        <f t="shared" si="39"/>
        <v>2.1040482954545494E-2</v>
      </c>
      <c r="Q238" s="40">
        <f t="shared" si="40"/>
        <v>1.3566127266090876E-2</v>
      </c>
      <c r="R238" s="40">
        <f t="shared" si="41"/>
        <v>2.3396930976136411E-2</v>
      </c>
      <c r="S238" s="40">
        <f t="shared" si="42"/>
        <v>9.9803204947989006E-3</v>
      </c>
      <c r="T238" s="41">
        <f t="shared" si="43"/>
        <v>9.1336116910230008E-3</v>
      </c>
      <c r="V238" s="39">
        <f t="shared" si="45"/>
        <v>1.1196239544007613E-2</v>
      </c>
      <c r="W238" s="40" cm="1">
        <f t="array" ref="W238">IF(M238="","",SUMPRODUCT(M238:T238,TRANSPOSE('04_Dashboard'!$C$53:$C$60)))</f>
        <v>1.4218144507996289E-2</v>
      </c>
      <c r="X238" s="42">
        <f t="shared" si="46"/>
        <v>1.2787203669467122</v>
      </c>
      <c r="Y238" s="118">
        <f t="shared" si="47"/>
        <v>1.3031659520134407</v>
      </c>
      <c r="AA238" s="43">
        <f>IF(X238="","",X238/MAX($X$4:X238)-1)</f>
        <v>-3.2662960733633284E-2</v>
      </c>
      <c r="AB238" s="44">
        <f>IF(Y238="","",Y238/MAX($Y$4:Y238)-1)</f>
        <v>-1.455777976427497E-2</v>
      </c>
    </row>
    <row r="239" spans="1:28" x14ac:dyDescent="0.45">
      <c r="A239" s="121">
        <v>45545</v>
      </c>
      <c r="B239" s="124">
        <v>548.79</v>
      </c>
      <c r="C239" s="124">
        <v>220.11</v>
      </c>
      <c r="D239" s="124">
        <v>414.2</v>
      </c>
      <c r="E239" s="124">
        <v>205.56</v>
      </c>
      <c r="F239" s="124">
        <v>110.82</v>
      </c>
      <c r="G239" s="124">
        <v>167.38</v>
      </c>
      <c r="H239" s="124">
        <v>179.55</v>
      </c>
      <c r="I239" s="124">
        <v>71.55</v>
      </c>
      <c r="J239" s="125">
        <v>78.81</v>
      </c>
      <c r="L239" s="39">
        <f t="shared" si="44"/>
        <v>4.3557035925403916E-3</v>
      </c>
      <c r="M239" s="40">
        <f t="shared" si="36"/>
        <v>-3.6213842741387122E-3</v>
      </c>
      <c r="N239" s="40">
        <f t="shared" si="37"/>
        <v>2.0901114068815837E-2</v>
      </c>
      <c r="O239" s="40">
        <f t="shared" si="38"/>
        <v>-5.1888750518887507E-2</v>
      </c>
      <c r="P239" s="40">
        <f t="shared" si="39"/>
        <v>-3.643161464220513E-2</v>
      </c>
      <c r="Q239" s="40">
        <f t="shared" si="40"/>
        <v>4.6215713342535368E-3</v>
      </c>
      <c r="R239" s="40">
        <f t="shared" si="41"/>
        <v>2.3660205245153967E-2</v>
      </c>
      <c r="S239" s="40">
        <f t="shared" si="42"/>
        <v>-4.1753653444676015E-3</v>
      </c>
      <c r="T239" s="41">
        <f t="shared" si="43"/>
        <v>1.9006982156710612E-2</v>
      </c>
      <c r="V239" s="39">
        <f t="shared" si="45"/>
        <v>4.3557035925403916E-3</v>
      </c>
      <c r="W239" s="40" cm="1">
        <f t="array" ref="W239">IF(M239="","",SUMPRODUCT(M239:T239,TRANSPOSE('04_Dashboard'!$C$53:$C$60)))</f>
        <v>-7.9836991017090721E-3</v>
      </c>
      <c r="X239" s="42">
        <f t="shared" si="46"/>
        <v>1.2842900938428765</v>
      </c>
      <c r="Y239" s="118">
        <f t="shared" si="47"/>
        <v>1.292761867172973</v>
      </c>
      <c r="AA239" s="43">
        <f>IF(X239="","",X239/MAX($X$4:X239)-1)</f>
        <v>-2.8449527316503409E-2</v>
      </c>
      <c r="AB239" s="44">
        <f>IF(Y239="","",Y239/MAX($Y$4:Y239)-1)</f>
        <v>-2.2425253932757183E-2</v>
      </c>
    </row>
    <row r="240" spans="1:28" x14ac:dyDescent="0.45">
      <c r="A240" s="121">
        <v>45546</v>
      </c>
      <c r="B240" s="124">
        <v>554.41999999999996</v>
      </c>
      <c r="C240" s="124">
        <v>222.66</v>
      </c>
      <c r="D240" s="124">
        <v>423.04</v>
      </c>
      <c r="E240" s="124">
        <v>207.23</v>
      </c>
      <c r="F240" s="124">
        <v>109.72</v>
      </c>
      <c r="G240" s="124">
        <v>164.82</v>
      </c>
      <c r="H240" s="124">
        <v>184.52</v>
      </c>
      <c r="I240" s="124">
        <v>71.08</v>
      </c>
      <c r="J240" s="125">
        <v>78.84</v>
      </c>
      <c r="L240" s="39">
        <f t="shared" si="44"/>
        <v>1.0258933289600751E-2</v>
      </c>
      <c r="M240" s="40">
        <f t="shared" si="36"/>
        <v>1.1585116532642692E-2</v>
      </c>
      <c r="N240" s="40">
        <f t="shared" si="37"/>
        <v>2.13423466924192E-2</v>
      </c>
      <c r="O240" s="40">
        <f t="shared" si="38"/>
        <v>8.1241486670557868E-3</v>
      </c>
      <c r="P240" s="40">
        <f t="shared" si="39"/>
        <v>-9.9260061360764706E-3</v>
      </c>
      <c r="Q240" s="40">
        <f t="shared" si="40"/>
        <v>-1.5294539371490036E-2</v>
      </c>
      <c r="R240" s="40">
        <f t="shared" si="41"/>
        <v>2.7680311890838197E-2</v>
      </c>
      <c r="S240" s="40">
        <f t="shared" si="42"/>
        <v>-6.5688329839273078E-3</v>
      </c>
      <c r="T240" s="41">
        <f t="shared" si="43"/>
        <v>3.8066235249335285E-4</v>
      </c>
      <c r="V240" s="39">
        <f t="shared" si="45"/>
        <v>1.0258933289600751E-2</v>
      </c>
      <c r="W240" s="40" cm="1">
        <f t="array" ref="W240">IF(M240="","",SUMPRODUCT(M240:T240,TRANSPOSE('04_Dashboard'!$C$53:$C$60)))</f>
        <v>1.054696468990521E-3</v>
      </c>
      <c r="X240" s="42">
        <f t="shared" si="46"/>
        <v>1.2974655402401059</v>
      </c>
      <c r="Y240" s="118">
        <f t="shared" si="47"/>
        <v>1.2941253385495262</v>
      </c>
      <c r="AA240" s="43">
        <f>IF(X240="","",X240/MAX($X$4:X240)-1)</f>
        <v>-1.8482455829763156E-2</v>
      </c>
      <c r="AB240" s="44">
        <f>IF(Y240="","",Y240/MAX($Y$4:Y240)-1)</f>
        <v>-2.1394209299905542E-2</v>
      </c>
    </row>
    <row r="241" spans="1:28" x14ac:dyDescent="0.45">
      <c r="A241" s="121">
        <v>45547</v>
      </c>
      <c r="B241" s="124">
        <v>559.09</v>
      </c>
      <c r="C241" s="124">
        <v>222.77</v>
      </c>
      <c r="D241" s="124">
        <v>427</v>
      </c>
      <c r="E241" s="124">
        <v>206.6</v>
      </c>
      <c r="F241" s="124">
        <v>111.23</v>
      </c>
      <c r="G241" s="124">
        <v>164.64</v>
      </c>
      <c r="H241" s="124">
        <v>187</v>
      </c>
      <c r="I241" s="124">
        <v>71.23</v>
      </c>
      <c r="J241" s="125">
        <v>79.66</v>
      </c>
      <c r="L241" s="39">
        <f t="shared" si="44"/>
        <v>8.4232170556619041E-3</v>
      </c>
      <c r="M241" s="40">
        <f t="shared" si="36"/>
        <v>4.9402676726854238E-4</v>
      </c>
      <c r="N241" s="40">
        <f t="shared" si="37"/>
        <v>9.3608169440241567E-3</v>
      </c>
      <c r="O241" s="40">
        <f t="shared" si="38"/>
        <v>-3.0401003715678013E-3</v>
      </c>
      <c r="P241" s="40">
        <f t="shared" si="39"/>
        <v>1.3762304046664283E-2</v>
      </c>
      <c r="Q241" s="40">
        <f t="shared" si="40"/>
        <v>-1.0921004732435799E-3</v>
      </c>
      <c r="R241" s="40">
        <f t="shared" si="41"/>
        <v>1.3440277476696237E-2</v>
      </c>
      <c r="S241" s="40">
        <f t="shared" si="42"/>
        <v>2.1102982554868557E-3</v>
      </c>
      <c r="T241" s="41">
        <f t="shared" si="43"/>
        <v>1.0400811770674697E-2</v>
      </c>
      <c r="V241" s="39">
        <f t="shared" si="45"/>
        <v>8.4232170556619041E-3</v>
      </c>
      <c r="W241" s="40" cm="1">
        <f t="array" ref="W241">IF(M241="","",SUMPRODUCT(M241:T241,TRANSPOSE('04_Dashboard'!$C$53:$C$60)))</f>
        <v>3.1029975907247986E-3</v>
      </c>
      <c r="X241" s="42">
        <f t="shared" si="46"/>
        <v>1.3083943741077899</v>
      </c>
      <c r="Y241" s="118">
        <f t="shared" si="47"/>
        <v>1.2981410063571412</v>
      </c>
      <c r="AA241" s="43">
        <f>IF(X241="","",X241/MAX($X$4:X241)-1)</f>
        <v>-1.0214920511277037E-2</v>
      </c>
      <c r="AB241" s="44">
        <f>IF(Y241="","",Y241/MAX($Y$4:Y241)-1)</f>
        <v>-1.8357597889093857E-2</v>
      </c>
    </row>
    <row r="242" spans="1:28" x14ac:dyDescent="0.45">
      <c r="A242" s="121">
        <v>45548</v>
      </c>
      <c r="B242" s="124">
        <v>562.01</v>
      </c>
      <c r="C242" s="124">
        <v>222.5</v>
      </c>
      <c r="D242" s="124">
        <v>430.59</v>
      </c>
      <c r="E242" s="124">
        <v>204.32</v>
      </c>
      <c r="F242" s="124">
        <v>111.15</v>
      </c>
      <c r="G242" s="124">
        <v>165.52</v>
      </c>
      <c r="H242" s="124">
        <v>186.49</v>
      </c>
      <c r="I242" s="124">
        <v>71.41</v>
      </c>
      <c r="J242" s="125">
        <v>80.599999999999994</v>
      </c>
      <c r="L242" s="39">
        <f t="shared" si="44"/>
        <v>5.2227727199555688E-3</v>
      </c>
      <c r="M242" s="40">
        <f t="shared" si="36"/>
        <v>-1.2120123894600271E-3</v>
      </c>
      <c r="N242" s="40">
        <f t="shared" si="37"/>
        <v>8.4074941451990053E-3</v>
      </c>
      <c r="O242" s="40">
        <f t="shared" si="38"/>
        <v>-1.1035818005808331E-2</v>
      </c>
      <c r="P242" s="40">
        <f t="shared" si="39"/>
        <v>-7.1923042344689643E-4</v>
      </c>
      <c r="Q242" s="40">
        <f t="shared" si="40"/>
        <v>5.344995140913654E-3</v>
      </c>
      <c r="R242" s="40">
        <f t="shared" si="41"/>
        <v>-2.7272727272726785E-3</v>
      </c>
      <c r="S242" s="40">
        <f t="shared" si="42"/>
        <v>2.5270251298609098E-3</v>
      </c>
      <c r="T242" s="41">
        <f t="shared" si="43"/>
        <v>1.1800150640220912E-2</v>
      </c>
      <c r="V242" s="39">
        <f t="shared" si="45"/>
        <v>5.2227727199555688E-3</v>
      </c>
      <c r="W242" s="40" cm="1">
        <f t="array" ref="W242">IF(M242="","",SUMPRODUCT(M242:T242,TRANSPOSE('04_Dashboard'!$C$53:$C$60)))</f>
        <v>9.2256163423846038E-4</v>
      </c>
      <c r="X242" s="42">
        <f t="shared" si="46"/>
        <v>1.3152278205518235</v>
      </c>
      <c r="Y242" s="118">
        <f t="shared" si="47"/>
        <v>1.2993386214454381</v>
      </c>
      <c r="AA242" s="43">
        <f>IF(X242="","",X242/MAX($X$4:X242)-1)</f>
        <v>-5.045497999504267E-3</v>
      </c>
      <c r="AB242" s="44">
        <f>IF(Y242="","",Y242/MAX($Y$4:Y242)-1)</f>
        <v>-1.7451972270364657E-2</v>
      </c>
    </row>
    <row r="243" spans="1:28" x14ac:dyDescent="0.45">
      <c r="A243" s="121">
        <v>45551</v>
      </c>
      <c r="B243" s="124">
        <v>562.84</v>
      </c>
      <c r="C243" s="124">
        <v>216.32</v>
      </c>
      <c r="D243" s="124">
        <v>431.34</v>
      </c>
      <c r="E243" s="124">
        <v>207.86</v>
      </c>
      <c r="F243" s="124">
        <v>112.71</v>
      </c>
      <c r="G243" s="124">
        <v>166.99</v>
      </c>
      <c r="H243" s="124">
        <v>184.89</v>
      </c>
      <c r="I243" s="124">
        <v>72.099999999999994</v>
      </c>
      <c r="J243" s="125">
        <v>80.56</v>
      </c>
      <c r="L243" s="39">
        <f t="shared" si="44"/>
        <v>1.4768420490739328E-3</v>
      </c>
      <c r="M243" s="40">
        <f t="shared" si="36"/>
        <v>-2.7775280898876435E-2</v>
      </c>
      <c r="N243" s="40">
        <f t="shared" si="37"/>
        <v>1.7417961401797535E-3</v>
      </c>
      <c r="O243" s="40">
        <f t="shared" si="38"/>
        <v>1.7325763508222496E-2</v>
      </c>
      <c r="P243" s="40">
        <f t="shared" si="39"/>
        <v>1.4035087719298138E-2</v>
      </c>
      <c r="Q243" s="40">
        <f t="shared" si="40"/>
        <v>8.8811019816336326E-3</v>
      </c>
      <c r="R243" s="40">
        <f t="shared" si="41"/>
        <v>-8.5795485012602427E-3</v>
      </c>
      <c r="S243" s="40">
        <f t="shared" si="42"/>
        <v>9.6625122531857968E-3</v>
      </c>
      <c r="T243" s="41">
        <f t="shared" si="43"/>
        <v>-4.9627791563265568E-4</v>
      </c>
      <c r="V243" s="39">
        <f t="shared" si="45"/>
        <v>1.4768420490739328E-3</v>
      </c>
      <c r="W243" s="40" cm="1">
        <f t="array" ref="W243">IF(M243="","",SUMPRODUCT(M243:T243,TRANSPOSE('04_Dashboard'!$C$53:$C$60)))</f>
        <v>6.149926024728556E-3</v>
      </c>
      <c r="X243" s="42">
        <f t="shared" si="46"/>
        <v>1.3171702043013263</v>
      </c>
      <c r="Y243" s="118">
        <f t="shared" si="47"/>
        <v>1.3073294578484005</v>
      </c>
      <c r="AA243" s="43">
        <f>IF(X243="","",X243/MAX($X$4:X243)-1)</f>
        <v>-3.5761073540345745E-3</v>
      </c>
      <c r="AB243" s="44">
        <f>IF(Y243="","",Y243/MAX($Y$4:Y243)-1)</f>
        <v>-1.1409374584084309E-2</v>
      </c>
    </row>
    <row r="244" spans="1:28" x14ac:dyDescent="0.45">
      <c r="A244" s="121">
        <v>45552</v>
      </c>
      <c r="B244" s="124">
        <v>563.07000000000005</v>
      </c>
      <c r="C244" s="124">
        <v>216.79</v>
      </c>
      <c r="D244" s="124">
        <v>435.15</v>
      </c>
      <c r="E244" s="124">
        <v>209.25</v>
      </c>
      <c r="F244" s="124">
        <v>114.18</v>
      </c>
      <c r="G244" s="124">
        <v>167.07</v>
      </c>
      <c r="H244" s="124">
        <v>186.88</v>
      </c>
      <c r="I244" s="124">
        <v>71.8</v>
      </c>
      <c r="J244" s="125">
        <v>78.599999999999994</v>
      </c>
      <c r="L244" s="39">
        <f t="shared" si="44"/>
        <v>4.086418875702121E-4</v>
      </c>
      <c r="M244" s="40">
        <f t="shared" si="36"/>
        <v>2.1727071005917106E-3</v>
      </c>
      <c r="N244" s="40">
        <f t="shared" si="37"/>
        <v>8.8329392126860543E-3</v>
      </c>
      <c r="O244" s="40">
        <f t="shared" si="38"/>
        <v>6.68719330318477E-3</v>
      </c>
      <c r="P244" s="40">
        <f t="shared" si="39"/>
        <v>1.3042321000798626E-2</v>
      </c>
      <c r="Q244" s="40">
        <f t="shared" si="40"/>
        <v>4.790706030300262E-4</v>
      </c>
      <c r="R244" s="40">
        <f t="shared" si="41"/>
        <v>1.0763156471415486E-2</v>
      </c>
      <c r="S244" s="40">
        <f t="shared" si="42"/>
        <v>-4.160887656033248E-3</v>
      </c>
      <c r="T244" s="41">
        <f t="shared" si="43"/>
        <v>-2.4329692154915688E-2</v>
      </c>
      <c r="V244" s="39">
        <f t="shared" si="45"/>
        <v>4.086418875702121E-4</v>
      </c>
      <c r="W244" s="40" cm="1">
        <f t="array" ref="W244">IF(M244="","",SUMPRODUCT(M244:T244,TRANSPOSE('04_Dashboard'!$C$53:$C$60)))</f>
        <v>-1.0665900706758377E-4</v>
      </c>
      <c r="X244" s="42">
        <f t="shared" si="46"/>
        <v>1.3177084552198632</v>
      </c>
      <c r="Y244" s="118">
        <f t="shared" si="47"/>
        <v>1.307190019386516</v>
      </c>
      <c r="AA244" s="43">
        <f>IF(X244="","",X244/MAX($X$4:X244)-1)</f>
        <v>-3.1689268137236049E-3</v>
      </c>
      <c r="AB244" s="44">
        <f>IF(Y244="","",Y244/MAX($Y$4:Y244)-1)</f>
        <v>-1.1514816678587558E-2</v>
      </c>
    </row>
    <row r="245" spans="1:28" x14ac:dyDescent="0.45">
      <c r="A245" s="121">
        <v>45553</v>
      </c>
      <c r="B245" s="124">
        <v>561.4</v>
      </c>
      <c r="C245" s="124">
        <v>220.69</v>
      </c>
      <c r="D245" s="124">
        <v>430.81</v>
      </c>
      <c r="E245" s="124">
        <v>207.53</v>
      </c>
      <c r="F245" s="124">
        <v>114.58</v>
      </c>
      <c r="G245" s="124">
        <v>166.15</v>
      </c>
      <c r="H245" s="124">
        <v>186.43</v>
      </c>
      <c r="I245" s="124">
        <v>71.75</v>
      </c>
      <c r="J245" s="125">
        <v>79.03</v>
      </c>
      <c r="L245" s="39">
        <f t="shared" si="44"/>
        <v>-2.9658834603158977E-3</v>
      </c>
      <c r="M245" s="40">
        <f t="shared" si="36"/>
        <v>1.7989759675261802E-2</v>
      </c>
      <c r="N245" s="40">
        <f t="shared" si="37"/>
        <v>-9.973572331379927E-3</v>
      </c>
      <c r="O245" s="40">
        <f t="shared" si="38"/>
        <v>-8.2198327359617636E-3</v>
      </c>
      <c r="P245" s="40">
        <f t="shared" si="39"/>
        <v>3.5032404974600756E-3</v>
      </c>
      <c r="Q245" s="40">
        <f t="shared" si="40"/>
        <v>-5.5066738492846566E-3</v>
      </c>
      <c r="R245" s="40">
        <f t="shared" si="41"/>
        <v>-2.4079623287670627E-3</v>
      </c>
      <c r="S245" s="40">
        <f t="shared" si="42"/>
        <v>-6.9637883008352589E-4</v>
      </c>
      <c r="T245" s="41">
        <f t="shared" si="43"/>
        <v>5.4707379134860921E-3</v>
      </c>
      <c r="V245" s="39">
        <f t="shared" si="45"/>
        <v>-2.9658834603158977E-3</v>
      </c>
      <c r="W245" s="40" cm="1">
        <f t="array" ref="W245">IF(M245="","",SUMPRODUCT(M245:T245,TRANSPOSE('04_Dashboard'!$C$53:$C$60)))</f>
        <v>-2.2826349187432945E-3</v>
      </c>
      <c r="X245" s="42">
        <f t="shared" si="46"/>
        <v>1.3138002855070083</v>
      </c>
      <c r="Y245" s="118">
        <f t="shared" si="47"/>
        <v>1.3042061818028317</v>
      </c>
      <c r="AA245" s="43">
        <f>IF(X245="","",X245/MAX($X$4:X245)-1)</f>
        <v>-6.125411606415665E-3</v>
      </c>
      <c r="AB245" s="44">
        <f>IF(Y245="","",Y245/MAX($Y$4:Y245)-1)</f>
        <v>-1.3771167474697421E-2</v>
      </c>
    </row>
    <row r="246" spans="1:28" x14ac:dyDescent="0.45">
      <c r="A246" s="121">
        <v>45554</v>
      </c>
      <c r="B246" s="124">
        <v>570.98</v>
      </c>
      <c r="C246" s="124">
        <v>228.87</v>
      </c>
      <c r="D246" s="124">
        <v>438.69</v>
      </c>
      <c r="E246" s="124">
        <v>210.48</v>
      </c>
      <c r="F246" s="124">
        <v>116</v>
      </c>
      <c r="G246" s="124">
        <v>164.82</v>
      </c>
      <c r="H246" s="124">
        <v>189.87</v>
      </c>
      <c r="I246" s="124">
        <v>70.62</v>
      </c>
      <c r="J246" s="125">
        <v>78.040000000000006</v>
      </c>
      <c r="L246" s="39">
        <f t="shared" si="44"/>
        <v>1.7064481653010406E-2</v>
      </c>
      <c r="M246" s="40">
        <f t="shared" si="36"/>
        <v>3.706556708505146E-2</v>
      </c>
      <c r="N246" s="40">
        <f t="shared" si="37"/>
        <v>1.8291126018430387E-2</v>
      </c>
      <c r="O246" s="40">
        <f t="shared" si="38"/>
        <v>1.4214812316291566E-2</v>
      </c>
      <c r="P246" s="40">
        <f t="shared" si="39"/>
        <v>1.2393087798917802E-2</v>
      </c>
      <c r="Q246" s="40">
        <f t="shared" si="40"/>
        <v>-8.0048149262715168E-3</v>
      </c>
      <c r="R246" s="40">
        <f t="shared" si="41"/>
        <v>1.8451965885318874E-2</v>
      </c>
      <c r="S246" s="40">
        <f t="shared" si="42"/>
        <v>-1.5749128919860564E-2</v>
      </c>
      <c r="T246" s="41">
        <f t="shared" si="43"/>
        <v>-1.2526888523345501E-2</v>
      </c>
      <c r="V246" s="39">
        <f t="shared" si="45"/>
        <v>1.7064481653010406E-2</v>
      </c>
      <c r="W246" s="40" cm="1">
        <f t="array" ref="W246">IF(M246="","",SUMPRODUCT(M246:T246,TRANSPOSE('04_Dashboard'!$C$53:$C$60)))</f>
        <v>2.7980720306957545E-3</v>
      </c>
      <c r="X246" s="42">
        <f t="shared" si="46"/>
        <v>1.3362196063747624</v>
      </c>
      <c r="Y246" s="118">
        <f t="shared" si="47"/>
        <v>1.3078554446423947</v>
      </c>
      <c r="AA246" s="43">
        <f>IF(X246="","",X246/MAX($X$4:X246)-1)</f>
        <v>0</v>
      </c>
      <c r="AB246" s="44">
        <f>IF(Y246="","",Y246/MAX($Y$4:Y246)-1)</f>
        <v>-1.1011628162542642E-2</v>
      </c>
    </row>
    <row r="247" spans="1:28" x14ac:dyDescent="0.45">
      <c r="A247" s="121">
        <v>45555</v>
      </c>
      <c r="B247" s="124">
        <v>568.25</v>
      </c>
      <c r="C247" s="124">
        <v>228.2</v>
      </c>
      <c r="D247" s="124">
        <v>435.27</v>
      </c>
      <c r="E247" s="124">
        <v>211.09</v>
      </c>
      <c r="F247" s="124">
        <v>115.27</v>
      </c>
      <c r="G247" s="124">
        <v>164.16</v>
      </c>
      <c r="H247" s="124">
        <v>191.6</v>
      </c>
      <c r="I247" s="124">
        <v>71.64</v>
      </c>
      <c r="J247" s="125">
        <v>79.06</v>
      </c>
      <c r="L247" s="39">
        <f t="shared" si="44"/>
        <v>-4.7812532838278363E-3</v>
      </c>
      <c r="M247" s="40">
        <f t="shared" si="36"/>
        <v>-2.9274260497226196E-3</v>
      </c>
      <c r="N247" s="40">
        <f t="shared" si="37"/>
        <v>-7.7959379060384693E-3</v>
      </c>
      <c r="O247" s="40">
        <f t="shared" si="38"/>
        <v>2.8981375902699244E-3</v>
      </c>
      <c r="P247" s="40">
        <f t="shared" si="39"/>
        <v>-6.293103448275896E-3</v>
      </c>
      <c r="Q247" s="40">
        <f t="shared" si="40"/>
        <v>-4.0043684018929533E-3</v>
      </c>
      <c r="R247" s="40">
        <f t="shared" si="41"/>
        <v>9.1114973402854037E-3</v>
      </c>
      <c r="S247" s="40">
        <f t="shared" si="42"/>
        <v>1.4443500424808778E-2</v>
      </c>
      <c r="T247" s="41">
        <f t="shared" si="43"/>
        <v>1.3070220399794925E-2</v>
      </c>
      <c r="V247" s="39">
        <f t="shared" si="45"/>
        <v>-4.7812532838278363E-3</v>
      </c>
      <c r="W247" s="40" cm="1">
        <f t="array" ref="W247">IF(M247="","",SUMPRODUCT(M247:T247,TRANSPOSE('04_Dashboard'!$C$53:$C$60)))</f>
        <v>3.2195497186062252E-3</v>
      </c>
      <c r="X247" s="42">
        <f t="shared" si="46"/>
        <v>1.3298308019938681</v>
      </c>
      <c r="Y247" s="118">
        <f t="shared" si="47"/>
        <v>1.3120661502711708</v>
      </c>
      <c r="AA247" s="43">
        <f>IF(X247="","",X247/MAX($X$4:X247)-1)</f>
        <v>-4.7812532838278354E-3</v>
      </c>
      <c r="AB247" s="44">
        <f>IF(Y247="","",Y247/MAX($Y$4:Y247)-1)</f>
        <v>-7.8275309282884731E-3</v>
      </c>
    </row>
    <row r="248" spans="1:28" x14ac:dyDescent="0.45">
      <c r="A248" s="121">
        <v>45558</v>
      </c>
      <c r="B248" s="124">
        <v>569.66999999999996</v>
      </c>
      <c r="C248" s="124">
        <v>226.47</v>
      </c>
      <c r="D248" s="124">
        <v>433.51</v>
      </c>
      <c r="E248" s="124">
        <v>211.44</v>
      </c>
      <c r="F248" s="124">
        <v>117.36</v>
      </c>
      <c r="G248" s="124">
        <v>163.22</v>
      </c>
      <c r="H248" s="124">
        <v>193.88</v>
      </c>
      <c r="I248" s="124">
        <v>71.73</v>
      </c>
      <c r="J248" s="125">
        <v>80.33</v>
      </c>
      <c r="L248" s="39">
        <f t="shared" si="44"/>
        <v>2.49890013198409E-3</v>
      </c>
      <c r="M248" s="40">
        <f t="shared" si="36"/>
        <v>-7.5810692375109104E-3</v>
      </c>
      <c r="N248" s="40">
        <f t="shared" si="37"/>
        <v>-4.0434672731867365E-3</v>
      </c>
      <c r="O248" s="40">
        <f t="shared" si="38"/>
        <v>1.6580605428963679E-3</v>
      </c>
      <c r="P248" s="40">
        <f t="shared" si="39"/>
        <v>1.813134380150953E-2</v>
      </c>
      <c r="Q248" s="40">
        <f t="shared" si="40"/>
        <v>-5.7261208576997917E-3</v>
      </c>
      <c r="R248" s="40">
        <f t="shared" si="41"/>
        <v>1.1899791231732782E-2</v>
      </c>
      <c r="S248" s="40">
        <f t="shared" si="42"/>
        <v>1.2562814070352234E-3</v>
      </c>
      <c r="T248" s="41">
        <f t="shared" si="43"/>
        <v>1.6063749051353351E-2</v>
      </c>
      <c r="V248" s="39">
        <f t="shared" si="45"/>
        <v>2.49890013198409E-3</v>
      </c>
      <c r="W248" s="40" cm="1">
        <f t="array" ref="W248">IF(M248="","",SUMPRODUCT(M248:T248,TRANSPOSE('04_Dashboard'!$C$53:$C$60)))</f>
        <v>2.5322693764912533E-3</v>
      </c>
      <c r="X248" s="42">
        <f t="shared" si="46"/>
        <v>1.3331539163604871</v>
      </c>
      <c r="Y248" s="118">
        <f t="shared" si="47"/>
        <v>1.3153886552034333</v>
      </c>
      <c r="AA248" s="43">
        <f>IF(X248="","",X248/MAX($X$4:X248)-1)</f>
        <v>-2.2943010263056784E-3</v>
      </c>
      <c r="AB248" s="44">
        <f>IF(Y248="","",Y248/MAX($Y$4:Y248)-1)</f>
        <v>-5.3150829686603451E-3</v>
      </c>
    </row>
    <row r="249" spans="1:28" x14ac:dyDescent="0.45">
      <c r="A249" s="121">
        <v>45559</v>
      </c>
      <c r="B249" s="124">
        <v>571.29999999999995</v>
      </c>
      <c r="C249" s="124">
        <v>227.37</v>
      </c>
      <c r="D249" s="124">
        <v>429.17</v>
      </c>
      <c r="E249" s="124">
        <v>211.59</v>
      </c>
      <c r="F249" s="124">
        <v>117.05</v>
      </c>
      <c r="G249" s="124">
        <v>162.78</v>
      </c>
      <c r="H249" s="124">
        <v>193.96</v>
      </c>
      <c r="I249" s="124">
        <v>71.33</v>
      </c>
      <c r="J249" s="125">
        <v>80.67</v>
      </c>
      <c r="L249" s="39">
        <f t="shared" si="44"/>
        <v>2.8613056681938589E-3</v>
      </c>
      <c r="M249" s="40">
        <f t="shared" si="36"/>
        <v>3.9740362961981973E-3</v>
      </c>
      <c r="N249" s="40">
        <f t="shared" si="37"/>
        <v>-1.0011303084127184E-2</v>
      </c>
      <c r="O249" s="40">
        <f t="shared" si="38"/>
        <v>7.0942111237233107E-4</v>
      </c>
      <c r="P249" s="40">
        <f t="shared" si="39"/>
        <v>-2.641445126107722E-3</v>
      </c>
      <c r="Q249" s="40">
        <f t="shared" si="40"/>
        <v>-2.695748070089436E-3</v>
      </c>
      <c r="R249" s="40">
        <f t="shared" si="41"/>
        <v>4.1262636682490463E-4</v>
      </c>
      <c r="S249" s="40">
        <f t="shared" si="42"/>
        <v>-5.576467307960486E-3</v>
      </c>
      <c r="T249" s="41">
        <f t="shared" si="43"/>
        <v>4.2325407693265702E-3</v>
      </c>
      <c r="V249" s="39">
        <f t="shared" si="45"/>
        <v>2.8613056681938589E-3</v>
      </c>
      <c r="W249" s="40" cm="1">
        <f t="array" ref="W249">IF(M249="","",SUMPRODUCT(M249:T249,TRANSPOSE('04_Dashboard'!$C$53:$C$60)))</f>
        <v>-1.2195331314846596E-3</v>
      </c>
      <c r="X249" s="42">
        <f t="shared" si="46"/>
        <v>1.3369684772179442</v>
      </c>
      <c r="Y249" s="118">
        <f t="shared" si="47"/>
        <v>1.3137844951576336</v>
      </c>
      <c r="AA249" s="43">
        <f>IF(X249="","",X249/MAX($X$4:X249)-1)</f>
        <v>0</v>
      </c>
      <c r="AB249" s="44">
        <f>IF(Y249="","",Y249/MAX($Y$4:Y249)-1)</f>
        <v>-6.5281341803682391E-3</v>
      </c>
    </row>
    <row r="250" spans="1:28" x14ac:dyDescent="0.45">
      <c r="A250" s="121">
        <v>45560</v>
      </c>
      <c r="B250" s="124">
        <v>570.04</v>
      </c>
      <c r="C250" s="124">
        <v>226.37</v>
      </c>
      <c r="D250" s="124">
        <v>432.11</v>
      </c>
      <c r="E250" s="124">
        <v>210.19</v>
      </c>
      <c r="F250" s="124">
        <v>114.77</v>
      </c>
      <c r="G250" s="124">
        <v>160.6</v>
      </c>
      <c r="H250" s="124">
        <v>192.53</v>
      </c>
      <c r="I250" s="124">
        <v>71.45</v>
      </c>
      <c r="J250" s="125">
        <v>81.400000000000006</v>
      </c>
      <c r="L250" s="39">
        <f t="shared" si="44"/>
        <v>-2.2054962366532312E-3</v>
      </c>
      <c r="M250" s="40">
        <f t="shared" si="36"/>
        <v>-4.3981176056647753E-3</v>
      </c>
      <c r="N250" s="40">
        <f t="shared" si="37"/>
        <v>6.85043222965258E-3</v>
      </c>
      <c r="O250" s="40">
        <f t="shared" si="38"/>
        <v>-6.6165697811806116E-3</v>
      </c>
      <c r="P250" s="40">
        <f t="shared" si="39"/>
        <v>-1.9478855190089715E-2</v>
      </c>
      <c r="Q250" s="40">
        <f t="shared" si="40"/>
        <v>-1.3392308637424787E-2</v>
      </c>
      <c r="R250" s="40">
        <f t="shared" si="41"/>
        <v>-7.3726541554960138E-3</v>
      </c>
      <c r="S250" s="40">
        <f t="shared" si="42"/>
        <v>1.682321603813326E-3</v>
      </c>
      <c r="T250" s="41">
        <f t="shared" si="43"/>
        <v>9.0492128424445768E-3</v>
      </c>
      <c r="V250" s="39">
        <f t="shared" si="45"/>
        <v>-2.2054962366532312E-3</v>
      </c>
      <c r="W250" s="40" cm="1">
        <f t="array" ref="W250">IF(M250="","",SUMPRODUCT(M250:T250,TRANSPOSE('04_Dashboard'!$C$53:$C$60)))</f>
        <v>-4.5570337479424947E-3</v>
      </c>
      <c r="X250" s="42">
        <f t="shared" si="46"/>
        <v>1.3340197982729161</v>
      </c>
      <c r="Y250" s="118">
        <f t="shared" si="47"/>
        <v>1.3077975348756767</v>
      </c>
      <c r="AA250" s="43">
        <f>IF(X250="","",X250/MAX($X$4:X250)-1)</f>
        <v>-2.205496236653226E-3</v>
      </c>
      <c r="AB250" s="44">
        <f>IF(Y250="","",Y250/MAX($Y$4:Y250)-1)</f>
        <v>-1.1055419000539635E-2</v>
      </c>
    </row>
    <row r="251" spans="1:28" x14ac:dyDescent="0.45">
      <c r="A251" s="121">
        <v>45561</v>
      </c>
      <c r="B251" s="124">
        <v>572.29999999999995</v>
      </c>
      <c r="C251" s="124">
        <v>227.52</v>
      </c>
      <c r="D251" s="124">
        <v>431.31</v>
      </c>
      <c r="E251" s="124">
        <v>209.78</v>
      </c>
      <c r="F251" s="124">
        <v>112.8</v>
      </c>
      <c r="G251" s="124">
        <v>161.38999999999999</v>
      </c>
      <c r="H251" s="124">
        <v>191.16</v>
      </c>
      <c r="I251" s="124">
        <v>71.400000000000006</v>
      </c>
      <c r="J251" s="125">
        <v>79.92</v>
      </c>
      <c r="L251" s="39">
        <f t="shared" si="44"/>
        <v>3.9646340607676495E-3</v>
      </c>
      <c r="M251" s="40">
        <f t="shared" si="36"/>
        <v>5.0801784688784104E-3</v>
      </c>
      <c r="N251" s="40">
        <f t="shared" si="37"/>
        <v>-1.8513804355372737E-3</v>
      </c>
      <c r="O251" s="40">
        <f t="shared" si="38"/>
        <v>-1.9506161092344859E-3</v>
      </c>
      <c r="P251" s="40">
        <f t="shared" si="39"/>
        <v>-1.7164764311231148E-2</v>
      </c>
      <c r="Q251" s="40">
        <f t="shared" si="40"/>
        <v>4.9190535491904861E-3</v>
      </c>
      <c r="R251" s="40">
        <f t="shared" si="41"/>
        <v>-7.1157741650652081E-3</v>
      </c>
      <c r="S251" s="40">
        <f t="shared" si="42"/>
        <v>-6.9979006298106583E-4</v>
      </c>
      <c r="T251" s="41">
        <f t="shared" si="43"/>
        <v>-1.818181818181823E-2</v>
      </c>
      <c r="V251" s="39">
        <f t="shared" si="45"/>
        <v>3.9646340607676495E-3</v>
      </c>
      <c r="W251" s="40" cm="1">
        <f t="array" ref="W251">IF(M251="","",SUMPRODUCT(M251:T251,TRANSPOSE('04_Dashboard'!$C$53:$C$60)))</f>
        <v>-3.1510925142827833E-3</v>
      </c>
      <c r="X251" s="42">
        <f t="shared" si="46"/>
        <v>1.3393086986028875</v>
      </c>
      <c r="Y251" s="118">
        <f t="shared" si="47"/>
        <v>1.3036765438533324</v>
      </c>
      <c r="AA251" s="43">
        <f>IF(X251="","",X251/MAX($X$4:X251)-1)</f>
        <v>0</v>
      </c>
      <c r="AB251" s="44">
        <f>IF(Y251="","",Y251/MAX($Y$4:Y251)-1)</f>
        <v>-1.4171674866767625E-2</v>
      </c>
    </row>
    <row r="252" spans="1:28" x14ac:dyDescent="0.45">
      <c r="A252" s="121">
        <v>45562</v>
      </c>
      <c r="B252" s="124">
        <v>571.47</v>
      </c>
      <c r="C252" s="124">
        <v>227.79</v>
      </c>
      <c r="D252" s="124">
        <v>428.02</v>
      </c>
      <c r="E252" s="124">
        <v>210.5</v>
      </c>
      <c r="F252" s="124">
        <v>115.82</v>
      </c>
      <c r="G252" s="124">
        <v>161.4</v>
      </c>
      <c r="H252" s="124">
        <v>187.97</v>
      </c>
      <c r="I252" s="124">
        <v>71.790000000000006</v>
      </c>
      <c r="J252" s="125">
        <v>79.78</v>
      </c>
      <c r="L252" s="39">
        <f t="shared" si="44"/>
        <v>-1.4502883103266247E-3</v>
      </c>
      <c r="M252" s="40">
        <f t="shared" si="36"/>
        <v>1.1867088607594137E-3</v>
      </c>
      <c r="N252" s="40">
        <f t="shared" si="37"/>
        <v>-7.6279242308316996E-3</v>
      </c>
      <c r="O252" s="40">
        <f t="shared" si="38"/>
        <v>3.4321670321288914E-3</v>
      </c>
      <c r="P252" s="40">
        <f t="shared" si="39"/>
        <v>2.6773049645390037E-2</v>
      </c>
      <c r="Q252" s="40">
        <f t="shared" si="40"/>
        <v>6.1961707664783E-5</v>
      </c>
      <c r="R252" s="40">
        <f t="shared" si="41"/>
        <v>-1.6687591546348596E-2</v>
      </c>
      <c r="S252" s="40">
        <f t="shared" si="42"/>
        <v>5.4621848739495873E-3</v>
      </c>
      <c r="T252" s="41">
        <f t="shared" si="43"/>
        <v>-1.7517517517517589E-3</v>
      </c>
      <c r="V252" s="39">
        <f t="shared" si="45"/>
        <v>-1.4502883103266247E-3</v>
      </c>
      <c r="W252" s="40" cm="1">
        <f t="array" ref="W252">IF(M252="","",SUMPRODUCT(M252:T252,TRANSPOSE('04_Dashboard'!$C$53:$C$60)))</f>
        <v>9.9794286711872332E-4</v>
      </c>
      <c r="X252" s="42">
        <f t="shared" si="46"/>
        <v>1.337366314853385</v>
      </c>
      <c r="Y252" s="118">
        <f t="shared" si="47"/>
        <v>1.3049775385613009</v>
      </c>
      <c r="AA252" s="43">
        <f>IF(X252="","",X252/MAX($X$4:X252)-1)</f>
        <v>-1.450288310326564E-3</v>
      </c>
      <c r="AB252" s="44">
        <f>IF(Y252="","",Y252/MAX($Y$4:Y252)-1)</f>
        <v>-1.3187874521497278E-2</v>
      </c>
    </row>
    <row r="253" spans="1:28" x14ac:dyDescent="0.45">
      <c r="A253" s="121">
        <v>45565</v>
      </c>
      <c r="B253" s="124">
        <v>573.76</v>
      </c>
      <c r="C253" s="124">
        <v>233</v>
      </c>
      <c r="D253" s="124">
        <v>430.3</v>
      </c>
      <c r="E253" s="124">
        <v>210.86</v>
      </c>
      <c r="F253" s="124">
        <v>117.22</v>
      </c>
      <c r="G253" s="124">
        <v>162.06</v>
      </c>
      <c r="H253" s="124">
        <v>186.33</v>
      </c>
      <c r="I253" s="124">
        <v>71.86</v>
      </c>
      <c r="J253" s="125">
        <v>80.75</v>
      </c>
      <c r="L253" s="39">
        <f t="shared" si="44"/>
        <v>4.007209477312831E-3</v>
      </c>
      <c r="M253" s="40">
        <f t="shared" si="36"/>
        <v>2.2871943456692603E-2</v>
      </c>
      <c r="N253" s="40">
        <f t="shared" si="37"/>
        <v>5.3268538853325307E-3</v>
      </c>
      <c r="O253" s="40">
        <f t="shared" si="38"/>
        <v>1.7102137767221551E-3</v>
      </c>
      <c r="P253" s="40">
        <f t="shared" si="39"/>
        <v>1.2087722327750006E-2</v>
      </c>
      <c r="Q253" s="40">
        <f t="shared" si="40"/>
        <v>4.0892193308549969E-3</v>
      </c>
      <c r="R253" s="40">
        <f t="shared" si="41"/>
        <v>-8.7247965100813226E-3</v>
      </c>
      <c r="S253" s="40">
        <f t="shared" si="42"/>
        <v>9.7506616520397227E-4</v>
      </c>
      <c r="T253" s="41">
        <f t="shared" si="43"/>
        <v>1.2158435698169953E-2</v>
      </c>
      <c r="V253" s="39">
        <f t="shared" si="45"/>
        <v>4.007209477312831E-3</v>
      </c>
      <c r="W253" s="40" cm="1">
        <f t="array" ref="W253">IF(M253="","",SUMPRODUCT(M253:T253,TRANSPOSE('04_Dashboard'!$C$53:$C$60)))</f>
        <v>4.7969520880849605E-3</v>
      </c>
      <c r="X253" s="42">
        <f t="shared" si="46"/>
        <v>1.3427254218249045</v>
      </c>
      <c r="Y253" s="118">
        <f t="shared" si="47"/>
        <v>1.3112374532898068</v>
      </c>
      <c r="AA253" s="43">
        <f>IF(X253="","",X253/MAX($X$4:X253)-1)</f>
        <v>0</v>
      </c>
      <c r="AB253" s="44">
        <f>IF(Y253="","",Y253/MAX($Y$4:Y253)-1)</f>
        <v>-8.4541840356353593E-3</v>
      </c>
    </row>
    <row r="254" spans="1:28" x14ac:dyDescent="0.45">
      <c r="A254" s="121">
        <v>45566</v>
      </c>
      <c r="B254" s="124">
        <v>568.62</v>
      </c>
      <c r="C254" s="124">
        <v>226.21</v>
      </c>
      <c r="D254" s="124">
        <v>420.69</v>
      </c>
      <c r="E254" s="124">
        <v>207.04</v>
      </c>
      <c r="F254" s="124">
        <v>119.93</v>
      </c>
      <c r="G254" s="124">
        <v>161.99</v>
      </c>
      <c r="H254" s="124">
        <v>185.13</v>
      </c>
      <c r="I254" s="124">
        <v>71.709999999999994</v>
      </c>
      <c r="J254" s="125">
        <v>81.27</v>
      </c>
      <c r="L254" s="39">
        <f t="shared" si="44"/>
        <v>-8.9584495259341645E-3</v>
      </c>
      <c r="M254" s="40">
        <f t="shared" si="36"/>
        <v>-2.9141630901287519E-2</v>
      </c>
      <c r="N254" s="40">
        <f t="shared" si="37"/>
        <v>-2.2333255867999103E-2</v>
      </c>
      <c r="O254" s="40">
        <f t="shared" si="38"/>
        <v>-1.8116285687185912E-2</v>
      </c>
      <c r="P254" s="40">
        <f t="shared" si="39"/>
        <v>2.3118921685719229E-2</v>
      </c>
      <c r="Q254" s="40">
        <f t="shared" si="40"/>
        <v>-4.3193878810312956E-4</v>
      </c>
      <c r="R254" s="40">
        <f t="shared" si="41"/>
        <v>-6.4401867654162882E-3</v>
      </c>
      <c r="S254" s="40">
        <f t="shared" si="42"/>
        <v>-2.0873921514055899E-3</v>
      </c>
      <c r="T254" s="41">
        <f t="shared" si="43"/>
        <v>6.439628482972087E-3</v>
      </c>
      <c r="V254" s="39">
        <f t="shared" si="45"/>
        <v>-8.9584495259341645E-3</v>
      </c>
      <c r="W254" s="40" cm="1">
        <f t="array" ref="W254">IF(M254="","",SUMPRODUCT(M254:T254,TRANSPOSE('04_Dashboard'!$C$53:$C$60)))</f>
        <v>-6.2311701363676189E-3</v>
      </c>
      <c r="X254" s="42">
        <f t="shared" si="46"/>
        <v>1.3306966839062975</v>
      </c>
      <c r="Y254" s="118">
        <f t="shared" si="47"/>
        <v>1.3030669096291805</v>
      </c>
      <c r="AA254" s="43">
        <f>IF(X254="","",X254/MAX($X$4:X254)-1)</f>
        <v>-8.9584495259341645E-3</v>
      </c>
      <c r="AB254" s="44">
        <f>IF(Y254="","",Y254/MAX($Y$4:Y254)-1)</f>
        <v>-1.4632674712912852E-2</v>
      </c>
    </row>
    <row r="255" spans="1:28" x14ac:dyDescent="0.45">
      <c r="A255" s="121">
        <v>45567</v>
      </c>
      <c r="B255" s="124">
        <v>568.86</v>
      </c>
      <c r="C255" s="124">
        <v>226.78</v>
      </c>
      <c r="D255" s="124">
        <v>417.13</v>
      </c>
      <c r="E255" s="124">
        <v>207.29</v>
      </c>
      <c r="F255" s="124">
        <v>121.52</v>
      </c>
      <c r="G255" s="124">
        <v>161.16999999999999</v>
      </c>
      <c r="H255" s="124">
        <v>184.76</v>
      </c>
      <c r="I255" s="124">
        <v>71.010000000000005</v>
      </c>
      <c r="J255" s="125">
        <v>80.430000000000007</v>
      </c>
      <c r="L255" s="39">
        <f t="shared" si="44"/>
        <v>4.2207449614858623E-4</v>
      </c>
      <c r="M255" s="40">
        <f t="shared" si="36"/>
        <v>2.5197825029839227E-3</v>
      </c>
      <c r="N255" s="40">
        <f t="shared" si="37"/>
        <v>-8.462288145665459E-3</v>
      </c>
      <c r="O255" s="40">
        <f t="shared" si="38"/>
        <v>1.2074961360123647E-3</v>
      </c>
      <c r="P255" s="40">
        <f t="shared" si="39"/>
        <v>1.3257733677978729E-2</v>
      </c>
      <c r="Q255" s="40">
        <f t="shared" si="40"/>
        <v>-5.0620408667203009E-3</v>
      </c>
      <c r="R255" s="40">
        <f t="shared" si="41"/>
        <v>-1.9985955814833065E-3</v>
      </c>
      <c r="S255" s="40">
        <f t="shared" si="42"/>
        <v>-9.7615395342349563E-3</v>
      </c>
      <c r="T255" s="41">
        <f t="shared" si="43"/>
        <v>-1.0335917312661366E-2</v>
      </c>
      <c r="V255" s="39">
        <f t="shared" si="45"/>
        <v>4.2207449614858623E-4</v>
      </c>
      <c r="W255" s="40" cm="1">
        <f t="array" ref="W255">IF(M255="","",SUMPRODUCT(M255:T255,TRANSPOSE('04_Dashboard'!$C$53:$C$60)))</f>
        <v>-3.6344100497069662E-3</v>
      </c>
      <c r="X255" s="42">
        <f t="shared" si="46"/>
        <v>1.3312583370386837</v>
      </c>
      <c r="Y255" s="118">
        <f t="shared" si="47"/>
        <v>1.2983310301573836</v>
      </c>
      <c r="AA255" s="43">
        <f>IF(X255="","",X255/MAX($X$4:X255)-1)</f>
        <v>-8.5401561628556388E-3</v>
      </c>
      <c r="AB255" s="44">
        <f>IF(Y255="","",Y255/MAX($Y$4:Y255)-1)</f>
        <v>-1.8213903622589123E-2</v>
      </c>
    </row>
    <row r="256" spans="1:28" x14ac:dyDescent="0.45">
      <c r="A256" s="121">
        <v>45568</v>
      </c>
      <c r="B256" s="124">
        <v>567.82000000000005</v>
      </c>
      <c r="C256" s="124">
        <v>225.67</v>
      </c>
      <c r="D256" s="124">
        <v>416.54</v>
      </c>
      <c r="E256" s="124">
        <v>205.23</v>
      </c>
      <c r="F256" s="124">
        <v>122.58</v>
      </c>
      <c r="G256" s="124">
        <v>160.5</v>
      </c>
      <c r="H256" s="124">
        <v>181.96</v>
      </c>
      <c r="I256" s="124">
        <v>70.52</v>
      </c>
      <c r="J256" s="125">
        <v>80.430000000000007</v>
      </c>
      <c r="L256" s="39">
        <f t="shared" si="44"/>
        <v>-1.8282178391870823E-3</v>
      </c>
      <c r="M256" s="40">
        <f t="shared" si="36"/>
        <v>-4.8946115177705869E-3</v>
      </c>
      <c r="N256" s="40">
        <f t="shared" si="37"/>
        <v>-1.4144271570013544E-3</v>
      </c>
      <c r="O256" s="40">
        <f t="shared" si="38"/>
        <v>-9.9377683438660932E-3</v>
      </c>
      <c r="P256" s="40">
        <f t="shared" si="39"/>
        <v>8.722843976300217E-3</v>
      </c>
      <c r="Q256" s="40">
        <f t="shared" si="40"/>
        <v>-4.1571011974932525E-3</v>
      </c>
      <c r="R256" s="40">
        <f t="shared" si="41"/>
        <v>-1.515479541026187E-2</v>
      </c>
      <c r="S256" s="40">
        <f t="shared" si="42"/>
        <v>-6.9004365582313624E-3</v>
      </c>
      <c r="T256" s="41">
        <f t="shared" si="43"/>
        <v>0</v>
      </c>
      <c r="V256" s="39">
        <f t="shared" si="45"/>
        <v>-1.8282178391870823E-3</v>
      </c>
      <c r="W256" s="40" cm="1">
        <f t="array" ref="W256">IF(M256="","",SUMPRODUCT(M256:T256,TRANSPOSE('04_Dashboard'!$C$53:$C$60)))</f>
        <v>-5.3461057915144151E-3</v>
      </c>
      <c r="X256" s="42">
        <f t="shared" si="46"/>
        <v>1.3288245067983431</v>
      </c>
      <c r="Y256" s="118">
        <f t="shared" si="47"/>
        <v>1.2913900151177564</v>
      </c>
      <c r="AA256" s="43">
        <f>IF(X256="","",X256/MAX($X$4:X256)-1)</f>
        <v>-1.0352760736196287E-2</v>
      </c>
      <c r="AB256" s="44">
        <f>IF(Y256="","",Y256/MAX($Y$4:Y256)-1)</f>
        <v>-2.3462635958460654E-2</v>
      </c>
    </row>
    <row r="257" spans="1:28" x14ac:dyDescent="0.45">
      <c r="A257" s="121">
        <v>45569</v>
      </c>
      <c r="B257" s="124">
        <v>572.98</v>
      </c>
      <c r="C257" s="124">
        <v>226.8</v>
      </c>
      <c r="D257" s="124">
        <v>416.06</v>
      </c>
      <c r="E257" s="124">
        <v>211.22</v>
      </c>
      <c r="F257" s="124">
        <v>124.83</v>
      </c>
      <c r="G257" s="124">
        <v>160.29</v>
      </c>
      <c r="H257" s="124">
        <v>186.51</v>
      </c>
      <c r="I257" s="124">
        <v>70.17</v>
      </c>
      <c r="J257" s="125">
        <v>80.94</v>
      </c>
      <c r="L257" s="39">
        <f t="shared" si="44"/>
        <v>9.0873868479447138E-3</v>
      </c>
      <c r="M257" s="40">
        <f t="shared" si="36"/>
        <v>5.0073115611291887E-3</v>
      </c>
      <c r="N257" s="40">
        <f t="shared" si="37"/>
        <v>-1.1523503144956503E-3</v>
      </c>
      <c r="O257" s="40">
        <f t="shared" si="38"/>
        <v>2.918676606733913E-2</v>
      </c>
      <c r="P257" s="40">
        <f t="shared" si="39"/>
        <v>1.8355359765051395E-2</v>
      </c>
      <c r="Q257" s="40">
        <f t="shared" si="40"/>
        <v>-1.3084112149533205E-3</v>
      </c>
      <c r="R257" s="40">
        <f t="shared" si="41"/>
        <v>2.5005495713343498E-2</v>
      </c>
      <c r="S257" s="40">
        <f t="shared" si="42"/>
        <v>-4.963131026659023E-3</v>
      </c>
      <c r="T257" s="41">
        <f t="shared" si="43"/>
        <v>6.340917568071501E-3</v>
      </c>
      <c r="V257" s="39">
        <f t="shared" si="45"/>
        <v>9.0873868479447138E-3</v>
      </c>
      <c r="W257" s="40" cm="1">
        <f t="array" ref="W257">IF(M257="","",SUMPRODUCT(M257:T257,TRANSPOSE('04_Dashboard'!$C$53:$C$60)))</f>
        <v>9.7585369102390421E-3</v>
      </c>
      <c r="X257" s="42">
        <f t="shared" si="46"/>
        <v>1.3409000491446488</v>
      </c>
      <c r="Y257" s="118">
        <f t="shared" si="47"/>
        <v>1.3039920922457973</v>
      </c>
      <c r="AA257" s="43">
        <f>IF(X257="","",X257/MAX($X$4:X257)-1)</f>
        <v>-1.3594534300057637E-3</v>
      </c>
      <c r="AB257" s="44">
        <f>IF(Y257="","",Y257/MAX($Y$4:Y257)-1)</f>
        <v>-1.3933060047233714E-2</v>
      </c>
    </row>
    <row r="258" spans="1:28" x14ac:dyDescent="0.45">
      <c r="A258" s="121">
        <v>45572</v>
      </c>
      <c r="B258" s="124">
        <v>567.79999999999995</v>
      </c>
      <c r="C258" s="124">
        <v>221.69</v>
      </c>
      <c r="D258" s="124">
        <v>409.54</v>
      </c>
      <c r="E258" s="124">
        <v>210.93</v>
      </c>
      <c r="F258" s="124">
        <v>125.37</v>
      </c>
      <c r="G258" s="124">
        <v>159.53</v>
      </c>
      <c r="H258" s="124">
        <v>180.8</v>
      </c>
      <c r="I258" s="124">
        <v>69.010000000000005</v>
      </c>
      <c r="J258" s="125">
        <v>79.099999999999994</v>
      </c>
      <c r="L258" s="39">
        <f t="shared" si="44"/>
        <v>-9.0404551642292285E-3</v>
      </c>
      <c r="M258" s="40">
        <f t="shared" si="36"/>
        <v>-2.2530864197530923E-2</v>
      </c>
      <c r="N258" s="40">
        <f t="shared" si="37"/>
        <v>-1.5670816709128448E-2</v>
      </c>
      <c r="O258" s="40">
        <f t="shared" si="38"/>
        <v>-1.3729760439351957E-3</v>
      </c>
      <c r="P258" s="40">
        <f t="shared" si="39"/>
        <v>4.3258832011536189E-3</v>
      </c>
      <c r="Q258" s="40">
        <f t="shared" si="40"/>
        <v>-4.7414062012601597E-3</v>
      </c>
      <c r="R258" s="40">
        <f t="shared" si="41"/>
        <v>-3.0614980430003644E-2</v>
      </c>
      <c r="S258" s="40">
        <f t="shared" si="42"/>
        <v>-1.6531281174290959E-2</v>
      </c>
      <c r="T258" s="41">
        <f t="shared" si="43"/>
        <v>-2.2732888559426779E-2</v>
      </c>
      <c r="V258" s="39">
        <f t="shared" si="45"/>
        <v>-9.0404551642292285E-3</v>
      </c>
      <c r="W258" s="40" cm="1">
        <f t="array" ref="W258">IF(M258="","",SUMPRODUCT(M258:T258,TRANSPOSE('04_Dashboard'!$C$53:$C$60)))</f>
        <v>-1.1258973851853836E-2</v>
      </c>
      <c r="X258" s="42">
        <f t="shared" si="46"/>
        <v>1.3287777023706437</v>
      </c>
      <c r="Y258" s="118">
        <f t="shared" si="47"/>
        <v>1.2893104793761776</v>
      </c>
      <c r="AA258" s="43">
        <f>IF(X258="","",X258/MAX($X$4:X258)-1)</f>
        <v>-1.0387618516453201E-2</v>
      </c>
      <c r="AB258" s="44">
        <f>IF(Y258="","",Y258/MAX($Y$4:Y258)-1)</f>
        <v>-2.5035161940339501E-2</v>
      </c>
    </row>
    <row r="259" spans="1:28" x14ac:dyDescent="0.45">
      <c r="A259" s="121">
        <v>45573</v>
      </c>
      <c r="B259" s="124">
        <v>573.16999999999996</v>
      </c>
      <c r="C259" s="124">
        <v>225.77</v>
      </c>
      <c r="D259" s="124">
        <v>414.71</v>
      </c>
      <c r="E259" s="124">
        <v>210.75</v>
      </c>
      <c r="F259" s="124">
        <v>122.04</v>
      </c>
      <c r="G259" s="124">
        <v>159.69</v>
      </c>
      <c r="H259" s="124">
        <v>182.72</v>
      </c>
      <c r="I259" s="124">
        <v>69.180000000000007</v>
      </c>
      <c r="J259" s="125">
        <v>79.709999999999994</v>
      </c>
      <c r="L259" s="39">
        <f t="shared" si="44"/>
        <v>9.4575554772807421E-3</v>
      </c>
      <c r="M259" s="40">
        <f t="shared" si="36"/>
        <v>1.8404077766250224E-2</v>
      </c>
      <c r="N259" s="40">
        <f t="shared" si="37"/>
        <v>1.2623919519460758E-2</v>
      </c>
      <c r="O259" s="40">
        <f t="shared" si="38"/>
        <v>-8.5336367515292662E-4</v>
      </c>
      <c r="P259" s="40">
        <f t="shared" si="39"/>
        <v>-2.6561378320172274E-2</v>
      </c>
      <c r="Q259" s="40">
        <f t="shared" si="40"/>
        <v>1.0029461543283181E-3</v>
      </c>
      <c r="R259" s="40">
        <f t="shared" si="41"/>
        <v>1.0619469026548603E-2</v>
      </c>
      <c r="S259" s="40">
        <f t="shared" si="42"/>
        <v>2.4634110998406275E-3</v>
      </c>
      <c r="T259" s="41">
        <f t="shared" si="43"/>
        <v>7.7117572692793866E-3</v>
      </c>
      <c r="V259" s="39">
        <f t="shared" si="45"/>
        <v>9.4575554772807421E-3</v>
      </c>
      <c r="W259" s="40" cm="1">
        <f t="array" ref="W259">IF(M259="","",SUMPRODUCT(M259:T259,TRANSPOSE('04_Dashboard'!$C$53:$C$60)))</f>
        <v>2.7799251427058098E-3</v>
      </c>
      <c r="X259" s="42">
        <f t="shared" si="46"/>
        <v>1.3413446912077875</v>
      </c>
      <c r="Y259" s="118">
        <f t="shared" si="47"/>
        <v>1.2928946659945495</v>
      </c>
      <c r="AA259" s="43">
        <f>IF(X259="","",X259/MAX($X$4:X259)-1)</f>
        <v>-1.0283045175687455E-3</v>
      </c>
      <c r="AB259" s="44">
        <f>IF(Y259="","",Y259/MAX($Y$4:Y259)-1)</f>
        <v>-2.2324832673763395E-2</v>
      </c>
    </row>
    <row r="260" spans="1:28" x14ac:dyDescent="0.45">
      <c r="A260" s="121">
        <v>45574</v>
      </c>
      <c r="B260" s="124">
        <v>577.14</v>
      </c>
      <c r="C260" s="124">
        <v>229.54</v>
      </c>
      <c r="D260" s="124">
        <v>417.46</v>
      </c>
      <c r="E260" s="124">
        <v>213.42</v>
      </c>
      <c r="F260" s="124">
        <v>122.09</v>
      </c>
      <c r="G260" s="124">
        <v>160.65</v>
      </c>
      <c r="H260" s="124">
        <v>185.17</v>
      </c>
      <c r="I260" s="124">
        <v>69.569999999999993</v>
      </c>
      <c r="J260" s="125">
        <v>80.400000000000006</v>
      </c>
      <c r="L260" s="39">
        <f t="shared" si="44"/>
        <v>6.9263918209257766E-3</v>
      </c>
      <c r="M260" s="40">
        <f t="shared" ref="M260:M323" si="48">IF(C260="","",(C260-C259)/C259)</f>
        <v>1.6698409886167258E-2</v>
      </c>
      <c r="N260" s="40">
        <f t="shared" ref="N260:N323" si="49">IF(D260="","",(D260-D259)/D259)</f>
        <v>6.6311398326541439E-3</v>
      </c>
      <c r="O260" s="40">
        <f t="shared" ref="O260:O323" si="50">IF(E260="","",(E260-E259)/E259)</f>
        <v>1.2669039145907415E-2</v>
      </c>
      <c r="P260" s="40">
        <f t="shared" ref="P260:P323" si="51">IF(F260="","",(F260-F259)/F259)</f>
        <v>4.0970173713534213E-4</v>
      </c>
      <c r="Q260" s="40">
        <f t="shared" ref="Q260:Q323" si="52">IF(G260="","",(G260-G259)/G259)</f>
        <v>6.0116475671614248E-3</v>
      </c>
      <c r="R260" s="40">
        <f t="shared" ref="R260:R323" si="53">IF(H260="","",(H260-H259)/H259)</f>
        <v>1.340849387040274E-2</v>
      </c>
      <c r="S260" s="40">
        <f t="shared" ref="S260:S323" si="54">IF(I260="","",(I260-I259)/I259)</f>
        <v>5.6374674761489781E-3</v>
      </c>
      <c r="T260" s="41">
        <f t="shared" ref="T260:T323" si="55">IF(J260="","",(J260-J259)/J259)</f>
        <v>8.656379375235378E-3</v>
      </c>
      <c r="V260" s="39">
        <f t="shared" si="45"/>
        <v>6.9263918209257766E-3</v>
      </c>
      <c r="W260" s="40" cm="1">
        <f t="array" ref="W260">IF(M260="","",SUMPRODUCT(M260:T260,TRANSPOSE('04_Dashboard'!$C$53:$C$60)))</f>
        <v>8.8020204994761243E-3</v>
      </c>
      <c r="X260" s="42">
        <f t="shared" si="46"/>
        <v>1.3506353701060112</v>
      </c>
      <c r="Y260" s="118">
        <f t="shared" si="47"/>
        <v>1.3042747513482968</v>
      </c>
      <c r="AA260" s="43">
        <f>IF(X260="","",X260/MAX($X$4:X260)-1)</f>
        <v>0</v>
      </c>
      <c r="AB260" s="44">
        <f>IF(Y260="","",Y260/MAX($Y$4:Y260)-1)</f>
        <v>-1.3719315809129107E-2</v>
      </c>
    </row>
    <row r="261" spans="1:28" x14ac:dyDescent="0.45">
      <c r="A261" s="121">
        <v>45575</v>
      </c>
      <c r="B261" s="124">
        <v>576.13</v>
      </c>
      <c r="C261" s="124">
        <v>229.04</v>
      </c>
      <c r="D261" s="124">
        <v>415.84</v>
      </c>
      <c r="E261" s="124">
        <v>212.84</v>
      </c>
      <c r="F261" s="124">
        <v>123.14</v>
      </c>
      <c r="G261" s="124">
        <v>160.51</v>
      </c>
      <c r="H261" s="124">
        <v>186.65</v>
      </c>
      <c r="I261" s="124">
        <v>69.25</v>
      </c>
      <c r="J261" s="125">
        <v>79.61</v>
      </c>
      <c r="L261" s="39">
        <f t="shared" ref="L261:L324" si="56">IF(B261="","",(B261-B260)/B260)</f>
        <v>-1.750008663409209E-3</v>
      </c>
      <c r="M261" s="40">
        <f t="shared" si="48"/>
        <v>-2.178269582643548E-3</v>
      </c>
      <c r="N261" s="40">
        <f t="shared" si="49"/>
        <v>-3.8806113160542439E-3</v>
      </c>
      <c r="O261" s="40">
        <f t="shared" si="50"/>
        <v>-2.7176459563301664E-3</v>
      </c>
      <c r="P261" s="40">
        <f t="shared" si="51"/>
        <v>8.6002129576541655E-3</v>
      </c>
      <c r="Q261" s="40">
        <f t="shared" si="52"/>
        <v>-8.7145969498919867E-4</v>
      </c>
      <c r="R261" s="40">
        <f t="shared" si="53"/>
        <v>7.9926553977427133E-3</v>
      </c>
      <c r="S261" s="40">
        <f t="shared" si="54"/>
        <v>-4.5996837717405953E-3</v>
      </c>
      <c r="T261" s="41">
        <f t="shared" si="55"/>
        <v>-9.8258706467662469E-3</v>
      </c>
      <c r="V261" s="39">
        <f t="shared" ref="V261:V324" si="57">L261</f>
        <v>-1.750008663409209E-3</v>
      </c>
      <c r="W261" s="40" cm="1">
        <f t="array" ref="W261">IF(M261="","",SUMPRODUCT(M261:T261,TRANSPOSE('04_Dashboard'!$C$53:$C$60)))</f>
        <v>-2.2256990944595004E-3</v>
      </c>
      <c r="X261" s="42">
        <f t="shared" si="46"/>
        <v>1.3482717465072187</v>
      </c>
      <c r="Y261" s="118">
        <f t="shared" si="47"/>
        <v>1.3013718282152946</v>
      </c>
      <c r="AA261" s="43">
        <f>IF(X261="","",X261/MAX($X$4:X261)-1)</f>
        <v>-1.7500086634092415E-3</v>
      </c>
      <c r="AB261" s="44">
        <f>IF(Y261="","",Y261/MAX($Y$4:Y261)-1)</f>
        <v>-1.5914479834815531E-2</v>
      </c>
    </row>
    <row r="262" spans="1:28" x14ac:dyDescent="0.45">
      <c r="A262" s="121">
        <v>45576</v>
      </c>
      <c r="B262" s="124">
        <v>579.58000000000004</v>
      </c>
      <c r="C262" s="124">
        <v>227.55</v>
      </c>
      <c r="D262" s="124">
        <v>416.32</v>
      </c>
      <c r="E262" s="124">
        <v>222.29</v>
      </c>
      <c r="F262" s="124">
        <v>123.61</v>
      </c>
      <c r="G262" s="124">
        <v>161.46</v>
      </c>
      <c r="H262" s="124">
        <v>188.82</v>
      </c>
      <c r="I262" s="124">
        <v>69.569999999999993</v>
      </c>
      <c r="J262" s="125">
        <v>80.099999999999994</v>
      </c>
      <c r="L262" s="39">
        <f t="shared" si="56"/>
        <v>5.9882318226789884E-3</v>
      </c>
      <c r="M262" s="40">
        <f t="shared" si="48"/>
        <v>-6.5054139015018365E-3</v>
      </c>
      <c r="N262" s="40">
        <f t="shared" si="49"/>
        <v>1.1542901115814213E-3</v>
      </c>
      <c r="O262" s="40">
        <f t="shared" si="50"/>
        <v>4.4399548956962923E-2</v>
      </c>
      <c r="P262" s="40">
        <f t="shared" si="51"/>
        <v>3.8167938931297617E-3</v>
      </c>
      <c r="Q262" s="40">
        <f t="shared" si="52"/>
        <v>5.91863435299992E-3</v>
      </c>
      <c r="R262" s="40">
        <f t="shared" si="53"/>
        <v>1.1626038039110567E-2</v>
      </c>
      <c r="S262" s="40">
        <f t="shared" si="54"/>
        <v>4.6209386281587462E-3</v>
      </c>
      <c r="T262" s="41">
        <f t="shared" si="55"/>
        <v>6.155005652556147E-3</v>
      </c>
      <c r="V262" s="39">
        <f t="shared" si="57"/>
        <v>5.9882318226789884E-3</v>
      </c>
      <c r="W262" s="40" cm="1">
        <f t="array" ref="W262">IF(M262="","",SUMPRODUCT(M262:T262,TRANSPOSE('04_Dashboard'!$C$53:$C$60)))</f>
        <v>1.4199042121078417E-2</v>
      </c>
      <c r="X262" s="42">
        <f t="shared" ref="X262:X325" si="58">IF(V262="","",X261*(1+V262))</f>
        <v>1.3563455102852722</v>
      </c>
      <c r="Y262" s="118">
        <f t="shared" ref="Y262:Y325" si="59">IF(W262="","",Y261*(1+W262))</f>
        <v>1.3198500616193085</v>
      </c>
      <c r="AA262" s="43">
        <f>IF(X262="","",X262/MAX($X$4:X262)-1)</f>
        <v>0</v>
      </c>
      <c r="AB262" s="44">
        <f>IF(Y262="","",Y262/MAX($Y$4:Y262)-1)</f>
        <v>-1.9414080832467207E-3</v>
      </c>
    </row>
    <row r="263" spans="1:28" x14ac:dyDescent="0.45">
      <c r="A263" s="121">
        <v>45579</v>
      </c>
      <c r="B263" s="124">
        <v>584.32000000000005</v>
      </c>
      <c r="C263" s="124">
        <v>231.3</v>
      </c>
      <c r="D263" s="124">
        <v>419.14</v>
      </c>
      <c r="E263" s="124">
        <v>221.48</v>
      </c>
      <c r="F263" s="124">
        <v>124.08</v>
      </c>
      <c r="G263" s="124">
        <v>161.6</v>
      </c>
      <c r="H263" s="124">
        <v>187.54</v>
      </c>
      <c r="I263" s="124">
        <v>70.34</v>
      </c>
      <c r="J263" s="125">
        <v>80.290000000000006</v>
      </c>
      <c r="L263" s="39">
        <f t="shared" si="56"/>
        <v>8.1783360364401959E-3</v>
      </c>
      <c r="M263" s="40">
        <f t="shared" si="48"/>
        <v>1.6479894528675015E-2</v>
      </c>
      <c r="N263" s="40">
        <f t="shared" si="49"/>
        <v>6.7736356648731583E-3</v>
      </c>
      <c r="O263" s="40">
        <f t="shared" si="50"/>
        <v>-3.6438886139727486E-3</v>
      </c>
      <c r="P263" s="40">
        <f t="shared" si="51"/>
        <v>3.8022813688212836E-3</v>
      </c>
      <c r="Q263" s="40">
        <f t="shared" si="52"/>
        <v>8.6708782360947825E-4</v>
      </c>
      <c r="R263" s="40">
        <f t="shared" si="53"/>
        <v>-6.7789429085901983E-3</v>
      </c>
      <c r="S263" s="40">
        <f t="shared" si="54"/>
        <v>1.106798907575119E-2</v>
      </c>
      <c r="T263" s="41">
        <f t="shared" si="55"/>
        <v>2.3720349563047683E-3</v>
      </c>
      <c r="V263" s="39">
        <f t="shared" si="57"/>
        <v>8.1783360364401959E-3</v>
      </c>
      <c r="W263" s="40" cm="1">
        <f t="array" ref="W263">IF(M263="","",SUMPRODUCT(M263:T263,TRANSPOSE('04_Dashboard'!$C$53:$C$60)))</f>
        <v>2.266911073334368E-3</v>
      </c>
      <c r="X263" s="42">
        <f t="shared" si="58"/>
        <v>1.3674381596499021</v>
      </c>
      <c r="Y263" s="118">
        <f t="shared" si="59"/>
        <v>1.3228420443391344</v>
      </c>
      <c r="AA263" s="43">
        <f>IF(X263="","",X263/MAX($X$4:X263)-1)</f>
        <v>0</v>
      </c>
      <c r="AB263" s="44">
        <f>IF(Y263="","",Y263/MAX($Y$4:Y263)-1)</f>
        <v>0</v>
      </c>
    </row>
    <row r="264" spans="1:28" x14ac:dyDescent="0.45">
      <c r="A264" s="121">
        <v>45580</v>
      </c>
      <c r="B264" s="124">
        <v>579.78</v>
      </c>
      <c r="C264" s="124">
        <v>233.85</v>
      </c>
      <c r="D264" s="124">
        <v>418.74</v>
      </c>
      <c r="E264" s="124">
        <v>222.39</v>
      </c>
      <c r="F264" s="124">
        <v>120.35</v>
      </c>
      <c r="G264" s="124">
        <v>164.1</v>
      </c>
      <c r="H264" s="124">
        <v>187.69</v>
      </c>
      <c r="I264" s="124">
        <v>70.34</v>
      </c>
      <c r="J264" s="125">
        <v>81.650000000000006</v>
      </c>
      <c r="L264" s="39">
        <f t="shared" si="56"/>
        <v>-7.769715224534633E-3</v>
      </c>
      <c r="M264" s="40">
        <f t="shared" si="48"/>
        <v>1.1024643320363091E-2</v>
      </c>
      <c r="N264" s="40">
        <f t="shared" si="49"/>
        <v>-9.5433506704198422E-4</v>
      </c>
      <c r="O264" s="40">
        <f t="shared" si="50"/>
        <v>4.1087231352717928E-3</v>
      </c>
      <c r="P264" s="40">
        <f t="shared" si="51"/>
        <v>-3.0061250805931691E-2</v>
      </c>
      <c r="Q264" s="40">
        <f t="shared" si="52"/>
        <v>1.547029702970297E-2</v>
      </c>
      <c r="R264" s="40">
        <f t="shared" si="53"/>
        <v>7.9982936973448701E-4</v>
      </c>
      <c r="S264" s="40">
        <f t="shared" si="54"/>
        <v>0</v>
      </c>
      <c r="T264" s="41">
        <f t="shared" si="55"/>
        <v>1.6938597583758867E-2</v>
      </c>
      <c r="V264" s="39">
        <f t="shared" si="57"/>
        <v>-7.769715224534633E-3</v>
      </c>
      <c r="W264" s="40" cm="1">
        <f t="array" ref="W264">IF(M264="","",SUMPRODUCT(M264:T264,TRANSPOSE('04_Dashboard'!$C$53:$C$60)))</f>
        <v>6.1222467460216694E-3</v>
      </c>
      <c r="X264" s="42">
        <f t="shared" si="58"/>
        <v>1.3568135545622606</v>
      </c>
      <c r="Y264" s="118">
        <f t="shared" si="59"/>
        <v>1.3309408097405901</v>
      </c>
      <c r="AA264" s="43">
        <f>IF(X264="","",X264/MAX($X$4:X264)-1)</f>
        <v>-7.7697152245346235E-3</v>
      </c>
      <c r="AB264" s="44">
        <f>IF(Y264="","",Y264/MAX($Y$4:Y264)-1)</f>
        <v>0</v>
      </c>
    </row>
    <row r="265" spans="1:28" x14ac:dyDescent="0.45">
      <c r="A265" s="121">
        <v>45581</v>
      </c>
      <c r="B265" s="124">
        <v>582.29999999999995</v>
      </c>
      <c r="C265" s="124">
        <v>231.78</v>
      </c>
      <c r="D265" s="124">
        <v>416.12</v>
      </c>
      <c r="E265" s="124">
        <v>223.64</v>
      </c>
      <c r="F265" s="124">
        <v>120.66</v>
      </c>
      <c r="G265" s="124">
        <v>164.28</v>
      </c>
      <c r="H265" s="124">
        <v>186.89</v>
      </c>
      <c r="I265" s="124">
        <v>70.569999999999993</v>
      </c>
      <c r="J265" s="125">
        <v>81.22</v>
      </c>
      <c r="L265" s="39">
        <f t="shared" si="56"/>
        <v>4.3464762496118903E-3</v>
      </c>
      <c r="M265" s="40">
        <f t="shared" si="48"/>
        <v>-8.8518280949326199E-3</v>
      </c>
      <c r="N265" s="40">
        <f t="shared" si="49"/>
        <v>-6.2568658356020549E-3</v>
      </c>
      <c r="O265" s="40">
        <f t="shared" si="50"/>
        <v>5.620756328971627E-3</v>
      </c>
      <c r="P265" s="40">
        <f t="shared" si="51"/>
        <v>2.5758205234732222E-3</v>
      </c>
      <c r="Q265" s="40">
        <f t="shared" si="52"/>
        <v>1.0968921389397125E-3</v>
      </c>
      <c r="R265" s="40">
        <f t="shared" si="53"/>
        <v>-4.2623474878790103E-3</v>
      </c>
      <c r="S265" s="40">
        <f t="shared" si="54"/>
        <v>3.2698322433891065E-3</v>
      </c>
      <c r="T265" s="41">
        <f t="shared" si="55"/>
        <v>-5.2663808940600952E-3</v>
      </c>
      <c r="V265" s="39">
        <f t="shared" si="57"/>
        <v>4.3464762496118903E-3</v>
      </c>
      <c r="W265" s="40" cm="1">
        <f t="array" ref="W265">IF(M265="","",SUMPRODUCT(M265:T265,TRANSPOSE('04_Dashboard'!$C$53:$C$60)))</f>
        <v>2.1340308579739916E-4</v>
      </c>
      <c r="X265" s="42">
        <f t="shared" si="58"/>
        <v>1.3627109124523169</v>
      </c>
      <c r="Y265" s="118">
        <f t="shared" si="59"/>
        <v>1.3312248366164026</v>
      </c>
      <c r="AA265" s="43">
        <f>IF(X265="","",X265/MAX($X$4:X265)-1)</f>
        <v>-3.4570098576125474E-3</v>
      </c>
      <c r="AB265" s="44">
        <f>IF(Y265="","",Y265/MAX($Y$4:Y265)-1)</f>
        <v>0</v>
      </c>
    </row>
    <row r="266" spans="1:28" x14ac:dyDescent="0.45">
      <c r="A266" s="121">
        <v>45582</v>
      </c>
      <c r="B266" s="124">
        <v>582.35</v>
      </c>
      <c r="C266" s="124">
        <v>232.15</v>
      </c>
      <c r="D266" s="124">
        <v>416.72</v>
      </c>
      <c r="E266" s="124">
        <v>224.42</v>
      </c>
      <c r="F266" s="124">
        <v>120.35</v>
      </c>
      <c r="G266" s="124">
        <v>164.47</v>
      </c>
      <c r="H266" s="124">
        <v>187.53</v>
      </c>
      <c r="I266" s="124">
        <v>69.900000000000006</v>
      </c>
      <c r="J266" s="125">
        <v>80.89</v>
      </c>
      <c r="L266" s="39">
        <f t="shared" si="56"/>
        <v>8.5866391894329753E-5</v>
      </c>
      <c r="M266" s="40">
        <f t="shared" si="48"/>
        <v>1.5963413581845049E-3</v>
      </c>
      <c r="N266" s="40">
        <f t="shared" si="49"/>
        <v>1.4418917619917879E-3</v>
      </c>
      <c r="O266" s="40">
        <f t="shared" si="50"/>
        <v>3.4877481666964819E-3</v>
      </c>
      <c r="P266" s="40">
        <f t="shared" si="51"/>
        <v>-2.56920271838225E-3</v>
      </c>
      <c r="Q266" s="40">
        <f t="shared" si="52"/>
        <v>1.1565619673727643E-3</v>
      </c>
      <c r="R266" s="40">
        <f t="shared" si="53"/>
        <v>3.4244742896892013E-3</v>
      </c>
      <c r="S266" s="40">
        <f t="shared" si="54"/>
        <v>-9.4941193141559813E-3</v>
      </c>
      <c r="T266" s="41">
        <f t="shared" si="55"/>
        <v>-4.0630386604284452E-3</v>
      </c>
      <c r="V266" s="39">
        <f t="shared" si="57"/>
        <v>8.5866391894329753E-5</v>
      </c>
      <c r="W266" s="40" cm="1">
        <f t="array" ref="W266">IF(M266="","",SUMPRODUCT(M266:T266,TRANSPOSE('04_Dashboard'!$C$53:$C$60)))</f>
        <v>-4.6943519943645241E-4</v>
      </c>
      <c r="X266" s="42">
        <f t="shared" si="58"/>
        <v>1.3628279235215641</v>
      </c>
      <c r="Y266" s="118">
        <f t="shared" si="59"/>
        <v>1.3305999128197308</v>
      </c>
      <c r="AA266" s="43">
        <f>IF(X266="","",X266/MAX($X$4:X266)-1)</f>
        <v>-3.3714403066814613E-3</v>
      </c>
      <c r="AB266" s="44">
        <f>IF(Y266="","",Y266/MAX($Y$4:Y266)-1)</f>
        <v>-4.6943519943642986E-4</v>
      </c>
    </row>
    <row r="267" spans="1:28" x14ac:dyDescent="0.45">
      <c r="A267" s="121">
        <v>45583</v>
      </c>
      <c r="B267" s="124">
        <v>584.59</v>
      </c>
      <c r="C267" s="124">
        <v>235</v>
      </c>
      <c r="D267" s="124">
        <v>418.16</v>
      </c>
      <c r="E267" s="124">
        <v>225.37</v>
      </c>
      <c r="F267" s="124">
        <v>120.01</v>
      </c>
      <c r="G267" s="124">
        <v>165.12</v>
      </c>
      <c r="H267" s="124">
        <v>188.99</v>
      </c>
      <c r="I267" s="124">
        <v>70.44</v>
      </c>
      <c r="J267" s="125">
        <v>81.31</v>
      </c>
      <c r="L267" s="39">
        <f t="shared" si="56"/>
        <v>3.8464840731519002E-3</v>
      </c>
      <c r="M267" s="40">
        <f t="shared" si="48"/>
        <v>1.2276545337066527E-2</v>
      </c>
      <c r="N267" s="40">
        <f t="shared" si="49"/>
        <v>3.4555576886158516E-3</v>
      </c>
      <c r="O267" s="40">
        <f t="shared" si="50"/>
        <v>4.2331343017557128E-3</v>
      </c>
      <c r="P267" s="40">
        <f t="shared" si="51"/>
        <v>-2.8250934773576173E-3</v>
      </c>
      <c r="Q267" s="40">
        <f t="shared" si="52"/>
        <v>3.9520885267830342E-3</v>
      </c>
      <c r="R267" s="40">
        <f t="shared" si="53"/>
        <v>7.7854209993068199E-3</v>
      </c>
      <c r="S267" s="40">
        <f t="shared" si="54"/>
        <v>7.7253218884119025E-3</v>
      </c>
      <c r="T267" s="41">
        <f t="shared" si="55"/>
        <v>5.1922363703795485E-3</v>
      </c>
      <c r="V267" s="39">
        <f t="shared" si="57"/>
        <v>3.8464840731519002E-3</v>
      </c>
      <c r="W267" s="40" cm="1">
        <f t="array" ref="W267">IF(M267="","",SUMPRODUCT(M267:T267,TRANSPOSE('04_Dashboard'!$C$53:$C$60)))</f>
        <v>5.0822789669596243E-3</v>
      </c>
      <c r="X267" s="42">
        <f t="shared" si="58"/>
        <v>1.3680700194238364</v>
      </c>
      <c r="Y267" s="118">
        <f t="shared" si="59"/>
        <v>1.3373623927700928</v>
      </c>
      <c r="AA267" s="43">
        <f>IF(X267="","",X267/MAX($X$4:X267)-1)</f>
        <v>0</v>
      </c>
      <c r="AB267" s="44">
        <f>IF(Y267="","",Y267/MAX($Y$4:Y267)-1)</f>
        <v>0</v>
      </c>
    </row>
    <row r="268" spans="1:28" x14ac:dyDescent="0.45">
      <c r="A268" s="121">
        <v>45586</v>
      </c>
      <c r="B268" s="124">
        <v>583.63</v>
      </c>
      <c r="C268" s="124">
        <v>236.48</v>
      </c>
      <c r="D268" s="124">
        <v>418.78</v>
      </c>
      <c r="E268" s="124">
        <v>223</v>
      </c>
      <c r="F268" s="124">
        <v>120.08</v>
      </c>
      <c r="G268" s="124">
        <v>162.83000000000001</v>
      </c>
      <c r="H268" s="124">
        <v>189.07</v>
      </c>
      <c r="I268" s="124">
        <v>69.45</v>
      </c>
      <c r="J268" s="125">
        <v>80.81</v>
      </c>
      <c r="L268" s="39">
        <f t="shared" si="56"/>
        <v>-1.6421765681931548E-3</v>
      </c>
      <c r="M268" s="40">
        <f t="shared" si="48"/>
        <v>6.2978723404254885E-3</v>
      </c>
      <c r="N268" s="40">
        <f t="shared" si="49"/>
        <v>1.4826860531852585E-3</v>
      </c>
      <c r="O268" s="40">
        <f t="shared" si="50"/>
        <v>-1.0516040289302057E-2</v>
      </c>
      <c r="P268" s="40">
        <f t="shared" si="51"/>
        <v>5.8328472627275374E-4</v>
      </c>
      <c r="Q268" s="40">
        <f t="shared" si="52"/>
        <v>-1.3868701550387549E-2</v>
      </c>
      <c r="R268" s="40">
        <f t="shared" si="53"/>
        <v>4.2330282025495572E-4</v>
      </c>
      <c r="S268" s="40">
        <f t="shared" si="54"/>
        <v>-1.4054514480408786E-2</v>
      </c>
      <c r="T268" s="41">
        <f t="shared" si="55"/>
        <v>-6.1493051285204771E-3</v>
      </c>
      <c r="V268" s="39">
        <f t="shared" si="57"/>
        <v>-1.6421765681931548E-3</v>
      </c>
      <c r="W268" s="40" cm="1">
        <f t="array" ref="W268">IF(M268="","",SUMPRODUCT(M268:T268,TRANSPOSE('04_Dashboard'!$C$53:$C$60)))</f>
        <v>-8.0930330251844443E-3</v>
      </c>
      <c r="X268" s="42">
        <f t="shared" si="58"/>
        <v>1.3658234068942909</v>
      </c>
      <c r="Y268" s="118">
        <f t="shared" si="59"/>
        <v>1.3265390747587646</v>
      </c>
      <c r="AA268" s="43">
        <f>IF(X268="","",X268/MAX($X$4:X268)-1)</f>
        <v>-1.6421765681932099E-3</v>
      </c>
      <c r="AB268" s="44">
        <f>IF(Y268="","",Y268/MAX($Y$4:Y268)-1)</f>
        <v>-8.0930330251844929E-3</v>
      </c>
    </row>
    <row r="269" spans="1:28" x14ac:dyDescent="0.45">
      <c r="A269" s="121">
        <v>45587</v>
      </c>
      <c r="B269" s="124">
        <v>583.32000000000005</v>
      </c>
      <c r="C269" s="124">
        <v>235.86</v>
      </c>
      <c r="D269" s="124">
        <v>427.51</v>
      </c>
      <c r="E269" s="124">
        <v>224.12</v>
      </c>
      <c r="F269" s="124">
        <v>120.7</v>
      </c>
      <c r="G269" s="124">
        <v>163.44999999999999</v>
      </c>
      <c r="H269" s="124">
        <v>189.7</v>
      </c>
      <c r="I269" s="124">
        <v>69.45</v>
      </c>
      <c r="J269" s="125">
        <v>82.02</v>
      </c>
      <c r="L269" s="39">
        <f t="shared" si="56"/>
        <v>-5.311584394221432E-4</v>
      </c>
      <c r="M269" s="40">
        <f t="shared" si="48"/>
        <v>-2.6217861975641752E-3</v>
      </c>
      <c r="N269" s="40">
        <f t="shared" si="49"/>
        <v>2.0846267730073115E-2</v>
      </c>
      <c r="O269" s="40">
        <f t="shared" si="50"/>
        <v>5.0224215246636979E-3</v>
      </c>
      <c r="P269" s="40">
        <f t="shared" si="51"/>
        <v>5.1632245169887124E-3</v>
      </c>
      <c r="Q269" s="40">
        <f t="shared" si="52"/>
        <v>3.8076521525515941E-3</v>
      </c>
      <c r="R269" s="40">
        <f t="shared" si="53"/>
        <v>3.3320992225101577E-3</v>
      </c>
      <c r="S269" s="40">
        <f t="shared" si="54"/>
        <v>0</v>
      </c>
      <c r="T269" s="41">
        <f t="shared" si="55"/>
        <v>1.4973394381883352E-2</v>
      </c>
      <c r="V269" s="39">
        <f t="shared" si="57"/>
        <v>-5.311584394221432E-4</v>
      </c>
      <c r="W269" s="40" cm="1">
        <f t="array" ref="W269">IF(M269="","",SUMPRODUCT(M269:T269,TRANSPOSE('04_Dashboard'!$C$53:$C$60)))</f>
        <v>5.9637177453995133E-3</v>
      </c>
      <c r="X269" s="42">
        <f t="shared" si="58"/>
        <v>1.3650979382649586</v>
      </c>
      <c r="Y269" s="118">
        <f t="shared" si="59"/>
        <v>1.3344501793788692</v>
      </c>
      <c r="AA269" s="43">
        <f>IF(X269="","",X269/MAX($X$4:X269)-1)</f>
        <v>-2.1724627516722661E-3</v>
      </c>
      <c r="AB269" s="44">
        <f>IF(Y269="","",Y269/MAX($Y$4:Y269)-1)</f>
        <v>-2.1775798444515493E-3</v>
      </c>
    </row>
    <row r="270" spans="1:28" x14ac:dyDescent="0.45">
      <c r="A270" s="121">
        <v>45588</v>
      </c>
      <c r="B270" s="124">
        <v>577.99</v>
      </c>
      <c r="C270" s="124">
        <v>230.76</v>
      </c>
      <c r="D270" s="124">
        <v>424.6</v>
      </c>
      <c r="E270" s="124">
        <v>223.41</v>
      </c>
      <c r="F270" s="124">
        <v>120.27</v>
      </c>
      <c r="G270" s="124">
        <v>165.86</v>
      </c>
      <c r="H270" s="124">
        <v>184.71</v>
      </c>
      <c r="I270" s="124">
        <v>68.010000000000005</v>
      </c>
      <c r="J270" s="125">
        <v>83.27</v>
      </c>
      <c r="L270" s="39">
        <f t="shared" si="56"/>
        <v>-9.1373517108963177E-3</v>
      </c>
      <c r="M270" s="40">
        <f t="shared" si="48"/>
        <v>-2.1622996692953544E-2</v>
      </c>
      <c r="N270" s="40">
        <f t="shared" si="49"/>
        <v>-6.8068583191035724E-3</v>
      </c>
      <c r="O270" s="40">
        <f t="shared" si="50"/>
        <v>-3.1679457433518112E-3</v>
      </c>
      <c r="P270" s="40">
        <f t="shared" si="51"/>
        <v>-3.5625517812759469E-3</v>
      </c>
      <c r="Q270" s="40">
        <f t="shared" si="52"/>
        <v>1.4744570204955797E-2</v>
      </c>
      <c r="R270" s="40">
        <f t="shared" si="53"/>
        <v>-2.6304691618344655E-2</v>
      </c>
      <c r="S270" s="40">
        <f t="shared" si="54"/>
        <v>-2.073434125269975E-2</v>
      </c>
      <c r="T270" s="41">
        <f t="shared" si="55"/>
        <v>1.52401853206535E-2</v>
      </c>
      <c r="V270" s="39">
        <f t="shared" si="57"/>
        <v>-9.1373517108963177E-3</v>
      </c>
      <c r="W270" s="40" cm="1">
        <f t="array" ref="W270">IF(M270="","",SUMPRODUCT(M270:T270,TRANSPOSE('04_Dashboard'!$C$53:$C$60)))</f>
        <v>-1.7494124158722937E-3</v>
      </c>
      <c r="X270" s="42">
        <f t="shared" si="58"/>
        <v>1.3526245582832122</v>
      </c>
      <c r="Y270" s="118">
        <f t="shared" si="59"/>
        <v>1.3321156756667007</v>
      </c>
      <c r="AA270" s="43">
        <f>IF(X270="","",X270/MAX($X$4:X270)-1)</f>
        <v>-1.1289963906327749E-2</v>
      </c>
      <c r="AB270" s="44">
        <f>IF(Y270="","",Y270/MAX($Y$4:Y270)-1)</f>
        <v>-3.9231827751073922E-3</v>
      </c>
    </row>
    <row r="271" spans="1:28" x14ac:dyDescent="0.45">
      <c r="A271" s="121">
        <v>45589</v>
      </c>
      <c r="B271" s="124">
        <v>579.24</v>
      </c>
      <c r="C271" s="124">
        <v>230.57</v>
      </c>
      <c r="D271" s="124">
        <v>424.73</v>
      </c>
      <c r="E271" s="124">
        <v>224.98</v>
      </c>
      <c r="F271" s="124">
        <v>119.59</v>
      </c>
      <c r="G271" s="124">
        <v>163.66999999999999</v>
      </c>
      <c r="H271" s="124">
        <v>186.38</v>
      </c>
      <c r="I271" s="124">
        <v>67.3</v>
      </c>
      <c r="J271" s="125">
        <v>83.04</v>
      </c>
      <c r="L271" s="39">
        <f t="shared" si="56"/>
        <v>2.1626671741725636E-3</v>
      </c>
      <c r="M271" s="40">
        <f t="shared" si="48"/>
        <v>-8.2336626798404291E-4</v>
      </c>
      <c r="N271" s="40">
        <f t="shared" si="49"/>
        <v>3.061705134243887E-4</v>
      </c>
      <c r="O271" s="40">
        <f t="shared" si="50"/>
        <v>7.0274383420616503E-3</v>
      </c>
      <c r="P271" s="40">
        <f t="shared" si="51"/>
        <v>-5.6539452897646347E-3</v>
      </c>
      <c r="Q271" s="40">
        <f t="shared" si="52"/>
        <v>-1.3203906909441855E-2</v>
      </c>
      <c r="R271" s="40">
        <f t="shared" si="53"/>
        <v>9.0411997184775463E-3</v>
      </c>
      <c r="S271" s="40">
        <f t="shared" si="54"/>
        <v>-1.0439641229231111E-2</v>
      </c>
      <c r="T271" s="41">
        <f t="shared" si="55"/>
        <v>-2.7620991953883726E-3</v>
      </c>
      <c r="V271" s="39">
        <f t="shared" si="57"/>
        <v>2.1626671741725636E-3</v>
      </c>
      <c r="W271" s="40" cm="1">
        <f t="array" ref="W271">IF(M271="","",SUMPRODUCT(M271:T271,TRANSPOSE('04_Dashboard'!$C$53:$C$60)))</f>
        <v>-2.953758210245946E-3</v>
      </c>
      <c r="X271" s="42">
        <f t="shared" si="58"/>
        <v>1.3555498350143909</v>
      </c>
      <c r="Y271" s="118">
        <f t="shared" si="59"/>
        <v>1.328180928052703</v>
      </c>
      <c r="AA271" s="43">
        <f>IF(X271="","",X271/MAX($X$4:X271)-1)</f>
        <v>-9.1517131664931028E-3</v>
      </c>
      <c r="AB271" s="44">
        <f>IF(Y271="","",Y271/MAX($Y$4:Y271)-1)</f>
        <v>-6.8653528520210561E-3</v>
      </c>
    </row>
    <row r="272" spans="1:28" x14ac:dyDescent="0.45">
      <c r="A272" s="121">
        <v>45590</v>
      </c>
      <c r="B272" s="124">
        <v>579.04</v>
      </c>
      <c r="C272" s="124">
        <v>231.41</v>
      </c>
      <c r="D272" s="124">
        <v>428.15</v>
      </c>
      <c r="E272" s="124">
        <v>222.31</v>
      </c>
      <c r="F272" s="124">
        <v>119.49</v>
      </c>
      <c r="G272" s="124">
        <v>160.88</v>
      </c>
      <c r="H272" s="124">
        <v>187.83</v>
      </c>
      <c r="I272" s="124">
        <v>66.92</v>
      </c>
      <c r="J272" s="125">
        <v>82.51</v>
      </c>
      <c r="L272" s="39">
        <f t="shared" si="56"/>
        <v>-3.4528002209799992E-4</v>
      </c>
      <c r="M272" s="40">
        <f t="shared" si="48"/>
        <v>3.6431452487314196E-3</v>
      </c>
      <c r="N272" s="40">
        <f t="shared" si="49"/>
        <v>8.0521743225106749E-3</v>
      </c>
      <c r="O272" s="40">
        <f t="shared" si="50"/>
        <v>-1.1867721575251079E-2</v>
      </c>
      <c r="P272" s="40">
        <f t="shared" si="51"/>
        <v>-8.361903169162014E-4</v>
      </c>
      <c r="Q272" s="40">
        <f t="shared" si="52"/>
        <v>-1.7046495998044798E-2</v>
      </c>
      <c r="R272" s="40">
        <f t="shared" si="53"/>
        <v>7.7798047000752074E-3</v>
      </c>
      <c r="S272" s="40">
        <f t="shared" si="54"/>
        <v>-5.6463595839523839E-3</v>
      </c>
      <c r="T272" s="41">
        <f t="shared" si="55"/>
        <v>-6.3824662813102249E-3</v>
      </c>
      <c r="V272" s="39">
        <f t="shared" si="57"/>
        <v>-3.4528002209799992E-4</v>
      </c>
      <c r="W272" s="40" cm="1">
        <f t="array" ref="W272">IF(M272="","",SUMPRODUCT(M272:T272,TRANSPOSE('04_Dashboard'!$C$53:$C$60)))</f>
        <v>-7.2684994696613605E-3</v>
      </c>
      <c r="X272" s="42">
        <f t="shared" si="58"/>
        <v>1.3550817907374022</v>
      </c>
      <c r="Y272" s="118">
        <f t="shared" si="59"/>
        <v>1.3185270456815377</v>
      </c>
      <c r="AA272" s="43">
        <f>IF(X272="","",X272/MAX($X$4:X272)-1)</f>
        <v>-9.4938332848666374E-3</v>
      </c>
      <c r="AB272" s="44">
        <f>IF(Y272="","",Y272/MAX($Y$4:Y272)-1)</f>
        <v>-1.4083951508118364E-2</v>
      </c>
    </row>
    <row r="273" spans="1:28" x14ac:dyDescent="0.45">
      <c r="A273" s="121">
        <v>45593</v>
      </c>
      <c r="B273" s="124">
        <v>580.83000000000004</v>
      </c>
      <c r="C273" s="124">
        <v>233.4</v>
      </c>
      <c r="D273" s="124">
        <v>426.59</v>
      </c>
      <c r="E273" s="124">
        <v>225.5</v>
      </c>
      <c r="F273" s="124">
        <v>118.9</v>
      </c>
      <c r="G273" s="124">
        <v>161.6</v>
      </c>
      <c r="H273" s="124">
        <v>188.39</v>
      </c>
      <c r="I273" s="124">
        <v>66.67</v>
      </c>
      <c r="J273" s="125">
        <v>82.75</v>
      </c>
      <c r="L273" s="39">
        <f t="shared" si="56"/>
        <v>3.091323570047108E-3</v>
      </c>
      <c r="M273" s="40">
        <f t="shared" si="48"/>
        <v>8.599455511862102E-3</v>
      </c>
      <c r="N273" s="40">
        <f t="shared" si="49"/>
        <v>-3.6435828564755396E-3</v>
      </c>
      <c r="O273" s="40">
        <f t="shared" si="50"/>
        <v>1.4349332013854518E-2</v>
      </c>
      <c r="P273" s="40">
        <f t="shared" si="51"/>
        <v>-4.9376516863334939E-3</v>
      </c>
      <c r="Q273" s="40">
        <f t="shared" si="52"/>
        <v>4.4753853804077506E-3</v>
      </c>
      <c r="R273" s="40">
        <f t="shared" si="53"/>
        <v>2.9814193685778301E-3</v>
      </c>
      <c r="S273" s="40">
        <f t="shared" si="54"/>
        <v>-3.7358039450089658E-3</v>
      </c>
      <c r="T273" s="41">
        <f t="shared" si="55"/>
        <v>2.9087383347472413E-3</v>
      </c>
      <c r="V273" s="39">
        <f t="shared" si="57"/>
        <v>3.091323570047108E-3</v>
      </c>
      <c r="W273" s="40" cm="1">
        <f t="array" ref="W273">IF(M273="","",SUMPRODUCT(M273:T273,TRANSPOSE('04_Dashboard'!$C$53:$C$60)))</f>
        <v>4.5549700908394629E-3</v>
      </c>
      <c r="X273" s="42">
        <f t="shared" si="58"/>
        <v>1.3592707870164504</v>
      </c>
      <c r="Y273" s="118">
        <f t="shared" si="59"/>
        <v>1.3245328969385799</v>
      </c>
      <c r="AA273" s="43">
        <f>IF(X273="","",X273/MAX($X$4:X273)-1)</f>
        <v>-6.4318582254231371E-3</v>
      </c>
      <c r="AB273" s="44">
        <f>IF(Y273="","",Y273/MAX($Y$4:Y273)-1)</f>
        <v>-9.5931333951593256E-3</v>
      </c>
    </row>
    <row r="274" spans="1:28" x14ac:dyDescent="0.45">
      <c r="A274" s="121">
        <v>45594</v>
      </c>
      <c r="B274" s="124">
        <v>581.77</v>
      </c>
      <c r="C274" s="124">
        <v>233.67</v>
      </c>
      <c r="D274" s="124">
        <v>431.95</v>
      </c>
      <c r="E274" s="124">
        <v>222.9</v>
      </c>
      <c r="F274" s="124">
        <v>117.28</v>
      </c>
      <c r="G274" s="124">
        <v>160.09</v>
      </c>
      <c r="H274" s="124">
        <v>190.83</v>
      </c>
      <c r="I274" s="124">
        <v>65.56</v>
      </c>
      <c r="J274" s="125">
        <v>81.7</v>
      </c>
      <c r="L274" s="39">
        <f t="shared" si="56"/>
        <v>1.6183737065921884E-3</v>
      </c>
      <c r="M274" s="40">
        <f t="shared" si="48"/>
        <v>1.1568123393315415E-3</v>
      </c>
      <c r="N274" s="40">
        <f t="shared" si="49"/>
        <v>1.2564757729904626E-2</v>
      </c>
      <c r="O274" s="40">
        <f t="shared" si="50"/>
        <v>-1.1529933481152967E-2</v>
      </c>
      <c r="P274" s="40">
        <f t="shared" si="51"/>
        <v>-1.3624894869638389E-2</v>
      </c>
      <c r="Q274" s="40">
        <f t="shared" si="52"/>
        <v>-9.3440594059405382E-3</v>
      </c>
      <c r="R274" s="40">
        <f t="shared" si="53"/>
        <v>1.2951855194012561E-2</v>
      </c>
      <c r="S274" s="40">
        <f t="shared" si="54"/>
        <v>-1.6649167541622909E-2</v>
      </c>
      <c r="T274" s="41">
        <f t="shared" si="55"/>
        <v>-1.2688821752265827E-2</v>
      </c>
      <c r="V274" s="39">
        <f t="shared" si="57"/>
        <v>1.6183737065921884E-3</v>
      </c>
      <c r="W274" s="40" cm="1">
        <f t="array" ref="W274">IF(M274="","",SUMPRODUCT(M274:T274,TRANSPOSE('04_Dashboard'!$C$53:$C$60)))</f>
        <v>-7.8451128340246128E-3</v>
      </c>
      <c r="X274" s="42">
        <f t="shared" si="58"/>
        <v>1.3614705951182968</v>
      </c>
      <c r="Y274" s="118">
        <f t="shared" si="59"/>
        <v>1.3141417869097194</v>
      </c>
      <c r="AA274" s="43">
        <f>IF(X274="","",X274/MAX($X$4:X274)-1)</f>
        <v>-4.8238936690674361E-3</v>
      </c>
      <c r="AB274" s="44">
        <f>IF(Y274="","",Y274/MAX($Y$4:Y274)-1)</f>
        <v>-1.7362987015266951E-2</v>
      </c>
    </row>
    <row r="275" spans="1:28" x14ac:dyDescent="0.45">
      <c r="A275" s="121">
        <v>45595</v>
      </c>
      <c r="B275" s="124">
        <v>580.01</v>
      </c>
      <c r="C275" s="124">
        <v>230.1</v>
      </c>
      <c r="D275" s="124">
        <v>432.53</v>
      </c>
      <c r="E275" s="124">
        <v>224.41</v>
      </c>
      <c r="F275" s="124">
        <v>116.69</v>
      </c>
      <c r="G275" s="124">
        <v>160.61000000000001</v>
      </c>
      <c r="H275" s="124">
        <v>192.73</v>
      </c>
      <c r="I275" s="124">
        <v>65.92</v>
      </c>
      <c r="J275" s="125">
        <v>81.39</v>
      </c>
      <c r="L275" s="39">
        <f t="shared" si="56"/>
        <v>-3.0252505285593809E-3</v>
      </c>
      <c r="M275" s="40">
        <f t="shared" si="48"/>
        <v>-1.5277956091924481E-2</v>
      </c>
      <c r="N275" s="40">
        <f t="shared" si="49"/>
        <v>1.342748003241079E-3</v>
      </c>
      <c r="O275" s="40">
        <f t="shared" si="50"/>
        <v>6.7743382682816993E-3</v>
      </c>
      <c r="P275" s="40">
        <f t="shared" si="51"/>
        <v>-5.0306957708049407E-3</v>
      </c>
      <c r="Q275" s="40">
        <f t="shared" si="52"/>
        <v>3.2481729027422713E-3</v>
      </c>
      <c r="R275" s="40">
        <f t="shared" si="53"/>
        <v>9.9565057904940375E-3</v>
      </c>
      <c r="S275" s="40">
        <f t="shared" si="54"/>
        <v>5.491153142159845E-3</v>
      </c>
      <c r="T275" s="41">
        <f t="shared" si="55"/>
        <v>-3.7943696450428673E-3</v>
      </c>
      <c r="V275" s="39">
        <f t="shared" si="57"/>
        <v>-3.0252505285593809E-3</v>
      </c>
      <c r="W275" s="40" cm="1">
        <f t="array" ref="W275">IF(M275="","",SUMPRODUCT(M275:T275,TRANSPOSE('04_Dashboard'!$C$53:$C$60)))</f>
        <v>2.340617200375282E-3</v>
      </c>
      <c r="X275" s="42">
        <f t="shared" si="58"/>
        <v>1.3573518054807971</v>
      </c>
      <c r="Y275" s="118">
        <f t="shared" si="59"/>
        <v>1.3172176897798922</v>
      </c>
      <c r="AA275" s="43">
        <f>IF(X275="","",X275/MAX($X$4:X275)-1)</f>
        <v>-7.834550710754784E-3</v>
      </c>
      <c r="AB275" s="44">
        <f>IF(Y275="","",Y275/MAX($Y$4:Y275)-1)</f>
        <v>-1.5063009920949444E-2</v>
      </c>
    </row>
    <row r="276" spans="1:28" x14ac:dyDescent="0.45">
      <c r="A276" s="121">
        <v>45596</v>
      </c>
      <c r="B276" s="124">
        <v>568.64</v>
      </c>
      <c r="C276" s="124">
        <v>225.91</v>
      </c>
      <c r="D276" s="124">
        <v>406.35</v>
      </c>
      <c r="E276" s="124">
        <v>221.92</v>
      </c>
      <c r="F276" s="124">
        <v>116.78</v>
      </c>
      <c r="G276" s="124">
        <v>159.86000000000001</v>
      </c>
      <c r="H276" s="124">
        <v>186.4</v>
      </c>
      <c r="I276" s="124">
        <v>65.31</v>
      </c>
      <c r="J276" s="125">
        <v>81.95</v>
      </c>
      <c r="L276" s="39">
        <f t="shared" si="56"/>
        <v>-1.9603110291201886E-2</v>
      </c>
      <c r="M276" s="40">
        <f t="shared" si="48"/>
        <v>-1.8209474141677524E-2</v>
      </c>
      <c r="N276" s="40">
        <f t="shared" si="49"/>
        <v>-6.0527593461725086E-2</v>
      </c>
      <c r="O276" s="40">
        <f t="shared" si="50"/>
        <v>-1.1095762220934937E-2</v>
      </c>
      <c r="P276" s="40">
        <f t="shared" si="51"/>
        <v>7.7127431656528762E-4</v>
      </c>
      <c r="Q276" s="40">
        <f t="shared" si="52"/>
        <v>-4.6696967810223519E-3</v>
      </c>
      <c r="R276" s="40">
        <f t="shared" si="53"/>
        <v>-3.2843874850827501E-2</v>
      </c>
      <c r="S276" s="40">
        <f t="shared" si="54"/>
        <v>-9.2536407766990198E-3</v>
      </c>
      <c r="T276" s="41">
        <f t="shared" si="55"/>
        <v>6.8804521439980622E-3</v>
      </c>
      <c r="V276" s="39">
        <f t="shared" si="57"/>
        <v>-1.9603110291201886E-2</v>
      </c>
      <c r="W276" s="40" cm="1">
        <f t="array" ref="W276">IF(M276="","",SUMPRODUCT(M276:T276,TRANSPOSE('04_Dashboard'!$C$53:$C$60)))</f>
        <v>-1.1562631068817782E-2</v>
      </c>
      <c r="X276" s="42">
        <f t="shared" si="58"/>
        <v>1.330743488333995</v>
      </c>
      <c r="Y276" s="118">
        <f t="shared" si="59"/>
        <v>1.3019871875956468</v>
      </c>
      <c r="AA276" s="43">
        <f>IF(X276="","",X276/MAX($X$4:X276)-1)</f>
        <v>-2.7284079440291764E-2</v>
      </c>
      <c r="AB276" s="44">
        <f>IF(Y276="","",Y276/MAX($Y$4:Y276)-1)</f>
        <v>-2.6451472963265443E-2</v>
      </c>
    </row>
    <row r="277" spans="1:28" x14ac:dyDescent="0.45">
      <c r="A277" s="121">
        <v>45597</v>
      </c>
      <c r="B277" s="124">
        <v>571.04</v>
      </c>
      <c r="C277" s="124">
        <v>222.91</v>
      </c>
      <c r="D277" s="124">
        <v>410.37</v>
      </c>
      <c r="E277" s="124">
        <v>222.94</v>
      </c>
      <c r="F277" s="124">
        <v>114.95</v>
      </c>
      <c r="G277" s="124">
        <v>160.13</v>
      </c>
      <c r="H277" s="124">
        <v>197.93</v>
      </c>
      <c r="I277" s="124">
        <v>65.010000000000005</v>
      </c>
      <c r="J277" s="125">
        <v>82.19</v>
      </c>
      <c r="L277" s="39">
        <f t="shared" si="56"/>
        <v>4.220596510973511E-3</v>
      </c>
      <c r="M277" s="40">
        <f t="shared" si="48"/>
        <v>-1.3279624629277146E-2</v>
      </c>
      <c r="N277" s="40">
        <f t="shared" si="49"/>
        <v>9.8929494278331039E-3</v>
      </c>
      <c r="O277" s="40">
        <f t="shared" si="50"/>
        <v>4.5962509012257135E-3</v>
      </c>
      <c r="P277" s="40">
        <f t="shared" si="51"/>
        <v>-1.5670491522520966E-2</v>
      </c>
      <c r="Q277" s="40">
        <f t="shared" si="52"/>
        <v>1.6889778556235567E-3</v>
      </c>
      <c r="R277" s="40">
        <f t="shared" si="53"/>
        <v>6.1856223175965667E-2</v>
      </c>
      <c r="S277" s="40">
        <f t="shared" si="54"/>
        <v>-4.593477262287508E-3</v>
      </c>
      <c r="T277" s="41">
        <f t="shared" si="55"/>
        <v>2.9286150091518593E-3</v>
      </c>
      <c r="V277" s="39">
        <f t="shared" si="57"/>
        <v>4.220596510973511E-3</v>
      </c>
      <c r="W277" s="40" cm="1">
        <f t="array" ref="W277">IF(M277="","",SUMPRODUCT(M277:T277,TRANSPOSE('04_Dashboard'!$C$53:$C$60)))</f>
        <v>4.9714861882242762E-3</v>
      </c>
      <c r="X277" s="42">
        <f t="shared" si="58"/>
        <v>1.3363600196578584</v>
      </c>
      <c r="Y277" s="118">
        <f t="shared" si="59"/>
        <v>1.3084599989160235</v>
      </c>
      <c r="AA277" s="43">
        <f>IF(X277="","",X277/MAX($X$4:X277)-1)</f>
        <v>-2.3178638019808906E-2</v>
      </c>
      <c r="AB277" s="44">
        <f>IF(Y277="","",Y277/MAX($Y$4:Y277)-1)</f>
        <v>-2.1611489907536252E-2</v>
      </c>
    </row>
    <row r="278" spans="1:28" x14ac:dyDescent="0.45">
      <c r="A278" s="121">
        <v>45600</v>
      </c>
      <c r="B278" s="124">
        <v>569.80999999999995</v>
      </c>
      <c r="C278" s="124">
        <v>222.01</v>
      </c>
      <c r="D278" s="124">
        <v>408.46</v>
      </c>
      <c r="E278" s="124">
        <v>219.78</v>
      </c>
      <c r="F278" s="124">
        <v>118.61</v>
      </c>
      <c r="G278" s="124">
        <v>158.24</v>
      </c>
      <c r="H278" s="124">
        <v>195.78</v>
      </c>
      <c r="I278" s="124">
        <v>65.11</v>
      </c>
      <c r="J278" s="125">
        <v>82.45</v>
      </c>
      <c r="L278" s="39">
        <f t="shared" si="56"/>
        <v>-2.1539646959933072E-3</v>
      </c>
      <c r="M278" s="40">
        <f t="shared" si="48"/>
        <v>-4.0375039253510644E-3</v>
      </c>
      <c r="N278" s="40">
        <f t="shared" si="49"/>
        <v>-4.6543363306285179E-3</v>
      </c>
      <c r="O278" s="40">
        <f t="shared" si="50"/>
        <v>-1.4174217278191426E-2</v>
      </c>
      <c r="P278" s="40">
        <f t="shared" si="51"/>
        <v>3.1839930404523674E-2</v>
      </c>
      <c r="Q278" s="40">
        <f t="shared" si="52"/>
        <v>-1.1802910135514809E-2</v>
      </c>
      <c r="R278" s="40">
        <f t="shared" si="53"/>
        <v>-1.0862426110241023E-2</v>
      </c>
      <c r="S278" s="40">
        <f t="shared" si="54"/>
        <v>1.5382248884786081E-3</v>
      </c>
      <c r="T278" s="41">
        <f t="shared" si="55"/>
        <v>3.1634018737073258E-3</v>
      </c>
      <c r="V278" s="39">
        <f t="shared" si="57"/>
        <v>-2.1539646959933072E-3</v>
      </c>
      <c r="W278" s="40" cm="1">
        <f t="array" ref="W278">IF(M278="","",SUMPRODUCT(M278:T278,TRANSPOSE('04_Dashboard'!$C$53:$C$60)))</f>
        <v>-5.2643155175836611E-3</v>
      </c>
      <c r="X278" s="42">
        <f t="shared" si="58"/>
        <v>1.3334815473543786</v>
      </c>
      <c r="Y278" s="118">
        <f t="shared" si="59"/>
        <v>1.3015718526395923</v>
      </c>
      <c r="AA278" s="43">
        <f>IF(X278="","",X278/MAX($X$4:X278)-1)</f>
        <v>-2.5282676747806154E-2</v>
      </c>
      <c r="AB278" s="44">
        <f>IF(Y278="","",Y278/MAX($Y$4:Y278)-1)</f>
        <v>-2.6762035723441602E-2</v>
      </c>
    </row>
    <row r="279" spans="1:28" x14ac:dyDescent="0.45">
      <c r="A279" s="121">
        <v>45601</v>
      </c>
      <c r="B279" s="124">
        <v>576.70000000000005</v>
      </c>
      <c r="C279" s="124">
        <v>223.45</v>
      </c>
      <c r="D279" s="124">
        <v>411.46</v>
      </c>
      <c r="E279" s="124">
        <v>221.49</v>
      </c>
      <c r="F279" s="124">
        <v>118.96</v>
      </c>
      <c r="G279" s="124">
        <v>158.35</v>
      </c>
      <c r="H279" s="124">
        <v>199.5</v>
      </c>
      <c r="I279" s="124">
        <v>65.37</v>
      </c>
      <c r="J279" s="125">
        <v>83.68</v>
      </c>
      <c r="L279" s="39">
        <f t="shared" si="56"/>
        <v>1.2091749881539637E-2</v>
      </c>
      <c r="M279" s="40">
        <f t="shared" si="48"/>
        <v>6.4861943155713605E-3</v>
      </c>
      <c r="N279" s="40">
        <f t="shared" si="49"/>
        <v>7.3446604318660336E-3</v>
      </c>
      <c r="O279" s="40">
        <f t="shared" si="50"/>
        <v>7.7805077805078171E-3</v>
      </c>
      <c r="P279" s="40">
        <f t="shared" si="51"/>
        <v>2.9508473147288957E-3</v>
      </c>
      <c r="Q279" s="40">
        <f t="shared" si="52"/>
        <v>6.9514661274004816E-4</v>
      </c>
      <c r="R279" s="40">
        <f t="shared" si="53"/>
        <v>1.9000919399325768E-2</v>
      </c>
      <c r="S279" s="40">
        <f t="shared" si="54"/>
        <v>3.9932422054984656E-3</v>
      </c>
      <c r="T279" s="41">
        <f t="shared" si="55"/>
        <v>1.491813220133419E-2</v>
      </c>
      <c r="V279" s="39">
        <f t="shared" si="57"/>
        <v>1.2091749881539637E-2</v>
      </c>
      <c r="W279" s="40" cm="1">
        <f t="array" ref="W279">IF(M279="","",SUMPRODUCT(M279:T279,TRANSPOSE('04_Dashboard'!$C$53:$C$60)))</f>
        <v>7.046242399893576E-3</v>
      </c>
      <c r="X279" s="42">
        <f t="shared" si="58"/>
        <v>1.3496056726966361</v>
      </c>
      <c r="Y279" s="118">
        <f t="shared" si="59"/>
        <v>1.3107430434141694</v>
      </c>
      <c r="AA279" s="43">
        <f>IF(X279="","",X279/MAX($X$4:X279)-1)</f>
        <v>-1.3496638669836969E-2</v>
      </c>
      <c r="AB279" s="44">
        <f>IF(Y279="","",Y279/MAX($Y$4:Y279)-1)</f>
        <v>-1.9904365114369993E-2</v>
      </c>
    </row>
    <row r="280" spans="1:28" x14ac:dyDescent="0.45">
      <c r="A280" s="121">
        <v>45602</v>
      </c>
      <c r="B280" s="124">
        <v>591.04</v>
      </c>
      <c r="C280" s="124">
        <v>222.72</v>
      </c>
      <c r="D280" s="124">
        <v>420.18</v>
      </c>
      <c r="E280" s="124">
        <v>247.06</v>
      </c>
      <c r="F280" s="124">
        <v>121</v>
      </c>
      <c r="G280" s="124">
        <v>157.88</v>
      </c>
      <c r="H280" s="124">
        <v>207.09</v>
      </c>
      <c r="I280" s="124">
        <v>63.7</v>
      </c>
      <c r="J280" s="125">
        <v>83.44</v>
      </c>
      <c r="L280" s="39">
        <f t="shared" si="56"/>
        <v>2.4865614704352206E-2</v>
      </c>
      <c r="M280" s="40">
        <f t="shared" si="48"/>
        <v>-3.2669501006936221E-3</v>
      </c>
      <c r="N280" s="40">
        <f t="shared" si="49"/>
        <v>2.119282554804848E-2</v>
      </c>
      <c r="O280" s="40">
        <f t="shared" si="50"/>
        <v>0.11544539256851322</v>
      </c>
      <c r="P280" s="40">
        <f t="shared" si="51"/>
        <v>1.7148621385339662E-2</v>
      </c>
      <c r="Q280" s="40">
        <f t="shared" si="52"/>
        <v>-2.9681086201452408E-3</v>
      </c>
      <c r="R280" s="40">
        <f t="shared" si="53"/>
        <v>3.8045112781954903E-2</v>
      </c>
      <c r="S280" s="40">
        <f t="shared" si="54"/>
        <v>-2.554688695120088E-2</v>
      </c>
      <c r="T280" s="41">
        <f t="shared" si="55"/>
        <v>-2.8680688336521162E-3</v>
      </c>
      <c r="V280" s="39">
        <f t="shared" si="57"/>
        <v>2.4865614704352206E-2</v>
      </c>
      <c r="W280" s="40" cm="1">
        <f t="array" ref="W280">IF(M280="","",SUMPRODUCT(M280:T280,TRANSPOSE('04_Dashboard'!$C$53:$C$60)))</f>
        <v>2.7637711464744197E-2</v>
      </c>
      <c r="X280" s="42">
        <f t="shared" si="58"/>
        <v>1.3831644473567188</v>
      </c>
      <c r="Y280" s="118">
        <f t="shared" si="59"/>
        <v>1.3469689814524708</v>
      </c>
      <c r="AA280" s="43">
        <f>IF(X280="","",X280/MAX($X$4:X280)-1)</f>
        <v>0</v>
      </c>
      <c r="AB280" s="44">
        <f>IF(Y280="","",Y280/MAX($Y$4:Y280)-1)</f>
        <v>0</v>
      </c>
    </row>
    <row r="281" spans="1:28" x14ac:dyDescent="0.45">
      <c r="A281" s="121">
        <v>45603</v>
      </c>
      <c r="B281" s="124">
        <v>595.61</v>
      </c>
      <c r="C281" s="124">
        <v>227.48</v>
      </c>
      <c r="D281" s="124">
        <v>425.43</v>
      </c>
      <c r="E281" s="124">
        <v>236.38</v>
      </c>
      <c r="F281" s="124">
        <v>121.15</v>
      </c>
      <c r="G281" s="124">
        <v>156.72999999999999</v>
      </c>
      <c r="H281" s="124">
        <v>210.05</v>
      </c>
      <c r="I281" s="124">
        <v>63.66</v>
      </c>
      <c r="J281" s="125">
        <v>83.85</v>
      </c>
      <c r="L281" s="39">
        <f t="shared" si="56"/>
        <v>7.7321331889551471E-3</v>
      </c>
      <c r="M281" s="40">
        <f t="shared" si="48"/>
        <v>2.1372126436781567E-2</v>
      </c>
      <c r="N281" s="40">
        <f t="shared" si="49"/>
        <v>1.2494645152077681E-2</v>
      </c>
      <c r="O281" s="40">
        <f t="shared" si="50"/>
        <v>-4.3228365579211551E-2</v>
      </c>
      <c r="P281" s="40">
        <f t="shared" si="51"/>
        <v>1.2396694214876502E-3</v>
      </c>
      <c r="Q281" s="40">
        <f t="shared" si="52"/>
        <v>-7.2840131745629958E-3</v>
      </c>
      <c r="R281" s="40">
        <f t="shared" si="53"/>
        <v>1.4293302428895687E-2</v>
      </c>
      <c r="S281" s="40">
        <f t="shared" si="54"/>
        <v>-6.2794348508644036E-4</v>
      </c>
      <c r="T281" s="41">
        <f t="shared" si="55"/>
        <v>4.9137104506231611E-3</v>
      </c>
      <c r="V281" s="39">
        <f t="shared" si="57"/>
        <v>7.7321331889551471E-3</v>
      </c>
      <c r="W281" s="40" cm="1">
        <f t="array" ref="W281">IF(M281="","",SUMPRODUCT(M281:T281,TRANSPOSE('04_Dashboard'!$C$53:$C$60)))</f>
        <v>-8.2425987359245403E-3</v>
      </c>
      <c r="X281" s="42">
        <f t="shared" si="58"/>
        <v>1.3938592590859085</v>
      </c>
      <c r="Y281" s="118">
        <f t="shared" si="59"/>
        <v>1.3358664566286211</v>
      </c>
      <c r="AA281" s="43">
        <f>IF(X281="","",X281/MAX($X$4:X281)-1)</f>
        <v>0</v>
      </c>
      <c r="AB281" s="44">
        <f>IF(Y281="","",Y281/MAX($Y$4:Y281)-1)</f>
        <v>-8.2425987359244779E-3</v>
      </c>
    </row>
    <row r="282" spans="1:28" x14ac:dyDescent="0.45">
      <c r="A282" s="121">
        <v>45604</v>
      </c>
      <c r="B282" s="124">
        <v>598.19000000000005</v>
      </c>
      <c r="C282" s="124">
        <v>226.96</v>
      </c>
      <c r="D282" s="124">
        <v>422.54</v>
      </c>
      <c r="E282" s="124">
        <v>236.98</v>
      </c>
      <c r="F282" s="124">
        <v>121.11</v>
      </c>
      <c r="G282" s="124">
        <v>155.47</v>
      </c>
      <c r="H282" s="124">
        <v>208.18</v>
      </c>
      <c r="I282" s="124">
        <v>63.92</v>
      </c>
      <c r="J282" s="125">
        <v>84.83</v>
      </c>
      <c r="L282" s="39">
        <f t="shared" si="56"/>
        <v>4.3316935578651145E-3</v>
      </c>
      <c r="M282" s="40">
        <f t="shared" si="48"/>
        <v>-2.2859152452962099E-3</v>
      </c>
      <c r="N282" s="40">
        <f t="shared" si="49"/>
        <v>-6.7931269539054278E-3</v>
      </c>
      <c r="O282" s="40">
        <f t="shared" si="50"/>
        <v>2.5382858109822925E-3</v>
      </c>
      <c r="P282" s="40">
        <f t="shared" si="51"/>
        <v>-3.301692117210586E-4</v>
      </c>
      <c r="Q282" s="40">
        <f t="shared" si="52"/>
        <v>-8.0393032603840418E-3</v>
      </c>
      <c r="R282" s="40">
        <f t="shared" si="53"/>
        <v>-8.9026422280409634E-3</v>
      </c>
      <c r="S282" s="40">
        <f t="shared" si="54"/>
        <v>4.0841972981464835E-3</v>
      </c>
      <c r="T282" s="41">
        <f t="shared" si="55"/>
        <v>1.1687537268932666E-2</v>
      </c>
      <c r="V282" s="39">
        <f t="shared" si="57"/>
        <v>4.3316935578651145E-3</v>
      </c>
      <c r="W282" s="40" cm="1">
        <f t="array" ref="W282">IF(M282="","",SUMPRODUCT(M282:T282,TRANSPOSE('04_Dashboard'!$C$53:$C$60)))</f>
        <v>-3.7757533510333484E-4</v>
      </c>
      <c r="X282" s="42">
        <f t="shared" si="58"/>
        <v>1.3998970302590616</v>
      </c>
      <c r="Y282" s="118">
        <f t="shared" si="59"/>
        <v>1.3353620664036063</v>
      </c>
      <c r="AA282" s="43">
        <f>IF(X282="","",X282/MAX($X$4:X282)-1)</f>
        <v>0</v>
      </c>
      <c r="AB282" s="44">
        <f>IF(Y282="","",Y282/MAX($Y$4:Y282)-1)</f>
        <v>-8.6170618690479817E-3</v>
      </c>
    </row>
    <row r="283" spans="1:28" x14ac:dyDescent="0.45">
      <c r="A283" s="121">
        <v>45607</v>
      </c>
      <c r="B283" s="124">
        <v>598.76</v>
      </c>
      <c r="C283" s="124">
        <v>224.23</v>
      </c>
      <c r="D283" s="124">
        <v>418.01</v>
      </c>
      <c r="E283" s="124">
        <v>239.29</v>
      </c>
      <c r="F283" s="124">
        <v>120.47</v>
      </c>
      <c r="G283" s="124">
        <v>155.04</v>
      </c>
      <c r="H283" s="124">
        <v>206.84</v>
      </c>
      <c r="I283" s="124">
        <v>63.36</v>
      </c>
      <c r="J283" s="125">
        <v>84.21</v>
      </c>
      <c r="L283" s="39">
        <f t="shared" si="56"/>
        <v>9.5287450475590747E-4</v>
      </c>
      <c r="M283" s="40">
        <f t="shared" si="48"/>
        <v>-1.2028551286570401E-2</v>
      </c>
      <c r="N283" s="40">
        <f t="shared" si="49"/>
        <v>-1.072087849671044E-2</v>
      </c>
      <c r="O283" s="40">
        <f t="shared" si="50"/>
        <v>9.7476580302135307E-3</v>
      </c>
      <c r="P283" s="40">
        <f t="shared" si="51"/>
        <v>-5.2844521509371693E-3</v>
      </c>
      <c r="Q283" s="40">
        <f t="shared" si="52"/>
        <v>-2.7658069080852051E-3</v>
      </c>
      <c r="R283" s="40">
        <f t="shared" si="53"/>
        <v>-6.43673743875494E-3</v>
      </c>
      <c r="S283" s="40">
        <f t="shared" si="54"/>
        <v>-8.7609511889862688E-3</v>
      </c>
      <c r="T283" s="41">
        <f t="shared" si="55"/>
        <v>-7.3087351172934642E-3</v>
      </c>
      <c r="V283" s="39">
        <f t="shared" si="57"/>
        <v>9.5287450475590747E-4</v>
      </c>
      <c r="W283" s="40" cm="1">
        <f t="array" ref="W283">IF(M283="","",SUMPRODUCT(M283:T283,TRANSPOSE('04_Dashboard'!$C$53:$C$60)))</f>
        <v>-2.7111500885105737E-3</v>
      </c>
      <c r="X283" s="42">
        <f t="shared" si="58"/>
        <v>1.4012309564484791</v>
      </c>
      <c r="Y283" s="118">
        <f t="shared" si="59"/>
        <v>1.3317416994190825</v>
      </c>
      <c r="AA283" s="43">
        <f>IF(X283="","",X283/MAX($X$4:X283)-1)</f>
        <v>0</v>
      </c>
      <c r="AB283" s="44">
        <f>IF(Y283="","",Y283/MAX($Y$4:Y283)-1)</f>
        <v>-1.1304849809509632E-2</v>
      </c>
    </row>
    <row r="284" spans="1:28" x14ac:dyDescent="0.45">
      <c r="A284" s="121">
        <v>45608</v>
      </c>
      <c r="B284" s="124">
        <v>596.9</v>
      </c>
      <c r="C284" s="124">
        <v>224.23</v>
      </c>
      <c r="D284" s="124">
        <v>423.03</v>
      </c>
      <c r="E284" s="124">
        <v>239.56</v>
      </c>
      <c r="F284" s="124">
        <v>120.35</v>
      </c>
      <c r="G284" s="124">
        <v>152.63999999999999</v>
      </c>
      <c r="H284" s="124">
        <v>208.91</v>
      </c>
      <c r="I284" s="124">
        <v>63.2</v>
      </c>
      <c r="J284" s="125">
        <v>84.99</v>
      </c>
      <c r="L284" s="39">
        <f t="shared" si="56"/>
        <v>-3.1064199345313876E-3</v>
      </c>
      <c r="M284" s="40">
        <f t="shared" si="48"/>
        <v>0</v>
      </c>
      <c r="N284" s="40">
        <f t="shared" si="49"/>
        <v>1.2009282074591473E-2</v>
      </c>
      <c r="O284" s="40">
        <f t="shared" si="50"/>
        <v>1.1283379999164622E-3</v>
      </c>
      <c r="P284" s="40">
        <f t="shared" si="51"/>
        <v>-9.960986137628003E-4</v>
      </c>
      <c r="Q284" s="40">
        <f t="shared" si="52"/>
        <v>-1.547987616099075E-2</v>
      </c>
      <c r="R284" s="40">
        <f t="shared" si="53"/>
        <v>1.0007735447689002E-2</v>
      </c>
      <c r="S284" s="40">
        <f t="shared" si="54"/>
        <v>-2.5252525252524713E-3</v>
      </c>
      <c r="T284" s="41">
        <f t="shared" si="55"/>
        <v>9.2625578909868323E-3</v>
      </c>
      <c r="V284" s="39">
        <f t="shared" si="57"/>
        <v>-3.1064199345313876E-3</v>
      </c>
      <c r="W284" s="40" cm="1">
        <f t="array" ref="W284">IF(M284="","",SUMPRODUCT(M284:T284,TRANSPOSE('04_Dashboard'!$C$53:$C$60)))</f>
        <v>-9.7561492873711074E-4</v>
      </c>
      <c r="X284" s="42">
        <f t="shared" si="58"/>
        <v>1.3968781446724849</v>
      </c>
      <c r="Y284" s="118">
        <f t="shared" si="59"/>
        <v>1.3304424323359074</v>
      </c>
      <c r="AA284" s="43">
        <f>IF(X284="","",X284/MAX($X$4:X284)-1)</f>
        <v>-3.1064199345314236E-3</v>
      </c>
      <c r="AB284" s="44">
        <f>IF(Y284="","",Y284/MAX($Y$4:Y284)-1)</f>
        <v>-1.2269435558005526E-2</v>
      </c>
    </row>
    <row r="285" spans="1:28" x14ac:dyDescent="0.45">
      <c r="A285" s="121">
        <v>45609</v>
      </c>
      <c r="B285" s="124">
        <v>597.19000000000005</v>
      </c>
      <c r="C285" s="124">
        <v>225.12</v>
      </c>
      <c r="D285" s="124">
        <v>425.2</v>
      </c>
      <c r="E285" s="124">
        <v>241.16</v>
      </c>
      <c r="F285" s="124">
        <v>121.47</v>
      </c>
      <c r="G285" s="124">
        <v>153.24</v>
      </c>
      <c r="H285" s="124">
        <v>214.1</v>
      </c>
      <c r="I285" s="124">
        <v>63</v>
      </c>
      <c r="J285" s="125">
        <v>85.5</v>
      </c>
      <c r="L285" s="39">
        <f t="shared" si="56"/>
        <v>4.8584352487866865E-4</v>
      </c>
      <c r="M285" s="40">
        <f t="shared" si="48"/>
        <v>3.9691388306650087E-3</v>
      </c>
      <c r="N285" s="40">
        <f t="shared" si="49"/>
        <v>5.1296598349999199E-3</v>
      </c>
      <c r="O285" s="40">
        <f t="shared" si="50"/>
        <v>6.6789113374519718E-3</v>
      </c>
      <c r="P285" s="40">
        <f t="shared" si="51"/>
        <v>9.3061902783548364E-3</v>
      </c>
      <c r="Q285" s="40">
        <f t="shared" si="52"/>
        <v>3.9308176100630423E-3</v>
      </c>
      <c r="R285" s="40">
        <f t="shared" si="53"/>
        <v>2.484323392848594E-2</v>
      </c>
      <c r="S285" s="40">
        <f t="shared" si="54"/>
        <v>-3.1645569620253611E-3</v>
      </c>
      <c r="T285" s="41">
        <f t="shared" si="55"/>
        <v>6.0007059654077557E-3</v>
      </c>
      <c r="V285" s="39">
        <f t="shared" si="57"/>
        <v>4.8584352487866865E-4</v>
      </c>
      <c r="W285" s="40" cm="1">
        <f t="array" ref="W285">IF(M285="","",SUMPRODUCT(M285:T285,TRANSPOSE('04_Dashboard'!$C$53:$C$60)))</f>
        <v>5.7791716850325581E-3</v>
      </c>
      <c r="X285" s="42">
        <f t="shared" si="58"/>
        <v>1.3975568088741186</v>
      </c>
      <c r="Y285" s="118">
        <f t="shared" si="59"/>
        <v>1.3381312875694291</v>
      </c>
      <c r="AA285" s="43">
        <f>IF(X285="","",X285/MAX($X$4:X285)-1)</f>
        <v>-2.6220856436635076E-3</v>
      </c>
      <c r="AB285" s="44">
        <f>IF(Y285="","",Y285/MAX($Y$4:Y285)-1)</f>
        <v>-6.5611710475409479E-3</v>
      </c>
    </row>
    <row r="286" spans="1:28" x14ac:dyDescent="0.45">
      <c r="A286" s="121">
        <v>45610</v>
      </c>
      <c r="B286" s="124">
        <v>593.35</v>
      </c>
      <c r="C286" s="124">
        <v>228.22</v>
      </c>
      <c r="D286" s="124">
        <v>426.89</v>
      </c>
      <c r="E286" s="124">
        <v>241.87</v>
      </c>
      <c r="F286" s="124">
        <v>120.56</v>
      </c>
      <c r="G286" s="124">
        <v>151.87</v>
      </c>
      <c r="H286" s="124">
        <v>211.48</v>
      </c>
      <c r="I286" s="124">
        <v>62.55</v>
      </c>
      <c r="J286" s="125">
        <v>84.47</v>
      </c>
      <c r="L286" s="39">
        <f t="shared" si="56"/>
        <v>-6.4301143689613552E-3</v>
      </c>
      <c r="M286" s="40">
        <f t="shared" si="48"/>
        <v>1.3770433546552925E-2</v>
      </c>
      <c r="N286" s="40">
        <f t="shared" si="49"/>
        <v>3.9746001881467491E-3</v>
      </c>
      <c r="O286" s="40">
        <f t="shared" si="50"/>
        <v>2.9441034997512356E-3</v>
      </c>
      <c r="P286" s="40">
        <f t="shared" si="51"/>
        <v>-7.4915617024779498E-3</v>
      </c>
      <c r="Q286" s="40">
        <f t="shared" si="52"/>
        <v>-8.9402244844688367E-3</v>
      </c>
      <c r="R286" s="40">
        <f t="shared" si="53"/>
        <v>-1.223727230266233E-2</v>
      </c>
      <c r="S286" s="40">
        <f t="shared" si="54"/>
        <v>-7.1428571428571877E-3</v>
      </c>
      <c r="T286" s="41">
        <f t="shared" si="55"/>
        <v>-1.2046783625731007E-2</v>
      </c>
      <c r="V286" s="39">
        <f t="shared" si="57"/>
        <v>-6.4301143689613552E-3</v>
      </c>
      <c r="W286" s="40" cm="1">
        <f t="array" ref="W286">IF(M286="","",SUMPRODUCT(M286:T286,TRANSPOSE('04_Dashboard'!$C$53:$C$60)))</f>
        <v>-4.3473492389915448E-3</v>
      </c>
      <c r="X286" s="42">
        <f t="shared" si="58"/>
        <v>1.3885703587559373</v>
      </c>
      <c r="Y286" s="118">
        <f t="shared" si="59"/>
        <v>1.3323139635347434</v>
      </c>
      <c r="AA286" s="43">
        <f>IF(X286="","",X286/MAX($X$4:X286)-1)</f>
        <v>-9.0353397020509485E-3</v>
      </c>
      <c r="AB286" s="44">
        <f>IF(Y286="","",Y286/MAX($Y$4:Y286)-1)</f>
        <v>-1.087999658457206E-2</v>
      </c>
    </row>
    <row r="287" spans="1:28" x14ac:dyDescent="0.45">
      <c r="A287" s="121">
        <v>45611</v>
      </c>
      <c r="B287" s="124">
        <v>585.75</v>
      </c>
      <c r="C287" s="124">
        <v>225</v>
      </c>
      <c r="D287" s="124">
        <v>415</v>
      </c>
      <c r="E287" s="124">
        <v>245.31</v>
      </c>
      <c r="F287" s="124">
        <v>119.31</v>
      </c>
      <c r="G287" s="124">
        <v>154</v>
      </c>
      <c r="H287" s="124">
        <v>202.61</v>
      </c>
      <c r="I287" s="124">
        <v>61.74</v>
      </c>
      <c r="J287" s="125">
        <v>84.25</v>
      </c>
      <c r="L287" s="39">
        <f t="shared" si="56"/>
        <v>-1.2808628971096355E-2</v>
      </c>
      <c r="M287" s="40">
        <f t="shared" si="48"/>
        <v>-1.4109192884059237E-2</v>
      </c>
      <c r="N287" s="40">
        <f t="shared" si="49"/>
        <v>-2.7852608400290441E-2</v>
      </c>
      <c r="O287" s="40">
        <f t="shared" si="50"/>
        <v>1.4222516227725628E-2</v>
      </c>
      <c r="P287" s="40">
        <f t="shared" si="51"/>
        <v>-1.0368281353682814E-2</v>
      </c>
      <c r="Q287" s="40">
        <f t="shared" si="52"/>
        <v>1.4025153091459771E-2</v>
      </c>
      <c r="R287" s="40">
        <f t="shared" si="53"/>
        <v>-4.1942500472857844E-2</v>
      </c>
      <c r="S287" s="40">
        <f t="shared" si="54"/>
        <v>-1.2949640287769707E-2</v>
      </c>
      <c r="T287" s="41">
        <f t="shared" si="55"/>
        <v>-2.6044749615247885E-3</v>
      </c>
      <c r="V287" s="39">
        <f t="shared" si="57"/>
        <v>-1.2808628971096355E-2</v>
      </c>
      <c r="W287" s="40" cm="1">
        <f t="array" ref="W287">IF(M287="","",SUMPRODUCT(M287:T287,TRANSPOSE('04_Dashboard'!$C$53:$C$60)))</f>
        <v>-1.7184234942619939E-3</v>
      </c>
      <c r="X287" s="42">
        <f t="shared" si="58"/>
        <v>1.3707846762303704</v>
      </c>
      <c r="Y287" s="118">
        <f t="shared" si="59"/>
        <v>1.3300244839180719</v>
      </c>
      <c r="AA287" s="43">
        <f>IF(X287="","",X287/MAX($X$4:X287)-1)</f>
        <v>-2.1728238359275842E-2</v>
      </c>
      <c r="AB287" s="44">
        <f>IF(Y287="","",Y287/MAX($Y$4:Y287)-1)</f>
        <v>-1.2579723637085705E-2</v>
      </c>
    </row>
    <row r="288" spans="1:28" x14ac:dyDescent="0.45">
      <c r="A288" s="121">
        <v>45614</v>
      </c>
      <c r="B288" s="124">
        <v>588.15</v>
      </c>
      <c r="C288" s="124">
        <v>228.02</v>
      </c>
      <c r="D288" s="124">
        <v>415.76</v>
      </c>
      <c r="E288" s="124">
        <v>245.03</v>
      </c>
      <c r="F288" s="124">
        <v>120.31</v>
      </c>
      <c r="G288" s="124">
        <v>154.77000000000001</v>
      </c>
      <c r="H288" s="124">
        <v>201.7</v>
      </c>
      <c r="I288" s="124">
        <v>61.86</v>
      </c>
      <c r="J288" s="125">
        <v>84.08</v>
      </c>
      <c r="L288" s="39">
        <f t="shared" si="56"/>
        <v>4.0973111395646222E-3</v>
      </c>
      <c r="M288" s="40">
        <f t="shared" si="48"/>
        <v>1.3422222222222268E-2</v>
      </c>
      <c r="N288" s="40">
        <f t="shared" si="49"/>
        <v>1.8313253012047974E-3</v>
      </c>
      <c r="O288" s="40">
        <f t="shared" si="50"/>
        <v>-1.1414129061187931E-3</v>
      </c>
      <c r="P288" s="40">
        <f t="shared" si="51"/>
        <v>8.3815271142402142E-3</v>
      </c>
      <c r="Q288" s="40">
        <f t="shared" si="52"/>
        <v>5.000000000000066E-3</v>
      </c>
      <c r="R288" s="40">
        <f t="shared" si="53"/>
        <v>-4.4913873945018751E-3</v>
      </c>
      <c r="S288" s="40">
        <f t="shared" si="54"/>
        <v>1.9436345966957797E-3</v>
      </c>
      <c r="T288" s="41">
        <f t="shared" si="55"/>
        <v>-2.0178041543026911E-3</v>
      </c>
      <c r="V288" s="39">
        <f t="shared" si="57"/>
        <v>4.0973111395646222E-3</v>
      </c>
      <c r="W288" s="40" cm="1">
        <f t="array" ref="W288">IF(M288="","",SUMPRODUCT(M288:T288,TRANSPOSE('04_Dashboard'!$C$53:$C$60)))</f>
        <v>1.8617528155035513E-3</v>
      </c>
      <c r="X288" s="42">
        <f t="shared" si="58"/>
        <v>1.3764012075542336</v>
      </c>
      <c r="Y288" s="118">
        <f t="shared" si="59"/>
        <v>1.3325006607456951</v>
      </c>
      <c r="AA288" s="43">
        <f>IF(X288="","",X288/MAX($X$4:X288)-1)</f>
        <v>-1.7719954572783858E-2</v>
      </c>
      <c r="AB288" s="44">
        <f>IF(Y288="","",Y288/MAX($Y$4:Y288)-1)</f>
        <v>-1.0741391157481739E-2</v>
      </c>
    </row>
    <row r="289" spans="1:28" x14ac:dyDescent="0.45">
      <c r="A289" s="121">
        <v>45615</v>
      </c>
      <c r="B289" s="124">
        <v>590.29999999999995</v>
      </c>
      <c r="C289" s="124">
        <v>228.28</v>
      </c>
      <c r="D289" s="124">
        <v>417.79</v>
      </c>
      <c r="E289" s="124">
        <v>243.09</v>
      </c>
      <c r="F289" s="124">
        <v>118.63</v>
      </c>
      <c r="G289" s="124">
        <v>153</v>
      </c>
      <c r="H289" s="124">
        <v>204.61</v>
      </c>
      <c r="I289" s="124">
        <v>62.59</v>
      </c>
      <c r="J289" s="125">
        <v>86.6</v>
      </c>
      <c r="L289" s="39">
        <f t="shared" si="56"/>
        <v>3.6555300518574807E-3</v>
      </c>
      <c r="M289" s="40">
        <f t="shared" si="48"/>
        <v>1.1402508551881015E-3</v>
      </c>
      <c r="N289" s="40">
        <f t="shared" si="49"/>
        <v>4.8826245911103268E-3</v>
      </c>
      <c r="O289" s="40">
        <f t="shared" si="50"/>
        <v>-7.9173978696486045E-3</v>
      </c>
      <c r="P289" s="40">
        <f t="shared" si="51"/>
        <v>-1.396392652314859E-2</v>
      </c>
      <c r="Q289" s="40">
        <f t="shared" si="52"/>
        <v>-1.1436324869160755E-2</v>
      </c>
      <c r="R289" s="40">
        <f t="shared" si="53"/>
        <v>1.4427367377293134E-2</v>
      </c>
      <c r="S289" s="40">
        <f t="shared" si="54"/>
        <v>1.1800840607824183E-2</v>
      </c>
      <c r="T289" s="41">
        <f t="shared" si="55"/>
        <v>2.9971455756422408E-2</v>
      </c>
      <c r="V289" s="39">
        <f t="shared" si="57"/>
        <v>3.6555300518574807E-3</v>
      </c>
      <c r="W289" s="40" cm="1">
        <f t="array" ref="W289">IF(M289="","",SUMPRODUCT(M289:T289,TRANSPOSE('04_Dashboard'!$C$53:$C$60)))</f>
        <v>1.9710265144035196E-3</v>
      </c>
      <c r="X289" s="42">
        <f t="shared" si="58"/>
        <v>1.3814326835318609</v>
      </c>
      <c r="Y289" s="118">
        <f t="shared" si="59"/>
        <v>1.335127054878485</v>
      </c>
      <c r="AA289" s="43">
        <f>IF(X289="","",X289/MAX($X$4:X289)-1)</f>
        <v>-1.4129200347384741E-2</v>
      </c>
      <c r="AB289" s="44">
        <f>IF(Y289="","",Y289/MAX($Y$4:Y289)-1)</f>
        <v>-8.7915362098511807E-3</v>
      </c>
    </row>
    <row r="290" spans="1:28" x14ac:dyDescent="0.45">
      <c r="A290" s="121">
        <v>45616</v>
      </c>
      <c r="B290" s="124">
        <v>590.5</v>
      </c>
      <c r="C290" s="124">
        <v>229</v>
      </c>
      <c r="D290" s="124">
        <v>415.49</v>
      </c>
      <c r="E290" s="124">
        <v>240.78</v>
      </c>
      <c r="F290" s="124">
        <v>120.32</v>
      </c>
      <c r="G290" s="124">
        <v>153.11000000000001</v>
      </c>
      <c r="H290" s="124">
        <v>202.88</v>
      </c>
      <c r="I290" s="124">
        <v>62.99</v>
      </c>
      <c r="J290" s="125">
        <v>87.18</v>
      </c>
      <c r="L290" s="39">
        <f t="shared" si="56"/>
        <v>3.3881077418269608E-4</v>
      </c>
      <c r="M290" s="40">
        <f t="shared" si="48"/>
        <v>3.1540213772559963E-3</v>
      </c>
      <c r="N290" s="40">
        <f t="shared" si="49"/>
        <v>-5.5051580937791984E-3</v>
      </c>
      <c r="O290" s="40">
        <f t="shared" si="50"/>
        <v>-9.5026533382697852E-3</v>
      </c>
      <c r="P290" s="40">
        <f t="shared" si="51"/>
        <v>1.4245974879878595E-2</v>
      </c>
      <c r="Q290" s="40">
        <f t="shared" si="52"/>
        <v>7.1895424836610226E-4</v>
      </c>
      <c r="R290" s="40">
        <f t="shared" si="53"/>
        <v>-8.4551097209325937E-3</v>
      </c>
      <c r="S290" s="40">
        <f t="shared" si="54"/>
        <v>6.3907972519571584E-3</v>
      </c>
      <c r="T290" s="41">
        <f t="shared" si="55"/>
        <v>6.697459584295757E-3</v>
      </c>
      <c r="V290" s="39">
        <f t="shared" si="57"/>
        <v>3.3881077418269608E-4</v>
      </c>
      <c r="W290" s="40" cm="1">
        <f t="array" ref="W290">IF(M290="","",SUMPRODUCT(M290:T290,TRANSPOSE('04_Dashboard'!$C$53:$C$60)))</f>
        <v>-3.7220730361622108E-4</v>
      </c>
      <c r="X290" s="42">
        <f t="shared" si="58"/>
        <v>1.3819007278088495</v>
      </c>
      <c r="Y290" s="118">
        <f t="shared" si="59"/>
        <v>1.3346301108374037</v>
      </c>
      <c r="AA290" s="43">
        <f>IF(X290="","",X290/MAX($X$4:X290)-1)</f>
        <v>-1.3795176698510381E-2</v>
      </c>
      <c r="AB290" s="44">
        <f>IF(Y290="","",Y290/MAX($Y$4:Y290)-1)</f>
        <v>-9.1604712394800503E-3</v>
      </c>
    </row>
    <row r="291" spans="1:28" x14ac:dyDescent="0.45">
      <c r="A291" s="121">
        <v>45617</v>
      </c>
      <c r="B291" s="124">
        <v>593.66999999999996</v>
      </c>
      <c r="C291" s="124">
        <v>228.52</v>
      </c>
      <c r="D291" s="124">
        <v>412.87</v>
      </c>
      <c r="E291" s="124">
        <v>244.76</v>
      </c>
      <c r="F291" s="124">
        <v>121.93</v>
      </c>
      <c r="G291" s="124">
        <v>155.5</v>
      </c>
      <c r="H291" s="124">
        <v>198.38</v>
      </c>
      <c r="I291" s="124">
        <v>63.76</v>
      </c>
      <c r="J291" s="125">
        <v>88.39</v>
      </c>
      <c r="L291" s="39">
        <f t="shared" si="56"/>
        <v>5.3683319220998458E-3</v>
      </c>
      <c r="M291" s="40">
        <f t="shared" si="48"/>
        <v>-2.0960698689955885E-3</v>
      </c>
      <c r="N291" s="40">
        <f t="shared" si="49"/>
        <v>-6.3058076006642866E-3</v>
      </c>
      <c r="O291" s="40">
        <f t="shared" si="50"/>
        <v>1.6529612094027701E-2</v>
      </c>
      <c r="P291" s="40">
        <f t="shared" si="51"/>
        <v>1.3380984042553305E-2</v>
      </c>
      <c r="Q291" s="40">
        <f t="shared" si="52"/>
        <v>1.5609692378028778E-2</v>
      </c>
      <c r="R291" s="40">
        <f t="shared" si="53"/>
        <v>-2.2180599369085174E-2</v>
      </c>
      <c r="S291" s="40">
        <f t="shared" si="54"/>
        <v>1.2224162565486522E-2</v>
      </c>
      <c r="T291" s="41">
        <f t="shared" si="55"/>
        <v>1.3879330121587447E-2</v>
      </c>
      <c r="V291" s="39">
        <f t="shared" si="57"/>
        <v>5.3683319220998458E-3</v>
      </c>
      <c r="W291" s="40" cm="1">
        <f t="array" ref="W291">IF(M291="","",SUMPRODUCT(M291:T291,TRANSPOSE('04_Dashboard'!$C$53:$C$60)))</f>
        <v>9.7598826557366465E-3</v>
      </c>
      <c r="X291" s="42">
        <f t="shared" si="58"/>
        <v>1.3893192295991188</v>
      </c>
      <c r="Y291" s="118">
        <f t="shared" si="59"/>
        <v>1.3476559441079894</v>
      </c>
      <c r="AA291" s="43">
        <f>IF(X291="","",X291/MAX($X$4:X291)-1)</f>
        <v>-8.5009018638522171E-3</v>
      </c>
      <c r="AB291" s="44">
        <f>IF(Y291="","",Y291/MAX($Y$4:Y291)-1)</f>
        <v>0</v>
      </c>
    </row>
    <row r="292" spans="1:28" x14ac:dyDescent="0.45">
      <c r="A292" s="121">
        <v>45618</v>
      </c>
      <c r="B292" s="124">
        <v>595.51</v>
      </c>
      <c r="C292" s="124">
        <v>229.87</v>
      </c>
      <c r="D292" s="124">
        <v>417</v>
      </c>
      <c r="E292" s="124">
        <v>248.55</v>
      </c>
      <c r="F292" s="124">
        <v>121.79</v>
      </c>
      <c r="G292" s="124">
        <v>155.16999999999999</v>
      </c>
      <c r="H292" s="124">
        <v>197.12</v>
      </c>
      <c r="I292" s="124">
        <v>63.92</v>
      </c>
      <c r="J292" s="125">
        <v>90.44</v>
      </c>
      <c r="L292" s="39">
        <f t="shared" si="56"/>
        <v>3.0993649670693012E-3</v>
      </c>
      <c r="M292" s="40">
        <f t="shared" si="48"/>
        <v>5.907579205321172E-3</v>
      </c>
      <c r="N292" s="40">
        <f t="shared" si="49"/>
        <v>1.0003148690871207E-2</v>
      </c>
      <c r="O292" s="40">
        <f t="shared" si="50"/>
        <v>1.5484556300049112E-2</v>
      </c>
      <c r="P292" s="40">
        <f t="shared" si="51"/>
        <v>-1.1481997867629013E-3</v>
      </c>
      <c r="Q292" s="40">
        <f t="shared" si="52"/>
        <v>-2.1221864951769293E-3</v>
      </c>
      <c r="R292" s="40">
        <f t="shared" si="53"/>
        <v>-6.3514467184191499E-3</v>
      </c>
      <c r="S292" s="40">
        <f t="shared" si="54"/>
        <v>2.5094102885822411E-3</v>
      </c>
      <c r="T292" s="41">
        <f t="shared" si="55"/>
        <v>2.3192668853942722E-2</v>
      </c>
      <c r="V292" s="39">
        <f t="shared" si="57"/>
        <v>3.0993649670693012E-3</v>
      </c>
      <c r="W292" s="40" cm="1">
        <f t="array" ref="W292">IF(M292="","",SUMPRODUCT(M292:T292,TRANSPOSE('04_Dashboard'!$C$53:$C$60)))</f>
        <v>7.2293503143045336E-3</v>
      </c>
      <c r="X292" s="42">
        <f t="shared" si="58"/>
        <v>1.3936252369474138</v>
      </c>
      <c r="Y292" s="118">
        <f t="shared" si="59"/>
        <v>1.3573986210311009</v>
      </c>
      <c r="AA292" s="43">
        <f>IF(X292="","",X292/MAX($X$4:X292)-1)</f>
        <v>-5.4278842942083738E-3</v>
      </c>
      <c r="AB292" s="44">
        <f>IF(Y292="","",Y292/MAX($Y$4:Y292)-1)</f>
        <v>0</v>
      </c>
    </row>
    <row r="293" spans="1:28" x14ac:dyDescent="0.45">
      <c r="A293" s="121">
        <v>45621</v>
      </c>
      <c r="B293" s="124">
        <v>597.53</v>
      </c>
      <c r="C293" s="124">
        <v>232.87</v>
      </c>
      <c r="D293" s="124">
        <v>418.79</v>
      </c>
      <c r="E293" s="124">
        <v>250.29</v>
      </c>
      <c r="F293" s="124">
        <v>119.97</v>
      </c>
      <c r="G293" s="124">
        <v>155.78</v>
      </c>
      <c r="H293" s="124">
        <v>201.45</v>
      </c>
      <c r="I293" s="124">
        <v>64.38</v>
      </c>
      <c r="J293" s="125">
        <v>89.5</v>
      </c>
      <c r="L293" s="39">
        <f t="shared" si="56"/>
        <v>3.3920505113263955E-3</v>
      </c>
      <c r="M293" s="40">
        <f t="shared" si="48"/>
        <v>1.3050854830991429E-2</v>
      </c>
      <c r="N293" s="40">
        <f t="shared" si="49"/>
        <v>4.292565947242255E-3</v>
      </c>
      <c r="O293" s="40">
        <f t="shared" si="50"/>
        <v>7.0006035003016718E-3</v>
      </c>
      <c r="P293" s="40">
        <f t="shared" si="51"/>
        <v>-1.4943755644962701E-2</v>
      </c>
      <c r="Q293" s="40">
        <f t="shared" si="52"/>
        <v>3.9311722626797297E-3</v>
      </c>
      <c r="R293" s="40">
        <f t="shared" si="53"/>
        <v>2.1966314935064853E-2</v>
      </c>
      <c r="S293" s="40">
        <f t="shared" si="54"/>
        <v>7.1964956195243075E-3</v>
      </c>
      <c r="T293" s="41">
        <f t="shared" si="55"/>
        <v>-1.0393631136665167E-2</v>
      </c>
      <c r="V293" s="39">
        <f t="shared" si="57"/>
        <v>3.3920505113263955E-3</v>
      </c>
      <c r="W293" s="40" cm="1">
        <f t="array" ref="W293">IF(M293="","",SUMPRODUCT(M293:T293,TRANSPOSE('04_Dashboard'!$C$53:$C$60)))</f>
        <v>4.022334496662186E-3</v>
      </c>
      <c r="X293" s="42">
        <f t="shared" si="58"/>
        <v>1.3983524841449986</v>
      </c>
      <c r="Y293" s="118">
        <f t="shared" si="59"/>
        <v>1.3628585323301958</v>
      </c>
      <c r="AA293" s="43">
        <f>IF(X293="","",X293/MAX($X$4:X293)-1)</f>
        <v>-2.05424544057764E-3</v>
      </c>
      <c r="AB293" s="44">
        <f>IF(Y293="","",Y293/MAX($Y$4:Y293)-1)</f>
        <v>0</v>
      </c>
    </row>
    <row r="294" spans="1:28" x14ac:dyDescent="0.45">
      <c r="A294" s="121">
        <v>45622</v>
      </c>
      <c r="B294" s="124">
        <v>600.65</v>
      </c>
      <c r="C294" s="124">
        <v>235.06</v>
      </c>
      <c r="D294" s="124">
        <v>427.99</v>
      </c>
      <c r="E294" s="124">
        <v>249.97</v>
      </c>
      <c r="F294" s="124">
        <v>117.97</v>
      </c>
      <c r="G294" s="124">
        <v>154.52000000000001</v>
      </c>
      <c r="H294" s="124">
        <v>207.86</v>
      </c>
      <c r="I294" s="124">
        <v>64.55</v>
      </c>
      <c r="J294" s="125">
        <v>91.31</v>
      </c>
      <c r="L294" s="39">
        <f t="shared" si="56"/>
        <v>5.2214951550549841E-3</v>
      </c>
      <c r="M294" s="40">
        <f t="shared" si="48"/>
        <v>9.4043887147335324E-3</v>
      </c>
      <c r="N294" s="40">
        <f t="shared" si="49"/>
        <v>2.1968050813056635E-2</v>
      </c>
      <c r="O294" s="40">
        <f t="shared" si="50"/>
        <v>-1.2785169203723408E-3</v>
      </c>
      <c r="P294" s="40">
        <f t="shared" si="51"/>
        <v>-1.6670834375260481E-2</v>
      </c>
      <c r="Q294" s="40">
        <f t="shared" si="52"/>
        <v>-8.088329695724681E-3</v>
      </c>
      <c r="R294" s="40">
        <f t="shared" si="53"/>
        <v>3.1819310002482129E-2</v>
      </c>
      <c r="S294" s="40">
        <f t="shared" si="54"/>
        <v>2.6405716060888739E-3</v>
      </c>
      <c r="T294" s="41">
        <f t="shared" si="55"/>
        <v>2.0223463687150865E-2</v>
      </c>
      <c r="V294" s="39">
        <f t="shared" si="57"/>
        <v>5.2214951550549841E-3</v>
      </c>
      <c r="W294" s="40" cm="1">
        <f t="array" ref="W294">IF(M294="","",SUMPRODUCT(M294:T294,TRANSPOSE('04_Dashboard'!$C$53:$C$60)))</f>
        <v>4.4760321018273968E-3</v>
      </c>
      <c r="X294" s="42">
        <f t="shared" si="58"/>
        <v>1.4056539748660206</v>
      </c>
      <c r="Y294" s="118">
        <f t="shared" si="59"/>
        <v>1.368958730871155</v>
      </c>
      <c r="AA294" s="43">
        <f>IF(X294="","",X294/MAX($X$4:X294)-1)</f>
        <v>0</v>
      </c>
      <c r="AB294" s="44">
        <f>IF(Y294="","",Y294/MAX($Y$4:Y294)-1)</f>
        <v>0</v>
      </c>
    </row>
    <row r="295" spans="1:28" x14ac:dyDescent="0.45">
      <c r="A295" s="121">
        <v>45623</v>
      </c>
      <c r="B295" s="124">
        <v>598.83000000000004</v>
      </c>
      <c r="C295" s="124">
        <v>234.93</v>
      </c>
      <c r="D295" s="124">
        <v>422.99</v>
      </c>
      <c r="E295" s="124">
        <v>249.79</v>
      </c>
      <c r="F295" s="124">
        <v>117.66</v>
      </c>
      <c r="G295" s="124">
        <v>155.4</v>
      </c>
      <c r="H295" s="124">
        <v>205.74</v>
      </c>
      <c r="I295" s="124">
        <v>64.430000000000007</v>
      </c>
      <c r="J295" s="125">
        <v>91.88</v>
      </c>
      <c r="L295" s="39">
        <f t="shared" si="56"/>
        <v>-3.0300507783233769E-3</v>
      </c>
      <c r="M295" s="40">
        <f t="shared" si="48"/>
        <v>-5.530502850335891E-4</v>
      </c>
      <c r="N295" s="40">
        <f t="shared" si="49"/>
        <v>-1.1682515946634267E-2</v>
      </c>
      <c r="O295" s="40">
        <f t="shared" si="50"/>
        <v>-7.2008641036927165E-4</v>
      </c>
      <c r="P295" s="40">
        <f t="shared" si="51"/>
        <v>-2.62778672543869E-3</v>
      </c>
      <c r="Q295" s="40">
        <f t="shared" si="52"/>
        <v>5.6950556562257015E-3</v>
      </c>
      <c r="R295" s="40">
        <f t="shared" si="53"/>
        <v>-1.0199172519965383E-2</v>
      </c>
      <c r="S295" s="40">
        <f t="shared" si="54"/>
        <v>-1.8590240123933439E-3</v>
      </c>
      <c r="T295" s="41">
        <f t="shared" si="55"/>
        <v>6.2424707041944276E-3</v>
      </c>
      <c r="V295" s="39">
        <f t="shared" si="57"/>
        <v>-3.0300507783233769E-3</v>
      </c>
      <c r="W295" s="40" cm="1">
        <f t="array" ref="W295">IF(M295="","",SUMPRODUCT(M295:T295,TRANSPOSE('04_Dashboard'!$C$53:$C$60)))</f>
        <v>9.322875053494376E-5</v>
      </c>
      <c r="X295" s="42">
        <f t="shared" si="58"/>
        <v>1.4013947719454245</v>
      </c>
      <c r="Y295" s="118">
        <f t="shared" si="59"/>
        <v>1.369086357183168</v>
      </c>
      <c r="AA295" s="43">
        <f>IF(X295="","",X295/MAX($X$4:X295)-1)</f>
        <v>-3.0300507783234121E-3</v>
      </c>
      <c r="AB295" s="44">
        <f>IF(Y295="","",Y295/MAX($Y$4:Y295)-1)</f>
        <v>0</v>
      </c>
    </row>
    <row r="296" spans="1:28" x14ac:dyDescent="0.45">
      <c r="A296" s="121">
        <v>45625</v>
      </c>
      <c r="B296" s="124">
        <v>602.54999999999995</v>
      </c>
      <c r="C296" s="124">
        <v>237.33</v>
      </c>
      <c r="D296" s="124">
        <v>423.46</v>
      </c>
      <c r="E296" s="124">
        <v>249.72</v>
      </c>
      <c r="F296" s="124">
        <v>117.96</v>
      </c>
      <c r="G296" s="124">
        <v>155.01</v>
      </c>
      <c r="H296" s="124">
        <v>207.89</v>
      </c>
      <c r="I296" s="124">
        <v>64.08</v>
      </c>
      <c r="J296" s="125">
        <v>92.5</v>
      </c>
      <c r="L296" s="39">
        <f t="shared" si="56"/>
        <v>6.2121136215619009E-3</v>
      </c>
      <c r="M296" s="40">
        <f t="shared" si="48"/>
        <v>1.0215808964372391E-2</v>
      </c>
      <c r="N296" s="40">
        <f t="shared" si="49"/>
        <v>1.1111373791341886E-3</v>
      </c>
      <c r="O296" s="40">
        <f t="shared" si="50"/>
        <v>-2.8023539773406936E-4</v>
      </c>
      <c r="P296" s="40">
        <f t="shared" si="51"/>
        <v>2.5497195308515821E-3</v>
      </c>
      <c r="Q296" s="40">
        <f t="shared" si="52"/>
        <v>-2.5096525096526046E-3</v>
      </c>
      <c r="R296" s="40">
        <f t="shared" si="53"/>
        <v>1.0450082628560209E-2</v>
      </c>
      <c r="S296" s="40">
        <f t="shared" si="54"/>
        <v>-5.4322520564955533E-3</v>
      </c>
      <c r="T296" s="41">
        <f t="shared" si="55"/>
        <v>6.7479320853287396E-3</v>
      </c>
      <c r="V296" s="39">
        <f t="shared" si="57"/>
        <v>6.2121136215619009E-3</v>
      </c>
      <c r="W296" s="40" cm="1">
        <f t="array" ref="W296">IF(M296="","",SUMPRODUCT(M296:T296,TRANSPOSE('04_Dashboard'!$C$53:$C$60)))</f>
        <v>1.0596405950517634E-3</v>
      </c>
      <c r="X296" s="42">
        <f t="shared" si="58"/>
        <v>1.4101003954974123</v>
      </c>
      <c r="Y296" s="118">
        <f t="shared" si="59"/>
        <v>1.3705370966653709</v>
      </c>
      <c r="AA296" s="43">
        <f>IF(X296="","",X296/MAX($X$4:X296)-1)</f>
        <v>0</v>
      </c>
      <c r="AB296" s="44">
        <f>IF(Y296="","",Y296/MAX($Y$4:Y296)-1)</f>
        <v>0</v>
      </c>
    </row>
    <row r="297" spans="1:28" x14ac:dyDescent="0.45">
      <c r="A297" s="121">
        <v>45628</v>
      </c>
      <c r="B297" s="124">
        <v>603.63</v>
      </c>
      <c r="C297" s="124">
        <v>239.59</v>
      </c>
      <c r="D297" s="124">
        <v>430.98</v>
      </c>
      <c r="E297" s="124">
        <v>246.25</v>
      </c>
      <c r="F297" s="124">
        <v>117.85</v>
      </c>
      <c r="G297" s="124">
        <v>154.80000000000001</v>
      </c>
      <c r="H297" s="124">
        <v>210.71</v>
      </c>
      <c r="I297" s="124">
        <v>63.65</v>
      </c>
      <c r="J297" s="125">
        <v>92.64</v>
      </c>
      <c r="L297" s="39">
        <f t="shared" si="56"/>
        <v>1.7923823749067147E-3</v>
      </c>
      <c r="M297" s="40">
        <f t="shared" si="48"/>
        <v>9.5226056545737615E-3</v>
      </c>
      <c r="N297" s="40">
        <f t="shared" si="49"/>
        <v>1.7758465970811974E-2</v>
      </c>
      <c r="O297" s="40">
        <f t="shared" si="50"/>
        <v>-1.3895563030594261E-2</v>
      </c>
      <c r="P297" s="40">
        <f t="shared" si="51"/>
        <v>-9.3251949813495628E-4</v>
      </c>
      <c r="Q297" s="40">
        <f t="shared" si="52"/>
        <v>-1.3547513063671991E-3</v>
      </c>
      <c r="R297" s="40">
        <f t="shared" si="53"/>
        <v>1.3564866034922419E-2</v>
      </c>
      <c r="S297" s="40">
        <f t="shared" si="54"/>
        <v>-6.7103620474406947E-3</v>
      </c>
      <c r="T297" s="41">
        <f t="shared" si="55"/>
        <v>1.5135135135135197E-3</v>
      </c>
      <c r="V297" s="39">
        <f t="shared" si="57"/>
        <v>1.7923823749067147E-3</v>
      </c>
      <c r="W297" s="40" cm="1">
        <f t="array" ref="W297">IF(M297="","",SUMPRODUCT(M297:T297,TRANSPOSE('04_Dashboard'!$C$53:$C$60)))</f>
        <v>-1.650404400482228E-3</v>
      </c>
      <c r="X297" s="42">
        <f t="shared" si="58"/>
        <v>1.4126278345931507</v>
      </c>
      <c r="Y297" s="118">
        <f t="shared" si="59"/>
        <v>1.3682751562100102</v>
      </c>
      <c r="AA297" s="43">
        <f>IF(X297="","",X297/MAX($X$4:X297)-1)</f>
        <v>0</v>
      </c>
      <c r="AB297" s="44">
        <f>IF(Y297="","",Y297/MAX($Y$4:Y297)-1)</f>
        <v>-1.6504044004822527E-3</v>
      </c>
    </row>
    <row r="298" spans="1:28" x14ac:dyDescent="0.45">
      <c r="A298" s="121">
        <v>45629</v>
      </c>
      <c r="B298" s="124">
        <v>603.91</v>
      </c>
      <c r="C298" s="124">
        <v>242.65</v>
      </c>
      <c r="D298" s="124">
        <v>431.2</v>
      </c>
      <c r="E298" s="124">
        <v>244.82</v>
      </c>
      <c r="F298" s="124">
        <v>117.67</v>
      </c>
      <c r="G298" s="124">
        <v>152.36000000000001</v>
      </c>
      <c r="H298" s="124">
        <v>213.44</v>
      </c>
      <c r="I298" s="124">
        <v>63.52</v>
      </c>
      <c r="J298" s="125">
        <v>93.51</v>
      </c>
      <c r="L298" s="39">
        <f t="shared" si="56"/>
        <v>4.6386031178035009E-4</v>
      </c>
      <c r="M298" s="40">
        <f t="shared" si="48"/>
        <v>1.2771818523310665E-2</v>
      </c>
      <c r="N298" s="40">
        <f t="shared" si="49"/>
        <v>5.1046452271560265E-4</v>
      </c>
      <c r="O298" s="40">
        <f t="shared" si="50"/>
        <v>-5.8071065989847995E-3</v>
      </c>
      <c r="P298" s="40">
        <f t="shared" si="51"/>
        <v>-1.527365294866293E-3</v>
      </c>
      <c r="Q298" s="40">
        <f t="shared" si="52"/>
        <v>-1.576227390180877E-2</v>
      </c>
      <c r="R298" s="40">
        <f t="shared" si="53"/>
        <v>1.2956195719234918E-2</v>
      </c>
      <c r="S298" s="40">
        <f t="shared" si="54"/>
        <v>-2.0424194815395987E-3</v>
      </c>
      <c r="T298" s="41">
        <f t="shared" si="55"/>
        <v>9.3911917098446086E-3</v>
      </c>
      <c r="V298" s="39">
        <f t="shared" si="57"/>
        <v>4.6386031178035009E-4</v>
      </c>
      <c r="W298" s="40" cm="1">
        <f t="array" ref="W298">IF(M298="","",SUMPRODUCT(M298:T298,TRANSPOSE('04_Dashboard'!$C$53:$C$60)))</f>
        <v>-2.4900221306221552E-3</v>
      </c>
      <c r="X298" s="42">
        <f t="shared" si="58"/>
        <v>1.4132830965809347</v>
      </c>
      <c r="Y298" s="118">
        <f t="shared" si="59"/>
        <v>1.3648681207902669</v>
      </c>
      <c r="AA298" s="43">
        <f>IF(X298="","",X298/MAX($X$4:X298)-1)</f>
        <v>0</v>
      </c>
      <c r="AB298" s="44">
        <f>IF(Y298="","",Y298/MAX($Y$4:Y298)-1)</f>
        <v>-4.1363169876227346E-3</v>
      </c>
    </row>
    <row r="299" spans="1:28" x14ac:dyDescent="0.45">
      <c r="A299" s="121">
        <v>45630</v>
      </c>
      <c r="B299" s="124">
        <v>607.66</v>
      </c>
      <c r="C299" s="124">
        <v>243.01</v>
      </c>
      <c r="D299" s="124">
        <v>437.42</v>
      </c>
      <c r="E299" s="124">
        <v>243.4</v>
      </c>
      <c r="F299" s="124">
        <v>114.28</v>
      </c>
      <c r="G299" s="124">
        <v>150.47</v>
      </c>
      <c r="H299" s="124">
        <v>218.16</v>
      </c>
      <c r="I299" s="124">
        <v>62.21</v>
      </c>
      <c r="J299" s="125">
        <v>94.45</v>
      </c>
      <c r="L299" s="39">
        <f t="shared" si="56"/>
        <v>6.2095345332913851E-3</v>
      </c>
      <c r="M299" s="40">
        <f t="shared" si="48"/>
        <v>1.4836183803832071E-3</v>
      </c>
      <c r="N299" s="40">
        <f t="shared" si="49"/>
        <v>1.4424860853432345E-2</v>
      </c>
      <c r="O299" s="40">
        <f t="shared" si="50"/>
        <v>-5.8001797238787173E-3</v>
      </c>
      <c r="P299" s="40">
        <f t="shared" si="51"/>
        <v>-2.8809382170476763E-2</v>
      </c>
      <c r="Q299" s="40">
        <f t="shared" si="52"/>
        <v>-1.2404830664216425E-2</v>
      </c>
      <c r="R299" s="40">
        <f t="shared" si="53"/>
        <v>2.2113943028485752E-2</v>
      </c>
      <c r="S299" s="40">
        <f t="shared" si="54"/>
        <v>-2.0623425692695249E-2</v>
      </c>
      <c r="T299" s="41">
        <f t="shared" si="55"/>
        <v>1.0052400812747275E-2</v>
      </c>
      <c r="V299" s="39">
        <f t="shared" si="57"/>
        <v>6.2095345332913851E-3</v>
      </c>
      <c r="W299" s="40" cm="1">
        <f t="array" ref="W299">IF(M299="","",SUMPRODUCT(M299:T299,TRANSPOSE('04_Dashboard'!$C$53:$C$60)))</f>
        <v>-4.5347195313784157E-3</v>
      </c>
      <c r="X299" s="42">
        <f t="shared" si="58"/>
        <v>1.4220589267744708</v>
      </c>
      <c r="Y299" s="118">
        <f t="shared" si="59"/>
        <v>1.3586788266651635</v>
      </c>
      <c r="AA299" s="43">
        <f>IF(X299="","",X299/MAX($X$4:X299)-1)</f>
        <v>0</v>
      </c>
      <c r="AB299" s="44">
        <f>IF(Y299="","",Y299/MAX($Y$4:Y299)-1)</f>
        <v>-8.6522794815693249E-3</v>
      </c>
    </row>
    <row r="300" spans="1:28" x14ac:dyDescent="0.45">
      <c r="A300" s="121">
        <v>45631</v>
      </c>
      <c r="B300" s="124">
        <v>606.66</v>
      </c>
      <c r="C300" s="124">
        <v>243.04</v>
      </c>
      <c r="D300" s="124">
        <v>442.62</v>
      </c>
      <c r="E300" s="124">
        <v>245.48</v>
      </c>
      <c r="F300" s="124">
        <v>114.78</v>
      </c>
      <c r="G300" s="124">
        <v>149.52000000000001</v>
      </c>
      <c r="H300" s="124">
        <v>220.55</v>
      </c>
      <c r="I300" s="124">
        <v>62.92</v>
      </c>
      <c r="J300" s="125">
        <v>95.3</v>
      </c>
      <c r="L300" s="39">
        <f t="shared" si="56"/>
        <v>-1.6456571108843761E-3</v>
      </c>
      <c r="M300" s="40">
        <f t="shared" si="48"/>
        <v>1.2345170980618549E-4</v>
      </c>
      <c r="N300" s="40">
        <f t="shared" si="49"/>
        <v>1.1887888070961521E-2</v>
      </c>
      <c r="O300" s="40">
        <f t="shared" si="50"/>
        <v>8.545603944124831E-3</v>
      </c>
      <c r="P300" s="40">
        <f t="shared" si="51"/>
        <v>4.3752187609380471E-3</v>
      </c>
      <c r="Q300" s="40">
        <f t="shared" si="52"/>
        <v>-6.3135508739282824E-3</v>
      </c>
      <c r="R300" s="40">
        <f t="shared" si="53"/>
        <v>1.0955262192886023E-2</v>
      </c>
      <c r="S300" s="40">
        <f t="shared" si="54"/>
        <v>1.1412956116380017E-2</v>
      </c>
      <c r="T300" s="41">
        <f t="shared" si="55"/>
        <v>8.9994706193752706E-3</v>
      </c>
      <c r="V300" s="39">
        <f t="shared" si="57"/>
        <v>-1.6456571108843761E-3</v>
      </c>
      <c r="W300" s="40" cm="1">
        <f t="array" ref="W300">IF(M300="","",SUMPRODUCT(M300:T300,TRANSPOSE('04_Dashboard'!$C$53:$C$60)))</f>
        <v>5.1967162938022149E-3</v>
      </c>
      <c r="X300" s="42">
        <f t="shared" si="58"/>
        <v>1.4197187053895277</v>
      </c>
      <c r="Y300" s="118">
        <f t="shared" si="59"/>
        <v>1.3657394950617385</v>
      </c>
      <c r="AA300" s="43">
        <f>IF(X300="","",X300/MAX($X$4:X300)-1)</f>
        <v>-1.6456571108843798E-3</v>
      </c>
      <c r="AB300" s="44">
        <f>IF(Y300="","",Y300/MAX($Y$4:Y300)-1)</f>
        <v>-3.5005266295274895E-3</v>
      </c>
    </row>
    <row r="301" spans="1:28" x14ac:dyDescent="0.45">
      <c r="A301" s="121">
        <v>45632</v>
      </c>
      <c r="B301" s="124">
        <v>607.80999999999995</v>
      </c>
      <c r="C301" s="124">
        <v>242.84</v>
      </c>
      <c r="D301" s="124">
        <v>443.57</v>
      </c>
      <c r="E301" s="124">
        <v>247.36</v>
      </c>
      <c r="F301" s="124">
        <v>113.57</v>
      </c>
      <c r="G301" s="124">
        <v>149.31</v>
      </c>
      <c r="H301" s="124">
        <v>227.03</v>
      </c>
      <c r="I301" s="124">
        <v>62.53</v>
      </c>
      <c r="J301" s="125">
        <v>95.7</v>
      </c>
      <c r="L301" s="39">
        <f t="shared" si="56"/>
        <v>1.8956252266508049E-3</v>
      </c>
      <c r="M301" s="40">
        <f t="shared" si="48"/>
        <v>-8.2290980908487758E-4</v>
      </c>
      <c r="N301" s="40">
        <f t="shared" si="49"/>
        <v>2.1463106050336376E-3</v>
      </c>
      <c r="O301" s="40">
        <f t="shared" si="50"/>
        <v>7.6584650480691864E-3</v>
      </c>
      <c r="P301" s="40">
        <f t="shared" si="51"/>
        <v>-1.0541906255445269E-2</v>
      </c>
      <c r="Q301" s="40">
        <f t="shared" si="52"/>
        <v>-1.404494382022525E-3</v>
      </c>
      <c r="R301" s="40">
        <f t="shared" si="53"/>
        <v>2.9381092722738561E-2</v>
      </c>
      <c r="S301" s="40">
        <f t="shared" si="54"/>
        <v>-6.1983471074380254E-3</v>
      </c>
      <c r="T301" s="41">
        <f t="shared" si="55"/>
        <v>4.1972717733473842E-3</v>
      </c>
      <c r="V301" s="39">
        <f t="shared" si="57"/>
        <v>1.8956252266508049E-3</v>
      </c>
      <c r="W301" s="40" cm="1">
        <f t="array" ref="W301">IF(M301="","",SUMPRODUCT(M301:T301,TRANSPOSE('04_Dashboard'!$C$53:$C$60)))</f>
        <v>2.9425516410074987E-3</v>
      </c>
      <c r="X301" s="42">
        <f t="shared" si="58"/>
        <v>1.4224099599822122</v>
      </c>
      <c r="Y301" s="118">
        <f t="shared" si="59"/>
        <v>1.3697582540541213</v>
      </c>
      <c r="AA301" s="43">
        <f>IF(X301="","",X301/MAX($X$4:X301)-1)</f>
        <v>0</v>
      </c>
      <c r="AB301" s="44">
        <f>IF(Y301="","",Y301/MAX($Y$4:Y301)-1)</f>
        <v>-5.6827546889803848E-4</v>
      </c>
    </row>
    <row r="302" spans="1:28" x14ac:dyDescent="0.45">
      <c r="A302" s="121">
        <v>45635</v>
      </c>
      <c r="B302" s="124">
        <v>604.67999999999995</v>
      </c>
      <c r="C302" s="124">
        <v>246.75</v>
      </c>
      <c r="D302" s="124">
        <v>446.02</v>
      </c>
      <c r="E302" s="124">
        <v>243.81</v>
      </c>
      <c r="F302" s="124">
        <v>112.9</v>
      </c>
      <c r="G302" s="124">
        <v>149.6</v>
      </c>
      <c r="H302" s="124">
        <v>226.09</v>
      </c>
      <c r="I302" s="124">
        <v>62.6</v>
      </c>
      <c r="J302" s="125">
        <v>93.83</v>
      </c>
      <c r="L302" s="39">
        <f t="shared" si="56"/>
        <v>-5.1496355769072499E-3</v>
      </c>
      <c r="M302" s="40">
        <f t="shared" si="48"/>
        <v>1.6101136550815336E-2</v>
      </c>
      <c r="N302" s="40">
        <f t="shared" si="49"/>
        <v>5.5233672250151918E-3</v>
      </c>
      <c r="O302" s="40">
        <f t="shared" si="50"/>
        <v>-1.4351552393273008E-2</v>
      </c>
      <c r="P302" s="40">
        <f t="shared" si="51"/>
        <v>-5.8994452760410985E-3</v>
      </c>
      <c r="Q302" s="40">
        <f t="shared" si="52"/>
        <v>1.9422677650525219E-3</v>
      </c>
      <c r="R302" s="40">
        <f t="shared" si="53"/>
        <v>-4.1404219706646598E-3</v>
      </c>
      <c r="S302" s="40">
        <f t="shared" si="54"/>
        <v>1.1194626579242009E-3</v>
      </c>
      <c r="T302" s="41">
        <f t="shared" si="55"/>
        <v>-1.954022988505752E-2</v>
      </c>
      <c r="V302" s="39">
        <f t="shared" si="57"/>
        <v>-5.1496355769072499E-3</v>
      </c>
      <c r="W302" s="40" cm="1">
        <f t="array" ref="W302">IF(M302="","",SUMPRODUCT(M302:T302,TRANSPOSE('04_Dashboard'!$C$53:$C$60)))</f>
        <v>-4.8462852119945709E-3</v>
      </c>
      <c r="X302" s="42">
        <f t="shared" si="58"/>
        <v>1.4150850670473405</v>
      </c>
      <c r="Y302" s="118">
        <f t="shared" si="59"/>
        <v>1.3631200148834912</v>
      </c>
      <c r="AA302" s="43">
        <f>IF(X302="","",X302/MAX($X$4:X302)-1)</f>
        <v>-5.1496355769072855E-3</v>
      </c>
      <c r="AB302" s="44">
        <f>IF(Y302="","",Y302/MAX($Y$4:Y302)-1)</f>
        <v>-5.4118066558913602E-3</v>
      </c>
    </row>
    <row r="303" spans="1:28" x14ac:dyDescent="0.45">
      <c r="A303" s="121">
        <v>45636</v>
      </c>
      <c r="B303" s="124">
        <v>602.79999999999995</v>
      </c>
      <c r="C303" s="124">
        <v>247.77</v>
      </c>
      <c r="D303" s="124">
        <v>443.33</v>
      </c>
      <c r="E303" s="124">
        <v>242.86</v>
      </c>
      <c r="F303" s="124">
        <v>112.67</v>
      </c>
      <c r="G303" s="124">
        <v>149.22999999999999</v>
      </c>
      <c r="H303" s="124">
        <v>225.04</v>
      </c>
      <c r="I303" s="124">
        <v>62.91</v>
      </c>
      <c r="J303" s="125">
        <v>94.55</v>
      </c>
      <c r="L303" s="39">
        <f t="shared" si="56"/>
        <v>-3.1090824899120124E-3</v>
      </c>
      <c r="M303" s="40">
        <f t="shared" si="48"/>
        <v>4.1337386018237493E-3</v>
      </c>
      <c r="N303" s="40">
        <f t="shared" si="49"/>
        <v>-6.0311196807318005E-3</v>
      </c>
      <c r="O303" s="40">
        <f t="shared" si="50"/>
        <v>-3.8964767646937721E-3</v>
      </c>
      <c r="P303" s="40">
        <f t="shared" si="51"/>
        <v>-2.0372010628875461E-3</v>
      </c>
      <c r="Q303" s="40">
        <f t="shared" si="52"/>
        <v>-2.4732620320855919E-3</v>
      </c>
      <c r="R303" s="40">
        <f t="shared" si="53"/>
        <v>-4.644168251581279E-3</v>
      </c>
      <c r="S303" s="40">
        <f t="shared" si="54"/>
        <v>4.9520766773162167E-3</v>
      </c>
      <c r="T303" s="41">
        <f t="shared" si="55"/>
        <v>7.6734519876372042E-3</v>
      </c>
      <c r="V303" s="39">
        <f t="shared" si="57"/>
        <v>-3.1090824899120124E-3</v>
      </c>
      <c r="W303" s="40" cm="1">
        <f t="array" ref="W303">IF(M303="","",SUMPRODUCT(M303:T303,TRANSPOSE('04_Dashboard'!$C$53:$C$60)))</f>
        <v>-3.8272892811613184E-4</v>
      </c>
      <c r="X303" s="42">
        <f t="shared" si="58"/>
        <v>1.4106854508436475</v>
      </c>
      <c r="Y303" s="118">
        <f t="shared" si="59"/>
        <v>1.3625983094213012</v>
      </c>
      <c r="AA303" s="43">
        <f>IF(X303="","",X303/MAX($X$4:X303)-1)</f>
        <v>-8.24270742501787E-3</v>
      </c>
      <c r="AB303" s="44">
        <f>IF(Y303="","",Y303/MAX($Y$4:Y303)-1)</f>
        <v>-5.792464329046898E-3</v>
      </c>
    </row>
    <row r="304" spans="1:28" x14ac:dyDescent="0.45">
      <c r="A304" s="121">
        <v>45637</v>
      </c>
      <c r="B304" s="124">
        <v>607.46</v>
      </c>
      <c r="C304" s="124">
        <v>246.49</v>
      </c>
      <c r="D304" s="124">
        <v>448.99</v>
      </c>
      <c r="E304" s="124">
        <v>243.53</v>
      </c>
      <c r="F304" s="124">
        <v>111.92</v>
      </c>
      <c r="G304" s="124">
        <v>146.63999999999999</v>
      </c>
      <c r="H304" s="124">
        <v>230.26</v>
      </c>
      <c r="I304" s="124">
        <v>62.64</v>
      </c>
      <c r="J304" s="125">
        <v>94.96</v>
      </c>
      <c r="L304" s="39">
        <f t="shared" si="56"/>
        <v>7.7305905773060422E-3</v>
      </c>
      <c r="M304" s="40">
        <f t="shared" si="48"/>
        <v>-5.166081446502809E-3</v>
      </c>
      <c r="N304" s="40">
        <f t="shared" si="49"/>
        <v>1.2767013285814236E-2</v>
      </c>
      <c r="O304" s="40">
        <f t="shared" si="50"/>
        <v>2.7587910730461477E-3</v>
      </c>
      <c r="P304" s="40">
        <f t="shared" si="51"/>
        <v>-6.656607792668856E-3</v>
      </c>
      <c r="Q304" s="40">
        <f t="shared" si="52"/>
        <v>-1.7355759565770981E-2</v>
      </c>
      <c r="R304" s="40">
        <f t="shared" si="53"/>
        <v>2.3195876288659791E-2</v>
      </c>
      <c r="S304" s="40">
        <f t="shared" si="54"/>
        <v>-4.2918454935621684E-3</v>
      </c>
      <c r="T304" s="41">
        <f t="shared" si="55"/>
        <v>4.3363299841353425E-3</v>
      </c>
      <c r="V304" s="39">
        <f t="shared" si="57"/>
        <v>7.7305905773060422E-3</v>
      </c>
      <c r="W304" s="40" cm="1">
        <f t="array" ref="W304">IF(M304="","",SUMPRODUCT(M304:T304,TRANSPOSE('04_Dashboard'!$C$53:$C$60)))</f>
        <v>-1.5142974451317162E-3</v>
      </c>
      <c r="X304" s="42">
        <f t="shared" si="58"/>
        <v>1.4215908824974821</v>
      </c>
      <c r="Y304" s="118">
        <f t="shared" si="59"/>
        <v>1.3605349302826037</v>
      </c>
      <c r="AA304" s="43">
        <f>IF(X304="","",X304/MAX($X$4:X304)-1)</f>
        <v>-5.7583784406312066E-4</v>
      </c>
      <c r="AB304" s="44">
        <f>IF(Y304="","",Y304/MAX($Y$4:Y304)-1)</f>
        <v>-7.297990260244136E-3</v>
      </c>
    </row>
    <row r="305" spans="1:28" x14ac:dyDescent="0.45">
      <c r="A305" s="121">
        <v>45638</v>
      </c>
      <c r="B305" s="124">
        <v>604.33000000000004</v>
      </c>
      <c r="C305" s="124">
        <v>247.96</v>
      </c>
      <c r="D305" s="124">
        <v>449.56</v>
      </c>
      <c r="E305" s="124">
        <v>241.53</v>
      </c>
      <c r="F305" s="124">
        <v>111.82</v>
      </c>
      <c r="G305" s="124">
        <v>146.24</v>
      </c>
      <c r="H305" s="124">
        <v>228.97</v>
      </c>
      <c r="I305" s="124">
        <v>63.84</v>
      </c>
      <c r="J305" s="125">
        <v>94.09</v>
      </c>
      <c r="L305" s="39">
        <f t="shared" si="56"/>
        <v>-5.1526026405030708E-3</v>
      </c>
      <c r="M305" s="40">
        <f t="shared" si="48"/>
        <v>5.9637307801533486E-3</v>
      </c>
      <c r="N305" s="40">
        <f t="shared" si="49"/>
        <v>1.2695160248557722E-3</v>
      </c>
      <c r="O305" s="40">
        <f t="shared" si="50"/>
        <v>-8.2125405494189625E-3</v>
      </c>
      <c r="P305" s="40">
        <f t="shared" si="51"/>
        <v>-8.934953538242363E-4</v>
      </c>
      <c r="Q305" s="40">
        <f t="shared" si="52"/>
        <v>-2.7277686852153391E-3</v>
      </c>
      <c r="R305" s="40">
        <f t="shared" si="53"/>
        <v>-5.60236254668632E-3</v>
      </c>
      <c r="S305" s="40">
        <f t="shared" si="54"/>
        <v>1.9157088122605408E-2</v>
      </c>
      <c r="T305" s="41">
        <f t="shared" si="55"/>
        <v>-9.1617523167648526E-3</v>
      </c>
      <c r="V305" s="39">
        <f t="shared" si="57"/>
        <v>-5.1526026405030708E-3</v>
      </c>
      <c r="W305" s="40" cm="1">
        <f t="array" ref="W305">IF(M305="","",SUMPRODUCT(M305:T305,TRANSPOSE('04_Dashboard'!$C$53:$C$60)))</f>
        <v>-1.2642721225340793E-3</v>
      </c>
      <c r="X305" s="42">
        <f t="shared" si="58"/>
        <v>1.4142659895626104</v>
      </c>
      <c r="Y305" s="118">
        <f t="shared" si="59"/>
        <v>1.3588148438985135</v>
      </c>
      <c r="AA305" s="43">
        <f>IF(X305="","",X305/MAX($X$4:X305)-1)</f>
        <v>-5.7254734209704061E-3</v>
      </c>
      <c r="AB305" s="44">
        <f>IF(Y305="","",Y305/MAX($Y$4:Y305)-1)</f>
        <v>-8.5530357371418342E-3</v>
      </c>
    </row>
    <row r="306" spans="1:28" x14ac:dyDescent="0.45">
      <c r="A306" s="121">
        <v>45639</v>
      </c>
      <c r="B306" s="124">
        <v>604.21</v>
      </c>
      <c r="C306" s="124">
        <v>248.13</v>
      </c>
      <c r="D306" s="124">
        <v>447.27</v>
      </c>
      <c r="E306" s="124">
        <v>239.94</v>
      </c>
      <c r="F306" s="124">
        <v>110.84</v>
      </c>
      <c r="G306" s="124">
        <v>146.62</v>
      </c>
      <c r="H306" s="124">
        <v>227.46</v>
      </c>
      <c r="I306" s="124">
        <v>63.12</v>
      </c>
      <c r="J306" s="125">
        <v>94.25</v>
      </c>
      <c r="L306" s="39">
        <f t="shared" si="56"/>
        <v>-1.985670080916131E-4</v>
      </c>
      <c r="M306" s="40">
        <f t="shared" si="48"/>
        <v>6.8559445071780724E-4</v>
      </c>
      <c r="N306" s="40">
        <f t="shared" si="49"/>
        <v>-5.0938695613489196E-3</v>
      </c>
      <c r="O306" s="40">
        <f t="shared" si="50"/>
        <v>-6.5830331635821776E-3</v>
      </c>
      <c r="P306" s="40">
        <f t="shared" si="51"/>
        <v>-8.7640851368269521E-3</v>
      </c>
      <c r="Q306" s="40">
        <f t="shared" si="52"/>
        <v>2.5984682713347607E-3</v>
      </c>
      <c r="R306" s="40">
        <f t="shared" si="53"/>
        <v>-6.5947504039830145E-3</v>
      </c>
      <c r="S306" s="40">
        <f t="shared" si="54"/>
        <v>-1.1278195488721898E-2</v>
      </c>
      <c r="T306" s="41">
        <f t="shared" si="55"/>
        <v>1.7004995217344732E-3</v>
      </c>
      <c r="V306" s="39">
        <f t="shared" si="57"/>
        <v>-1.985670080916131E-4</v>
      </c>
      <c r="W306" s="40" cm="1">
        <f t="array" ref="W306">IF(M306="","",SUMPRODUCT(M306:T306,TRANSPOSE('04_Dashboard'!$C$53:$C$60)))</f>
        <v>-3.4973541401187775E-3</v>
      </c>
      <c r="X306" s="42">
        <f t="shared" si="58"/>
        <v>1.4139851629964173</v>
      </c>
      <c r="Y306" s="118">
        <f t="shared" si="59"/>
        <v>1.3540625871785501</v>
      </c>
      <c r="AA306" s="43">
        <f>IF(X306="","",X306/MAX($X$4:X306)-1)</f>
        <v>-5.9229035389348761E-3</v>
      </c>
      <c r="AB306" s="44">
        <f>IF(Y306="","",Y306/MAX($Y$4:Y306)-1)</f>
        <v>-1.2020476882314779E-2</v>
      </c>
    </row>
    <row r="307" spans="1:28" x14ac:dyDescent="0.45">
      <c r="A307" s="121">
        <v>45642</v>
      </c>
      <c r="B307" s="124">
        <v>606.79</v>
      </c>
      <c r="C307" s="124">
        <v>251.04</v>
      </c>
      <c r="D307" s="124">
        <v>451.59</v>
      </c>
      <c r="E307" s="124">
        <v>239.58</v>
      </c>
      <c r="F307" s="124">
        <v>108.47</v>
      </c>
      <c r="G307" s="124">
        <v>143.85</v>
      </c>
      <c r="H307" s="124">
        <v>232.93</v>
      </c>
      <c r="I307" s="124">
        <v>62.55</v>
      </c>
      <c r="J307" s="125">
        <v>94.87</v>
      </c>
      <c r="L307" s="39">
        <f t="shared" si="56"/>
        <v>4.2700385627512409E-3</v>
      </c>
      <c r="M307" s="40">
        <f t="shared" si="48"/>
        <v>1.1727723370813672E-2</v>
      </c>
      <c r="N307" s="40">
        <f t="shared" si="49"/>
        <v>9.6585954792407121E-3</v>
      </c>
      <c r="O307" s="40">
        <f t="shared" si="50"/>
        <v>-1.5003750937733818E-3</v>
      </c>
      <c r="P307" s="40">
        <f t="shared" si="51"/>
        <v>-2.1382172500902241E-2</v>
      </c>
      <c r="Q307" s="40">
        <f t="shared" si="52"/>
        <v>-1.8892374846542152E-2</v>
      </c>
      <c r="R307" s="40">
        <f t="shared" si="53"/>
        <v>2.4048184296139974E-2</v>
      </c>
      <c r="S307" s="40">
        <f t="shared" si="54"/>
        <v>-9.0304182509505747E-3</v>
      </c>
      <c r="T307" s="41">
        <f t="shared" si="55"/>
        <v>6.5782493368700748E-3</v>
      </c>
      <c r="V307" s="39">
        <f t="shared" si="57"/>
        <v>4.2700385627512409E-3</v>
      </c>
      <c r="W307" s="40" cm="1">
        <f t="array" ref="W307">IF(M307="","",SUMPRODUCT(M307:T307,TRANSPOSE('04_Dashboard'!$C$53:$C$60)))</f>
        <v>-3.1871390794526978E-3</v>
      </c>
      <c r="X307" s="42">
        <f t="shared" si="58"/>
        <v>1.42002293416957</v>
      </c>
      <c r="Y307" s="118">
        <f t="shared" si="59"/>
        <v>1.3497470013909285</v>
      </c>
      <c r="AA307" s="43">
        <f>IF(X307="","",X307/MAX($X$4:X307)-1)</f>
        <v>-1.6781560026983833E-3</v>
      </c>
      <c r="AB307" s="44">
        <f>IF(Y307="","",Y307/MAX($Y$4:Y307)-1)</f>
        <v>-1.5169305030142133E-2</v>
      </c>
    </row>
    <row r="308" spans="1:28" x14ac:dyDescent="0.45">
      <c r="A308" s="121">
        <v>45643</v>
      </c>
      <c r="B308" s="124">
        <v>604.29</v>
      </c>
      <c r="C308" s="124">
        <v>253.48</v>
      </c>
      <c r="D308" s="124">
        <v>454.46</v>
      </c>
      <c r="E308" s="124">
        <v>238.36</v>
      </c>
      <c r="F308" s="124">
        <v>108.01</v>
      </c>
      <c r="G308" s="124">
        <v>146.41</v>
      </c>
      <c r="H308" s="124">
        <v>231.15</v>
      </c>
      <c r="I308" s="124">
        <v>63.4</v>
      </c>
      <c r="J308" s="125">
        <v>95.42</v>
      </c>
      <c r="L308" s="39">
        <f t="shared" si="56"/>
        <v>-4.1200415300186232E-3</v>
      </c>
      <c r="M308" s="40">
        <f t="shared" si="48"/>
        <v>9.7195666029317954E-3</v>
      </c>
      <c r="N308" s="40">
        <f t="shared" si="49"/>
        <v>6.3553223056312244E-3</v>
      </c>
      <c r="O308" s="40">
        <f t="shared" si="50"/>
        <v>-5.0922447616662441E-3</v>
      </c>
      <c r="P308" s="40">
        <f t="shared" si="51"/>
        <v>-4.2408039089148501E-3</v>
      </c>
      <c r="Q308" s="40">
        <f t="shared" si="52"/>
        <v>1.77963156065346E-2</v>
      </c>
      <c r="R308" s="40">
        <f t="shared" si="53"/>
        <v>-7.6417807925127767E-3</v>
      </c>
      <c r="S308" s="40">
        <f t="shared" si="54"/>
        <v>1.358912869704239E-2</v>
      </c>
      <c r="T308" s="41">
        <f t="shared" si="55"/>
        <v>5.7974069779698229E-3</v>
      </c>
      <c r="V308" s="39">
        <f t="shared" si="57"/>
        <v>-4.1200415300186232E-3</v>
      </c>
      <c r="W308" s="40" cm="1">
        <f t="array" ref="W308">IF(M308="","",SUMPRODUCT(M308:T308,TRANSPOSE('04_Dashboard'!$C$53:$C$60)))</f>
        <v>5.9181120291948962E-3</v>
      </c>
      <c r="X308" s="42">
        <f t="shared" si="58"/>
        <v>1.4141723807072124</v>
      </c>
      <c r="Y308" s="118">
        <f t="shared" si="59"/>
        <v>1.3577349553562299</v>
      </c>
      <c r="AA308" s="43">
        <f>IF(X308="","",X308/MAX($X$4:X308)-1)</f>
        <v>-5.7912834602921182E-3</v>
      </c>
      <c r="AB308" s="44">
        <f>IF(Y308="","",Y308/MAX($Y$4:Y308)-1)</f>
        <v>-9.3409666475207098E-3</v>
      </c>
    </row>
    <row r="309" spans="1:28" x14ac:dyDescent="0.45">
      <c r="A309" s="121">
        <v>45644</v>
      </c>
      <c r="B309" s="124">
        <v>586.28</v>
      </c>
      <c r="C309" s="124">
        <v>248.05</v>
      </c>
      <c r="D309" s="124">
        <v>437.39</v>
      </c>
      <c r="E309" s="124">
        <v>230.37</v>
      </c>
      <c r="F309" s="124">
        <v>106.42</v>
      </c>
      <c r="G309" s="124">
        <v>144.75</v>
      </c>
      <c r="H309" s="124">
        <v>220.52</v>
      </c>
      <c r="I309" s="124">
        <v>62.85</v>
      </c>
      <c r="J309" s="125">
        <v>93.55</v>
      </c>
      <c r="L309" s="39">
        <f t="shared" si="56"/>
        <v>-2.9803571133065237E-2</v>
      </c>
      <c r="M309" s="40">
        <f t="shared" si="48"/>
        <v>-2.1421808426700249E-2</v>
      </c>
      <c r="N309" s="40">
        <f t="shared" si="49"/>
        <v>-3.7561061479558143E-2</v>
      </c>
      <c r="O309" s="40">
        <f t="shared" si="50"/>
        <v>-3.3520724953851354E-2</v>
      </c>
      <c r="P309" s="40">
        <f t="shared" si="51"/>
        <v>-1.4720859179705614E-2</v>
      </c>
      <c r="Q309" s="40">
        <f t="shared" si="52"/>
        <v>-1.1338023359060151E-2</v>
      </c>
      <c r="R309" s="40">
        <f t="shared" si="53"/>
        <v>-4.5987454034176922E-2</v>
      </c>
      <c r="S309" s="40">
        <f t="shared" si="54"/>
        <v>-8.675078864353267E-3</v>
      </c>
      <c r="T309" s="41">
        <f t="shared" si="55"/>
        <v>-1.9597568643890218E-2</v>
      </c>
      <c r="V309" s="39">
        <f t="shared" si="57"/>
        <v>-2.9803571133065237E-2</v>
      </c>
      <c r="W309" s="40" cm="1">
        <f t="array" ref="W309">IF(M309="","",SUMPRODUCT(M309:T309,TRANSPOSE('04_Dashboard'!$C$53:$C$60)))</f>
        <v>-2.2437108156717067E-2</v>
      </c>
      <c r="X309" s="42">
        <f t="shared" si="58"/>
        <v>1.3720249935643889</v>
      </c>
      <c r="Y309" s="118">
        <f t="shared" si="59"/>
        <v>1.3272713093147468</v>
      </c>
      <c r="AA309" s="43">
        <f>IF(X309="","",X309/MAX($X$4:X309)-1)</f>
        <v>-3.5422253664796788E-2</v>
      </c>
      <c r="AB309" s="44">
        <f>IF(Y309="","",Y309/MAX($Y$4:Y309)-1)</f>
        <v>-3.1568490525278992E-2</v>
      </c>
    </row>
    <row r="310" spans="1:28" x14ac:dyDescent="0.45">
      <c r="A310" s="121">
        <v>45645</v>
      </c>
      <c r="B310" s="124">
        <v>586.1</v>
      </c>
      <c r="C310" s="124">
        <v>249.79</v>
      </c>
      <c r="D310" s="124">
        <v>437.03</v>
      </c>
      <c r="E310" s="124">
        <v>232.96</v>
      </c>
      <c r="F310" s="124">
        <v>105.51</v>
      </c>
      <c r="G310" s="124">
        <v>143.58000000000001</v>
      </c>
      <c r="H310" s="124">
        <v>223.29</v>
      </c>
      <c r="I310" s="124">
        <v>62.45</v>
      </c>
      <c r="J310" s="125">
        <v>93.4</v>
      </c>
      <c r="L310" s="39">
        <f t="shared" si="56"/>
        <v>-3.0702053626245135E-4</v>
      </c>
      <c r="M310" s="40">
        <f t="shared" si="48"/>
        <v>7.0147147752468476E-3</v>
      </c>
      <c r="N310" s="40">
        <f t="shared" si="49"/>
        <v>-8.2306408468418033E-4</v>
      </c>
      <c r="O310" s="40">
        <f t="shared" si="50"/>
        <v>1.1242783348526299E-2</v>
      </c>
      <c r="P310" s="40">
        <f t="shared" si="51"/>
        <v>-8.5510242435632086E-3</v>
      </c>
      <c r="Q310" s="40">
        <f t="shared" si="52"/>
        <v>-8.0829015544040591E-3</v>
      </c>
      <c r="R310" s="40">
        <f t="shared" si="53"/>
        <v>1.2561218937057779E-2</v>
      </c>
      <c r="S310" s="40">
        <f t="shared" si="54"/>
        <v>-6.3643595863166038E-3</v>
      </c>
      <c r="T310" s="41">
        <f t="shared" si="55"/>
        <v>-1.6034206306786904E-3</v>
      </c>
      <c r="V310" s="39">
        <f t="shared" si="57"/>
        <v>-3.0702053626245135E-4</v>
      </c>
      <c r="W310" s="40" cm="1">
        <f t="array" ref="W310">IF(M310="","",SUMPRODUCT(M310:T310,TRANSPOSE('04_Dashboard'!$C$53:$C$60)))</f>
        <v>4.6092437951100696E-4</v>
      </c>
      <c r="X310" s="42">
        <f t="shared" si="58"/>
        <v>1.3716037537150993</v>
      </c>
      <c r="Y310" s="118">
        <f t="shared" si="59"/>
        <v>1.3278830810194355</v>
      </c>
      <c r="AA310" s="43">
        <f>IF(X310="","",X310/MAX($X$4:X310)-1)</f>
        <v>-3.5718398841743326E-2</v>
      </c>
      <c r="AB310" s="44">
        <f>IF(Y310="","",Y310/MAX($Y$4:Y310)-1)</f>
        <v>-3.1122116832675406E-2</v>
      </c>
    </row>
    <row r="311" spans="1:28" x14ac:dyDescent="0.45">
      <c r="A311" s="121">
        <v>45646</v>
      </c>
      <c r="B311" s="124">
        <v>591.15</v>
      </c>
      <c r="C311" s="124">
        <v>254.49</v>
      </c>
      <c r="D311" s="124">
        <v>436.6</v>
      </c>
      <c r="E311" s="124">
        <v>237.6</v>
      </c>
      <c r="F311" s="124">
        <v>105.87</v>
      </c>
      <c r="G311" s="124">
        <v>144.47</v>
      </c>
      <c r="H311" s="124">
        <v>224.92</v>
      </c>
      <c r="I311" s="124">
        <v>62.55</v>
      </c>
      <c r="J311" s="125">
        <v>92.24</v>
      </c>
      <c r="L311" s="39">
        <f t="shared" si="56"/>
        <v>8.6162770858214544E-3</v>
      </c>
      <c r="M311" s="40">
        <f t="shared" si="48"/>
        <v>1.8815805276432271E-2</v>
      </c>
      <c r="N311" s="40">
        <f t="shared" si="49"/>
        <v>-9.8391414777006161E-4</v>
      </c>
      <c r="O311" s="40">
        <f t="shared" si="50"/>
        <v>1.9917582417582357E-2</v>
      </c>
      <c r="P311" s="40">
        <f t="shared" si="51"/>
        <v>3.4119988626670401E-3</v>
      </c>
      <c r="Q311" s="40">
        <f t="shared" si="52"/>
        <v>6.1986349073686184E-3</v>
      </c>
      <c r="R311" s="40">
        <f t="shared" si="53"/>
        <v>7.2999238658246922E-3</v>
      </c>
      <c r="S311" s="40">
        <f t="shared" si="54"/>
        <v>1.6012810248197647E-3</v>
      </c>
      <c r="T311" s="41">
        <f t="shared" si="55"/>
        <v>-1.2419700214132877E-2</v>
      </c>
      <c r="V311" s="39">
        <f t="shared" si="57"/>
        <v>8.6162770858214544E-3</v>
      </c>
      <c r="W311" s="40" cm="1">
        <f t="array" ref="W311">IF(M311="","",SUMPRODUCT(M311:T311,TRANSPOSE('04_Dashboard'!$C$53:$C$60)))</f>
        <v>6.3651086702223546E-3</v>
      </c>
      <c r="X311" s="42">
        <f t="shared" si="58"/>
        <v>1.3834218717090614</v>
      </c>
      <c r="Y311" s="118">
        <f t="shared" si="59"/>
        <v>1.336335201131474</v>
      </c>
      <c r="AA311" s="43">
        <f>IF(X311="","",X311/MAX($X$4:X311)-1)</f>
        <v>-2.7409881377404299E-2</v>
      </c>
      <c r="AB311" s="44">
        <f>IF(Y311="","",Y311/MAX($Y$4:Y311)-1)</f>
        <v>-2.4955103818140367E-2</v>
      </c>
    </row>
    <row r="312" spans="1:28" x14ac:dyDescent="0.45">
      <c r="A312" s="121">
        <v>45649</v>
      </c>
      <c r="B312" s="124">
        <v>594.69000000000005</v>
      </c>
      <c r="C312" s="124">
        <v>255.27</v>
      </c>
      <c r="D312" s="124">
        <v>435.25</v>
      </c>
      <c r="E312" s="124">
        <v>238.39</v>
      </c>
      <c r="F312" s="124">
        <v>106.3</v>
      </c>
      <c r="G312" s="124">
        <v>145.27000000000001</v>
      </c>
      <c r="H312" s="124">
        <v>225.06</v>
      </c>
      <c r="I312" s="124">
        <v>62.38</v>
      </c>
      <c r="J312" s="125">
        <v>90.35</v>
      </c>
      <c r="L312" s="39">
        <f t="shared" si="56"/>
        <v>5.9883278355748583E-3</v>
      </c>
      <c r="M312" s="40">
        <f t="shared" si="48"/>
        <v>3.0649534362843377E-3</v>
      </c>
      <c r="N312" s="40">
        <f t="shared" si="49"/>
        <v>-3.0920751259734831E-3</v>
      </c>
      <c r="O312" s="40">
        <f t="shared" si="50"/>
        <v>3.3249158249157914E-3</v>
      </c>
      <c r="P312" s="40">
        <f t="shared" si="51"/>
        <v>4.0615849626900215E-3</v>
      </c>
      <c r="Q312" s="40">
        <f t="shared" si="52"/>
        <v>5.5374818301378234E-3</v>
      </c>
      <c r="R312" s="40">
        <f t="shared" si="53"/>
        <v>6.2244353547934725E-4</v>
      </c>
      <c r="S312" s="40">
        <f t="shared" si="54"/>
        <v>-2.7178257394083871E-3</v>
      </c>
      <c r="T312" s="41">
        <f t="shared" si="55"/>
        <v>-2.0490026019080666E-2</v>
      </c>
      <c r="V312" s="39">
        <f t="shared" si="57"/>
        <v>5.9883278355748583E-3</v>
      </c>
      <c r="W312" s="40" cm="1">
        <f t="array" ref="W312">IF(M312="","",SUMPRODUCT(M312:T312,TRANSPOSE('04_Dashboard'!$C$53:$C$60)))</f>
        <v>-9.1967519286321022E-4</v>
      </c>
      <c r="X312" s="42">
        <f t="shared" si="58"/>
        <v>1.3917062554117599</v>
      </c>
      <c r="Y312" s="118">
        <f t="shared" si="59"/>
        <v>1.3351062067976436</v>
      </c>
      <c r="AA312" s="43">
        <f>IF(X312="","",X312/MAX($X$4:X312)-1)</f>
        <v>-2.1585692897451492E-2</v>
      </c>
      <c r="AB312" s="44">
        <f>IF(Y312="","",Y312/MAX($Y$4:Y312)-1)</f>
        <v>-2.5851828421086576E-2</v>
      </c>
    </row>
    <row r="313" spans="1:28" x14ac:dyDescent="0.45">
      <c r="A313" s="121">
        <v>45650</v>
      </c>
      <c r="B313" s="124">
        <v>601.29999999999995</v>
      </c>
      <c r="C313" s="124">
        <v>258.2</v>
      </c>
      <c r="D313" s="124">
        <v>439.33</v>
      </c>
      <c r="E313" s="124">
        <v>242.31</v>
      </c>
      <c r="F313" s="124">
        <v>106.4</v>
      </c>
      <c r="G313" s="124">
        <v>145.85</v>
      </c>
      <c r="H313" s="124">
        <v>229.05</v>
      </c>
      <c r="I313" s="124">
        <v>62.84</v>
      </c>
      <c r="J313" s="125">
        <v>92.68</v>
      </c>
      <c r="L313" s="39">
        <f t="shared" si="56"/>
        <v>1.1115034723973665E-2</v>
      </c>
      <c r="M313" s="40">
        <f t="shared" si="48"/>
        <v>1.147804285658314E-2</v>
      </c>
      <c r="N313" s="40">
        <f t="shared" si="49"/>
        <v>9.3739230327397685E-3</v>
      </c>
      <c r="O313" s="40">
        <f t="shared" si="50"/>
        <v>1.6443642770250497E-2</v>
      </c>
      <c r="P313" s="40">
        <f t="shared" si="51"/>
        <v>9.4073377234250735E-4</v>
      </c>
      <c r="Q313" s="40">
        <f t="shared" si="52"/>
        <v>3.9925655675637365E-3</v>
      </c>
      <c r="R313" s="40">
        <f t="shared" si="53"/>
        <v>1.7728605705145336E-2</v>
      </c>
      <c r="S313" s="40">
        <f t="shared" si="54"/>
        <v>7.3741583840974808E-3</v>
      </c>
      <c r="T313" s="41">
        <f t="shared" si="55"/>
        <v>2.5788599889319454E-2</v>
      </c>
      <c r="V313" s="39">
        <f t="shared" si="57"/>
        <v>1.1115034723973665E-2</v>
      </c>
      <c r="W313" s="40" cm="1">
        <f t="array" ref="W313">IF(M313="","",SUMPRODUCT(M313:T313,TRANSPOSE('04_Dashboard'!$C$53:$C$60)))</f>
        <v>1.2089277813177016E-2</v>
      </c>
      <c r="X313" s="42">
        <f t="shared" si="58"/>
        <v>1.4071751187662329</v>
      </c>
      <c r="Y313" s="118">
        <f t="shared" si="59"/>
        <v>1.351246676641717</v>
      </c>
      <c r="AA313" s="43">
        <f>IF(X313="","",X313/MAX($X$4:X313)-1)</f>
        <v>-1.0710583899574022E-2</v>
      </c>
      <c r="AB313" s="44">
        <f>IF(Y313="","",Y313/MAX($Y$4:Y313)-1)</f>
        <v>-1.4075080543670793E-2</v>
      </c>
    </row>
    <row r="314" spans="1:28" x14ac:dyDescent="0.45">
      <c r="A314" s="121">
        <v>45652</v>
      </c>
      <c r="B314" s="124">
        <v>601.34</v>
      </c>
      <c r="C314" s="124">
        <v>259.02</v>
      </c>
      <c r="D314" s="124">
        <v>438.11</v>
      </c>
      <c r="E314" s="124">
        <v>243.14</v>
      </c>
      <c r="F314" s="124">
        <v>106.49</v>
      </c>
      <c r="G314" s="124">
        <v>145.58000000000001</v>
      </c>
      <c r="H314" s="124">
        <v>227.05</v>
      </c>
      <c r="I314" s="124">
        <v>62.57</v>
      </c>
      <c r="J314" s="125">
        <v>92.79</v>
      </c>
      <c r="L314" s="39">
        <f t="shared" si="56"/>
        <v>6.6522534508693353E-5</v>
      </c>
      <c r="M314" s="40">
        <f t="shared" si="48"/>
        <v>3.1758326878388583E-3</v>
      </c>
      <c r="N314" s="40">
        <f t="shared" si="49"/>
        <v>-2.7769558190880897E-3</v>
      </c>
      <c r="O314" s="40">
        <f t="shared" si="50"/>
        <v>3.425364202880542E-3</v>
      </c>
      <c r="P314" s="40">
        <f t="shared" si="51"/>
        <v>8.4586466165403375E-4</v>
      </c>
      <c r="Q314" s="40">
        <f t="shared" si="52"/>
        <v>-1.851217003770873E-3</v>
      </c>
      <c r="R314" s="40">
        <f t="shared" si="53"/>
        <v>-8.7317179655097138E-3</v>
      </c>
      <c r="S314" s="40">
        <f t="shared" si="54"/>
        <v>-4.2966263526416793E-3</v>
      </c>
      <c r="T314" s="41">
        <f t="shared" si="55"/>
        <v>1.1868795856711202E-3</v>
      </c>
      <c r="V314" s="39">
        <f t="shared" si="57"/>
        <v>6.6522534508693353E-5</v>
      </c>
      <c r="W314" s="40" cm="1">
        <f t="array" ref="W314">IF(M314="","",SUMPRODUCT(M314:T314,TRANSPOSE('04_Dashboard'!$C$53:$C$60)))</f>
        <v>-6.7224767186665341E-4</v>
      </c>
      <c r="X314" s="42">
        <f t="shared" si="58"/>
        <v>1.4072687276216307</v>
      </c>
      <c r="Y314" s="118">
        <f t="shared" si="59"/>
        <v>1.350338304209227</v>
      </c>
      <c r="AA314" s="43">
        <f>IF(X314="","",X314/MAX($X$4:X314)-1)</f>
        <v>-1.0644773860252532E-2</v>
      </c>
      <c r="AB314" s="44">
        <f>IF(Y314="","",Y314/MAX($Y$4:Y314)-1)</f>
        <v>-1.4737866275410738E-2</v>
      </c>
    </row>
    <row r="315" spans="1:28" x14ac:dyDescent="0.45">
      <c r="A315" s="121">
        <v>45653</v>
      </c>
      <c r="B315" s="124">
        <v>595.01</v>
      </c>
      <c r="C315" s="124">
        <v>255.59</v>
      </c>
      <c r="D315" s="124">
        <v>430.53</v>
      </c>
      <c r="E315" s="124">
        <v>241.17</v>
      </c>
      <c r="F315" s="124">
        <v>106.48</v>
      </c>
      <c r="G315" s="124">
        <v>145.05000000000001</v>
      </c>
      <c r="H315" s="124">
        <v>223.75</v>
      </c>
      <c r="I315" s="124">
        <v>62.45</v>
      </c>
      <c r="J315" s="125">
        <v>91.66</v>
      </c>
      <c r="L315" s="39">
        <f t="shared" si="56"/>
        <v>-1.0526490837130476E-2</v>
      </c>
      <c r="M315" s="40">
        <f t="shared" si="48"/>
        <v>-1.3242220677939846E-2</v>
      </c>
      <c r="N315" s="40">
        <f t="shared" si="49"/>
        <v>-1.730159092465372E-2</v>
      </c>
      <c r="O315" s="40">
        <f t="shared" si="50"/>
        <v>-8.1023278769433212E-3</v>
      </c>
      <c r="P315" s="40">
        <f t="shared" si="51"/>
        <v>-9.3905531035692609E-5</v>
      </c>
      <c r="Q315" s="40">
        <f t="shared" si="52"/>
        <v>-3.6406099738975207E-3</v>
      </c>
      <c r="R315" s="40">
        <f t="shared" si="53"/>
        <v>-1.4534243558687564E-2</v>
      </c>
      <c r="S315" s="40">
        <f t="shared" si="54"/>
        <v>-1.9178520057535151E-3</v>
      </c>
      <c r="T315" s="41">
        <f t="shared" si="55"/>
        <v>-1.2178036426339148E-2</v>
      </c>
      <c r="V315" s="39">
        <f t="shared" si="57"/>
        <v>-1.0526490837130476E-2</v>
      </c>
      <c r="W315" s="40" cm="1">
        <f t="array" ref="W315">IF(M315="","",SUMPRODUCT(M315:T315,TRANSPOSE('04_Dashboard'!$C$53:$C$60)))</f>
        <v>-7.7332582731754178E-3</v>
      </c>
      <c r="X315" s="42">
        <f t="shared" si="58"/>
        <v>1.3924551262549412</v>
      </c>
      <c r="Y315" s="118">
        <f t="shared" si="59"/>
        <v>1.3398957893466152</v>
      </c>
      <c r="AA315" s="43">
        <f>IF(X315="","",X315/MAX($X$4:X315)-1)</f>
        <v>-2.1059212582879905E-2</v>
      </c>
      <c r="AB315" s="44">
        <f>IF(Y315="","",Y315/MAX($Y$4:Y315)-1)</f>
        <v>-2.2357152822283011E-2</v>
      </c>
    </row>
    <row r="316" spans="1:28" x14ac:dyDescent="0.45">
      <c r="A316" s="121">
        <v>45656</v>
      </c>
      <c r="B316" s="124">
        <v>588.22</v>
      </c>
      <c r="C316" s="124">
        <v>252.2</v>
      </c>
      <c r="D316" s="124">
        <v>424.83</v>
      </c>
      <c r="E316" s="124">
        <v>239.32</v>
      </c>
      <c r="F316" s="124">
        <v>105.76</v>
      </c>
      <c r="G316" s="124">
        <v>143.34</v>
      </c>
      <c r="H316" s="124">
        <v>221.3</v>
      </c>
      <c r="I316" s="124">
        <v>62.03</v>
      </c>
      <c r="J316" s="125">
        <v>90.57</v>
      </c>
      <c r="L316" s="39">
        <f t="shared" si="56"/>
        <v>-1.1411572914740868E-2</v>
      </c>
      <c r="M316" s="40">
        <f t="shared" si="48"/>
        <v>-1.3263429711647618E-2</v>
      </c>
      <c r="N316" s="40">
        <f t="shared" si="49"/>
        <v>-1.3239495505539657E-2</v>
      </c>
      <c r="O316" s="40">
        <f t="shared" si="50"/>
        <v>-7.6709375129576417E-3</v>
      </c>
      <c r="P316" s="40">
        <f t="shared" si="51"/>
        <v>-6.7618332081141892E-3</v>
      </c>
      <c r="Q316" s="40">
        <f t="shared" si="52"/>
        <v>-1.1789038262668099E-2</v>
      </c>
      <c r="R316" s="40">
        <f t="shared" si="53"/>
        <v>-1.0949720670391011E-2</v>
      </c>
      <c r="S316" s="40">
        <f t="shared" si="54"/>
        <v>-6.7253803042434217E-3</v>
      </c>
      <c r="T316" s="41">
        <f t="shared" si="55"/>
        <v>-1.1891773947196198E-2</v>
      </c>
      <c r="V316" s="39">
        <f t="shared" si="57"/>
        <v>-1.1411572914740868E-2</v>
      </c>
      <c r="W316" s="40" cm="1">
        <f t="array" ref="W316">IF(M316="","",SUMPRODUCT(M316:T316,TRANSPOSE('04_Dashboard'!$C$53:$C$60)))</f>
        <v>-9.9930461185763833E-3</v>
      </c>
      <c r="X316" s="42">
        <f t="shared" si="58"/>
        <v>1.3765650230511783</v>
      </c>
      <c r="Y316" s="118">
        <f t="shared" si="59"/>
        <v>1.3265061489295882</v>
      </c>
      <c r="AA316" s="43">
        <f>IF(X316="","",X316/MAX($X$4:X316)-1)</f>
        <v>-3.2230466757704024E-2</v>
      </c>
      <c r="AB316" s="44">
        <f>IF(Y316="","",Y316/MAX($Y$4:Y316)-1)</f>
        <v>-3.2126782881626181E-2</v>
      </c>
    </row>
    <row r="317" spans="1:28" x14ac:dyDescent="0.45">
      <c r="A317" s="121">
        <v>45657</v>
      </c>
      <c r="B317" s="124">
        <v>586.08000000000004</v>
      </c>
      <c r="C317" s="124">
        <v>250.42</v>
      </c>
      <c r="D317" s="124">
        <v>421.5</v>
      </c>
      <c r="E317" s="124">
        <v>239.71</v>
      </c>
      <c r="F317" s="124">
        <v>107.57</v>
      </c>
      <c r="G317" s="124">
        <v>144.62</v>
      </c>
      <c r="H317" s="124">
        <v>219.39</v>
      </c>
      <c r="I317" s="124">
        <v>62.26</v>
      </c>
      <c r="J317" s="125">
        <v>90.35</v>
      </c>
      <c r="L317" s="39">
        <f t="shared" si="56"/>
        <v>-3.6380945904593287E-3</v>
      </c>
      <c r="M317" s="40">
        <f t="shared" si="48"/>
        <v>-7.0578905630452066E-3</v>
      </c>
      <c r="N317" s="40">
        <f t="shared" si="49"/>
        <v>-7.838429489442798E-3</v>
      </c>
      <c r="O317" s="40">
        <f t="shared" si="50"/>
        <v>1.6296172488718653E-3</v>
      </c>
      <c r="P317" s="40">
        <f t="shared" si="51"/>
        <v>1.7114220877458283E-2</v>
      </c>
      <c r="Q317" s="40">
        <f t="shared" si="52"/>
        <v>8.9298172178038301E-3</v>
      </c>
      <c r="R317" s="40">
        <f t="shared" si="53"/>
        <v>-8.6308178942612959E-3</v>
      </c>
      <c r="S317" s="40">
        <f t="shared" si="54"/>
        <v>3.7078832822827158E-3</v>
      </c>
      <c r="T317" s="41">
        <f t="shared" si="55"/>
        <v>-2.4290603952743612E-3</v>
      </c>
      <c r="V317" s="39">
        <f t="shared" si="57"/>
        <v>-3.6380945904593287E-3</v>
      </c>
      <c r="W317" s="40" cm="1">
        <f t="array" ref="W317">IF(M317="","",SUMPRODUCT(M317:T317,TRANSPOSE('04_Dashboard'!$C$53:$C$60)))</f>
        <v>1.9873872492648429E-3</v>
      </c>
      <c r="X317" s="42">
        <f t="shared" si="58"/>
        <v>1.3715569492874005</v>
      </c>
      <c r="Y317" s="118">
        <f t="shared" si="59"/>
        <v>1.3291424303360422</v>
      </c>
      <c r="AA317" s="43">
        <f>IF(X317="","",X317/MAX($X$4:X317)-1)</f>
        <v>-3.5751303861404127E-2</v>
      </c>
      <c r="AB317" s="44">
        <f>IF(Y317="","",Y317/MAX($Y$4:Y317)-1)</f>
        <v>-3.0203243991020257E-2</v>
      </c>
    </row>
    <row r="318" spans="1:28" x14ac:dyDescent="0.45">
      <c r="A318" s="121">
        <v>45659</v>
      </c>
      <c r="B318" s="124">
        <v>584.64</v>
      </c>
      <c r="C318" s="124">
        <v>243.85</v>
      </c>
      <c r="D318" s="124">
        <v>418.58</v>
      </c>
      <c r="E318" s="124">
        <v>240</v>
      </c>
      <c r="F318" s="124">
        <v>107.31</v>
      </c>
      <c r="G318" s="124">
        <v>144.02000000000001</v>
      </c>
      <c r="H318" s="124">
        <v>220.22</v>
      </c>
      <c r="I318" s="124">
        <v>61.84</v>
      </c>
      <c r="J318" s="125">
        <v>90</v>
      </c>
      <c r="L318" s="39">
        <f t="shared" si="56"/>
        <v>-2.4570024570025497E-3</v>
      </c>
      <c r="M318" s="40">
        <f t="shared" si="48"/>
        <v>-2.6235923648270879E-2</v>
      </c>
      <c r="N318" s="40">
        <f t="shared" si="49"/>
        <v>-6.9276393831554355E-3</v>
      </c>
      <c r="O318" s="40">
        <f t="shared" si="50"/>
        <v>1.2097951691627052E-3</v>
      </c>
      <c r="P318" s="40">
        <f t="shared" si="51"/>
        <v>-2.4170307706608807E-3</v>
      </c>
      <c r="Q318" s="40">
        <f t="shared" si="52"/>
        <v>-4.1488037615820374E-3</v>
      </c>
      <c r="R318" s="40">
        <f t="shared" si="53"/>
        <v>3.7832171019645954E-3</v>
      </c>
      <c r="S318" s="40">
        <f t="shared" si="54"/>
        <v>-6.7459042724059524E-3</v>
      </c>
      <c r="T318" s="41">
        <f t="shared" si="55"/>
        <v>-3.8738240177088471E-3</v>
      </c>
      <c r="V318" s="39">
        <f t="shared" si="57"/>
        <v>-2.4570024570025497E-3</v>
      </c>
      <c r="W318" s="40" cm="1">
        <f t="array" ref="W318">IF(M318="","",SUMPRODUCT(M318:T318,TRANSPOSE('04_Dashboard'!$C$53:$C$60)))</f>
        <v>-3.9363980938769199E-3</v>
      </c>
      <c r="X318" s="42">
        <f t="shared" si="58"/>
        <v>1.3681870304930823</v>
      </c>
      <c r="Y318" s="118">
        <f t="shared" si="59"/>
        <v>1.3239103966067765</v>
      </c>
      <c r="AA318" s="43">
        <f>IF(X318="","",X318/MAX($X$4:X318)-1)</f>
        <v>-3.812046527697821E-2</v>
      </c>
      <c r="AB318" s="44">
        <f>IF(Y318="","",Y318/MAX($Y$4:Y318)-1)</f>
        <v>-3.4020750092822016E-2</v>
      </c>
    </row>
    <row r="319" spans="1:28" x14ac:dyDescent="0.45">
      <c r="A319" s="121">
        <v>45660</v>
      </c>
      <c r="B319" s="124">
        <v>591.95000000000005</v>
      </c>
      <c r="C319" s="124">
        <v>243.36</v>
      </c>
      <c r="D319" s="124">
        <v>423.35</v>
      </c>
      <c r="E319" s="124">
        <v>243.28</v>
      </c>
      <c r="F319" s="124">
        <v>107.86</v>
      </c>
      <c r="G319" s="124">
        <v>144.19</v>
      </c>
      <c r="H319" s="124">
        <v>224.19</v>
      </c>
      <c r="I319" s="124">
        <v>61.75</v>
      </c>
      <c r="J319" s="125">
        <v>90.78</v>
      </c>
      <c r="L319" s="39">
        <f t="shared" si="56"/>
        <v>1.2503420908593424E-2</v>
      </c>
      <c r="M319" s="40">
        <f t="shared" si="48"/>
        <v>-2.0094320278859165E-3</v>
      </c>
      <c r="N319" s="40">
        <f t="shared" si="49"/>
        <v>1.1395671078408044E-2</v>
      </c>
      <c r="O319" s="40">
        <f t="shared" si="50"/>
        <v>1.3666666666666671E-2</v>
      </c>
      <c r="P319" s="40">
        <f t="shared" si="51"/>
        <v>5.125337806355392E-3</v>
      </c>
      <c r="Q319" s="40">
        <f t="shared" si="52"/>
        <v>1.1803916122759858E-3</v>
      </c>
      <c r="R319" s="40">
        <f t="shared" si="53"/>
        <v>1.8027427118336204E-2</v>
      </c>
      <c r="S319" s="40">
        <f t="shared" si="54"/>
        <v>-1.4553686934023838E-3</v>
      </c>
      <c r="T319" s="41">
        <f t="shared" si="55"/>
        <v>8.6666666666666801E-3</v>
      </c>
      <c r="V319" s="39">
        <f t="shared" si="57"/>
        <v>1.2503420908593424E-2</v>
      </c>
      <c r="W319" s="40" cm="1">
        <f t="array" ref="W319">IF(M319="","",SUMPRODUCT(M319:T319,TRANSPOSE('04_Dashboard'!$C$53:$C$60)))</f>
        <v>6.7750330054617957E-3</v>
      </c>
      <c r="X319" s="42">
        <f t="shared" si="58"/>
        <v>1.385294048817016</v>
      </c>
      <c r="Y319" s="118">
        <f t="shared" si="59"/>
        <v>1.3328799332400616</v>
      </c>
      <c r="AA319" s="43">
        <f>IF(X319="","",X319/MAX($X$4:X319)-1)</f>
        <v>-2.6093680590974166E-2</v>
      </c>
      <c r="AB319" s="44">
        <f>IF(Y319="","",Y319/MAX($Y$4:Y319)-1)</f>
        <v>-2.7476208792109547E-2</v>
      </c>
    </row>
    <row r="320" spans="1:28" x14ac:dyDescent="0.45">
      <c r="A320" s="121">
        <v>45663</v>
      </c>
      <c r="B320" s="124">
        <v>595.36</v>
      </c>
      <c r="C320" s="124">
        <v>245</v>
      </c>
      <c r="D320" s="124">
        <v>427.85</v>
      </c>
      <c r="E320" s="124">
        <v>240.85</v>
      </c>
      <c r="F320" s="124">
        <v>107.74</v>
      </c>
      <c r="G320" s="124">
        <v>143.66</v>
      </c>
      <c r="H320" s="124">
        <v>227.61</v>
      </c>
      <c r="I320" s="124">
        <v>60.81</v>
      </c>
      <c r="J320" s="125">
        <v>91.43</v>
      </c>
      <c r="L320" s="39">
        <f t="shared" si="56"/>
        <v>5.7606216741278278E-3</v>
      </c>
      <c r="M320" s="40">
        <f t="shared" si="48"/>
        <v>6.7389875082182211E-3</v>
      </c>
      <c r="N320" s="40">
        <f t="shared" si="49"/>
        <v>1.0629502775481279E-2</v>
      </c>
      <c r="O320" s="40">
        <f t="shared" si="50"/>
        <v>-9.9884906280828956E-3</v>
      </c>
      <c r="P320" s="40">
        <f t="shared" si="51"/>
        <v>-1.112553309846139E-3</v>
      </c>
      <c r="Q320" s="40">
        <f t="shared" si="52"/>
        <v>-3.6757056661349688E-3</v>
      </c>
      <c r="R320" s="40">
        <f t="shared" si="53"/>
        <v>1.5254917703733512E-2</v>
      </c>
      <c r="S320" s="40">
        <f t="shared" si="54"/>
        <v>-1.5222672064777291E-2</v>
      </c>
      <c r="T320" s="41">
        <f t="shared" si="55"/>
        <v>7.1601674377616839E-3</v>
      </c>
      <c r="V320" s="39">
        <f t="shared" si="57"/>
        <v>5.7606216741278278E-3</v>
      </c>
      <c r="W320" s="40" cm="1">
        <f t="array" ref="W320">IF(M320="","",SUMPRODUCT(M320:T320,TRANSPOSE('04_Dashboard'!$C$53:$C$60)))</f>
        <v>-2.1912285105596453E-3</v>
      </c>
      <c r="X320" s="42">
        <f t="shared" si="58"/>
        <v>1.3932742037396715</v>
      </c>
      <c r="Y320" s="118">
        <f t="shared" si="59"/>
        <v>1.3299592887291931</v>
      </c>
      <c r="AA320" s="43">
        <f>IF(X320="","",X320/MAX($X$4:X320)-1)</f>
        <v>-2.0483374738816562E-2</v>
      </c>
      <c r="AB320" s="44">
        <f>IF(Y320="","",Y320/MAX($Y$4:Y320)-1)</f>
        <v>-2.960723065060189E-2</v>
      </c>
    </row>
    <row r="321" spans="1:28" x14ac:dyDescent="0.45">
      <c r="A321" s="121">
        <v>45664</v>
      </c>
      <c r="B321" s="124">
        <v>588.63</v>
      </c>
      <c r="C321" s="124">
        <v>242.21</v>
      </c>
      <c r="D321" s="124">
        <v>422.37</v>
      </c>
      <c r="E321" s="124">
        <v>243.17</v>
      </c>
      <c r="F321" s="124">
        <v>108.75</v>
      </c>
      <c r="G321" s="124">
        <v>146.22999999999999</v>
      </c>
      <c r="H321" s="124">
        <v>222.11</v>
      </c>
      <c r="I321" s="124">
        <v>60.84</v>
      </c>
      <c r="J321" s="125">
        <v>90.81</v>
      </c>
      <c r="L321" s="39">
        <f t="shared" si="56"/>
        <v>-1.1304084923407716E-2</v>
      </c>
      <c r="M321" s="40">
        <f t="shared" si="48"/>
        <v>-1.1387755102040783E-2</v>
      </c>
      <c r="N321" s="40">
        <f t="shared" si="49"/>
        <v>-1.2808227182423788E-2</v>
      </c>
      <c r="O321" s="40">
        <f t="shared" si="50"/>
        <v>9.6325513805272708E-3</v>
      </c>
      <c r="P321" s="40">
        <f t="shared" si="51"/>
        <v>9.374419899758726E-3</v>
      </c>
      <c r="Q321" s="40">
        <f t="shared" si="52"/>
        <v>1.788946122789916E-2</v>
      </c>
      <c r="R321" s="40">
        <f t="shared" si="53"/>
        <v>-2.4164140415623214E-2</v>
      </c>
      <c r="S321" s="40">
        <f t="shared" si="54"/>
        <v>4.9333991119883468E-4</v>
      </c>
      <c r="T321" s="41">
        <f t="shared" si="55"/>
        <v>-6.7811440446243522E-3</v>
      </c>
      <c r="V321" s="39">
        <f t="shared" si="57"/>
        <v>-1.1304084923407716E-2</v>
      </c>
      <c r="W321" s="40" cm="1">
        <f t="array" ref="W321">IF(M321="","",SUMPRODUCT(M321:T321,TRANSPOSE('04_Dashboard'!$C$53:$C$60)))</f>
        <v>2.8610871859416492E-3</v>
      </c>
      <c r="X321" s="42">
        <f t="shared" si="58"/>
        <v>1.3775245138190049</v>
      </c>
      <c r="Y321" s="118">
        <f t="shared" si="59"/>
        <v>1.3337644182080002</v>
      </c>
      <c r="AA321" s="43">
        <f>IF(X321="","",X321/MAX($X$4:X321)-1)</f>
        <v>-3.1555913854658835E-2</v>
      </c>
      <c r="AB321" s="44">
        <f>IF(Y321="","",Y321/MAX($Y$4:Y321)-1)</f>
        <v>-2.6830852332885957E-2</v>
      </c>
    </row>
    <row r="322" spans="1:28" x14ac:dyDescent="0.45">
      <c r="A322" s="121">
        <v>45665</v>
      </c>
      <c r="B322" s="124">
        <v>589.49</v>
      </c>
      <c r="C322" s="124">
        <v>242.7</v>
      </c>
      <c r="D322" s="124">
        <v>424.56</v>
      </c>
      <c r="E322" s="124">
        <v>243.13</v>
      </c>
      <c r="F322" s="124">
        <v>106.93</v>
      </c>
      <c r="G322" s="124">
        <v>142.27000000000001</v>
      </c>
      <c r="H322" s="124">
        <v>222.13</v>
      </c>
      <c r="I322" s="124">
        <v>61.71</v>
      </c>
      <c r="J322" s="125">
        <v>91.8</v>
      </c>
      <c r="L322" s="39">
        <f t="shared" si="56"/>
        <v>1.4610196558109741E-3</v>
      </c>
      <c r="M322" s="40">
        <f t="shared" si="48"/>
        <v>2.0230378597084374E-3</v>
      </c>
      <c r="N322" s="40">
        <f t="shared" si="49"/>
        <v>5.1850273456921598E-3</v>
      </c>
      <c r="O322" s="40">
        <f t="shared" si="50"/>
        <v>-1.6449397540811795E-4</v>
      </c>
      <c r="P322" s="40">
        <f t="shared" si="51"/>
        <v>-1.6735632183907983E-2</v>
      </c>
      <c r="Q322" s="40">
        <f t="shared" si="52"/>
        <v>-2.7080626410449154E-2</v>
      </c>
      <c r="R322" s="40">
        <f t="shared" si="53"/>
        <v>9.0045472963764842E-5</v>
      </c>
      <c r="S322" s="40">
        <f t="shared" si="54"/>
        <v>1.429980276134118E-2</v>
      </c>
      <c r="T322" s="41">
        <f t="shared" si="55"/>
        <v>1.0901883052527197E-2</v>
      </c>
      <c r="V322" s="39">
        <f t="shared" si="57"/>
        <v>1.4610196558109741E-3</v>
      </c>
      <c r="W322" s="40" cm="1">
        <f t="array" ref="W322">IF(M322="","",SUMPRODUCT(M322:T322,TRANSPOSE('04_Dashboard'!$C$53:$C$60)))</f>
        <v>-3.3576517523769321E-3</v>
      </c>
      <c r="X322" s="42">
        <f t="shared" si="58"/>
        <v>1.3795371042100557</v>
      </c>
      <c r="Y322" s="118">
        <f t="shared" si="59"/>
        <v>1.3292861017719462</v>
      </c>
      <c r="AA322" s="43">
        <f>IF(X322="","",X322/MAX($X$4:X322)-1)</f>
        <v>-3.0140998009246633E-2</v>
      </c>
      <c r="AB322" s="44">
        <f>IF(Y322="","",Y322/MAX($Y$4:Y322)-1)</f>
        <v>-3.0098415426909497E-2</v>
      </c>
    </row>
    <row r="323" spans="1:28" x14ac:dyDescent="0.45">
      <c r="A323" s="121">
        <v>45667</v>
      </c>
      <c r="B323" s="124">
        <v>580.49</v>
      </c>
      <c r="C323" s="124">
        <v>236.85</v>
      </c>
      <c r="D323" s="124">
        <v>418.95</v>
      </c>
      <c r="E323" s="124">
        <v>239.87</v>
      </c>
      <c r="F323" s="124">
        <v>106.54</v>
      </c>
      <c r="G323" s="124">
        <v>142.06</v>
      </c>
      <c r="H323" s="124">
        <v>218.94</v>
      </c>
      <c r="I323" s="124">
        <v>61.07</v>
      </c>
      <c r="J323" s="125">
        <v>93</v>
      </c>
      <c r="L323" s="39">
        <f t="shared" si="56"/>
        <v>-1.5267434562079085E-2</v>
      </c>
      <c r="M323" s="40">
        <f t="shared" si="48"/>
        <v>-2.4103831891223712E-2</v>
      </c>
      <c r="N323" s="40">
        <f t="shared" si="49"/>
        <v>-1.3213680045223322E-2</v>
      </c>
      <c r="O323" s="40">
        <f t="shared" si="50"/>
        <v>-1.3408464607411635E-2</v>
      </c>
      <c r="P323" s="40">
        <f t="shared" si="51"/>
        <v>-3.647245861778739E-3</v>
      </c>
      <c r="Q323" s="40">
        <f t="shared" si="52"/>
        <v>-1.4760666338652418E-3</v>
      </c>
      <c r="R323" s="40">
        <f t="shared" si="53"/>
        <v>-1.4360959798316291E-2</v>
      </c>
      <c r="S323" s="40">
        <f t="shared" si="54"/>
        <v>-1.0371090584994337E-2</v>
      </c>
      <c r="T323" s="41">
        <f t="shared" si="55"/>
        <v>1.3071895424836633E-2</v>
      </c>
      <c r="V323" s="39">
        <f t="shared" si="57"/>
        <v>-1.5267434562079085E-2</v>
      </c>
      <c r="W323" s="40" cm="1">
        <f t="array" ref="W323">IF(M323="","",SUMPRODUCT(M323:T323,TRANSPOSE('04_Dashboard'!$C$53:$C$60)))</f>
        <v>-6.6083974385626951E-3</v>
      </c>
      <c r="X323" s="42">
        <f t="shared" si="58"/>
        <v>1.3584751117455685</v>
      </c>
      <c r="Y323" s="118">
        <f t="shared" si="59"/>
        <v>1.3205016509018794</v>
      </c>
      <c r="AA323" s="43">
        <f>IF(X323="","",X323/MAX($X$4:X323)-1)</f>
        <v>-4.4948256856583879E-2</v>
      </c>
      <c r="AB323" s="44">
        <f>IF(Y323="","",Y323/MAX($Y$4:Y323)-1)</f>
        <v>-3.6507910574060221E-2</v>
      </c>
    </row>
    <row r="324" spans="1:28" x14ac:dyDescent="0.45">
      <c r="A324" s="121">
        <v>45670</v>
      </c>
      <c r="B324" s="124">
        <v>581.39</v>
      </c>
      <c r="C324" s="124">
        <v>234.4</v>
      </c>
      <c r="D324" s="124">
        <v>417.19</v>
      </c>
      <c r="E324" s="124">
        <v>244.21</v>
      </c>
      <c r="F324" s="124">
        <v>109.29</v>
      </c>
      <c r="G324" s="124">
        <v>144.47</v>
      </c>
      <c r="H324" s="124">
        <v>218.46</v>
      </c>
      <c r="I324" s="124">
        <v>61.65</v>
      </c>
      <c r="J324" s="125">
        <v>91.53</v>
      </c>
      <c r="L324" s="39">
        <f t="shared" si="56"/>
        <v>1.5504143051559497E-3</v>
      </c>
      <c r="M324" s="40">
        <f t="shared" ref="M324:M387" si="60">IF(C324="","",(C324-C323)/C323)</f>
        <v>-1.0344099641123025E-2</v>
      </c>
      <c r="N324" s="40">
        <f t="shared" ref="N324:N387" si="61">IF(D324="","",(D324-D323)/D323)</f>
        <v>-4.2009786370688414E-3</v>
      </c>
      <c r="O324" s="40">
        <f t="shared" ref="O324:O387" si="62">IF(E324="","",(E324-E323)/E323)</f>
        <v>1.8093133780797944E-2</v>
      </c>
      <c r="P324" s="40">
        <f t="shared" ref="P324:P387" si="63">IF(F324="","",(F324-F323)/F323)</f>
        <v>2.5811901633189412E-2</v>
      </c>
      <c r="Q324" s="40">
        <f t="shared" ref="Q324:Q387" si="64">IF(G324="","",(G324-G323)/G323)</f>
        <v>1.6964662818527359E-2</v>
      </c>
      <c r="R324" s="40">
        <f t="shared" ref="R324:R387" si="65">IF(H324="","",(H324-H323)/H323)</f>
        <v>-2.1923814743764949E-3</v>
      </c>
      <c r="S324" s="40">
        <f t="shared" ref="S324:S387" si="66">IF(I324="","",(I324-I323)/I323)</f>
        <v>9.4972981824135959E-3</v>
      </c>
      <c r="T324" s="41">
        <f t="shared" ref="T324:T387" si="67">IF(J324="","",(J324-J323)/J323)</f>
        <v>-1.5806451612903213E-2</v>
      </c>
      <c r="V324" s="39">
        <f t="shared" si="57"/>
        <v>1.5504143051559497E-3</v>
      </c>
      <c r="W324" s="40" cm="1">
        <f t="array" ref="W324">IF(M324="","",SUMPRODUCT(M324:T324,TRANSPOSE('04_Dashboard'!$C$53:$C$60)))</f>
        <v>7.7145359920089591E-3</v>
      </c>
      <c r="X324" s="42">
        <f t="shared" si="58"/>
        <v>1.3605813109920171</v>
      </c>
      <c r="Y324" s="118">
        <f t="shared" si="59"/>
        <v>1.3306887084152692</v>
      </c>
      <c r="AA324" s="43">
        <f>IF(X324="","",X324/MAX($X$4:X324)-1)</f>
        <v>-4.3467530971850299E-2</v>
      </c>
      <c r="AB324" s="44">
        <f>IF(Y324="","",Y324/MAX($Y$4:Y324)-1)</f>
        <v>-2.90750161721679E-2</v>
      </c>
    </row>
    <row r="325" spans="1:28" x14ac:dyDescent="0.45">
      <c r="A325" s="121">
        <v>45671</v>
      </c>
      <c r="B325" s="124">
        <v>582.19000000000005</v>
      </c>
      <c r="C325" s="124">
        <v>233.28</v>
      </c>
      <c r="D325" s="124">
        <v>415.67</v>
      </c>
      <c r="E325" s="124">
        <v>247.47</v>
      </c>
      <c r="F325" s="124">
        <v>109.72</v>
      </c>
      <c r="G325" s="124">
        <v>144.75</v>
      </c>
      <c r="H325" s="124">
        <v>217.76</v>
      </c>
      <c r="I325" s="124">
        <v>62.04</v>
      </c>
      <c r="J325" s="125">
        <v>90.79</v>
      </c>
      <c r="L325" s="39">
        <f t="shared" ref="L325:L388" si="68">IF(B325="","",(B325-B324)/B324)</f>
        <v>1.3760126593165831E-3</v>
      </c>
      <c r="M325" s="40">
        <f t="shared" si="60"/>
        <v>-4.7781569965870503E-3</v>
      </c>
      <c r="N325" s="40">
        <f t="shared" si="61"/>
        <v>-3.6434238596322584E-3</v>
      </c>
      <c r="O325" s="40">
        <f t="shared" si="62"/>
        <v>1.3349166700790265E-2</v>
      </c>
      <c r="P325" s="40">
        <f t="shared" si="63"/>
        <v>3.93448622929813E-3</v>
      </c>
      <c r="Q325" s="40">
        <f t="shared" si="64"/>
        <v>1.9381186405482186E-3</v>
      </c>
      <c r="R325" s="40">
        <f t="shared" si="65"/>
        <v>-3.2042479172389319E-3</v>
      </c>
      <c r="S325" s="40">
        <f t="shared" si="66"/>
        <v>6.3260340632603504E-3</v>
      </c>
      <c r="T325" s="41">
        <f t="shared" si="67"/>
        <v>-8.0847809461378223E-3</v>
      </c>
      <c r="V325" s="39">
        <f t="shared" ref="V325:V388" si="69">L325</f>
        <v>1.3760126593165831E-3</v>
      </c>
      <c r="W325" s="40" cm="1">
        <f t="array" ref="W325">IF(M325="","",SUMPRODUCT(M325:T325,TRANSPOSE('04_Dashboard'!$C$53:$C$60)))</f>
        <v>2.8238078494524791E-3</v>
      </c>
      <c r="X325" s="42">
        <f t="shared" si="58"/>
        <v>1.3624534880999715</v>
      </c>
      <c r="Y325" s="118">
        <f t="shared" si="59"/>
        <v>1.3344463176352701</v>
      </c>
      <c r="AA325" s="43">
        <f>IF(X325="","",X325/MAX($X$4:X325)-1)</f>
        <v>-4.2151330185420277E-2</v>
      </c>
      <c r="AB325" s="44">
        <f>IF(Y325="","",Y325/MAX($Y$4:Y325)-1)</f>
        <v>-2.6333310581605263E-2</v>
      </c>
    </row>
    <row r="326" spans="1:28" x14ac:dyDescent="0.45">
      <c r="A326" s="121">
        <v>45672</v>
      </c>
      <c r="B326" s="124">
        <v>592.78</v>
      </c>
      <c r="C326" s="124">
        <v>237.87</v>
      </c>
      <c r="D326" s="124">
        <v>426.31</v>
      </c>
      <c r="E326" s="124">
        <v>252.35</v>
      </c>
      <c r="F326" s="124">
        <v>111.51</v>
      </c>
      <c r="G326" s="124">
        <v>144.97</v>
      </c>
      <c r="H326" s="124">
        <v>223.35</v>
      </c>
      <c r="I326" s="124">
        <v>61.77</v>
      </c>
      <c r="J326" s="125">
        <v>91.34</v>
      </c>
      <c r="L326" s="39">
        <f t="shared" si="68"/>
        <v>1.8189937992751364E-2</v>
      </c>
      <c r="M326" s="40">
        <f t="shared" si="60"/>
        <v>1.967592592592594E-2</v>
      </c>
      <c r="N326" s="40">
        <f t="shared" si="61"/>
        <v>2.559722857074118E-2</v>
      </c>
      <c r="O326" s="40">
        <f t="shared" si="62"/>
        <v>1.9719561967107106E-2</v>
      </c>
      <c r="P326" s="40">
        <f t="shared" si="63"/>
        <v>1.6314254465913291E-2</v>
      </c>
      <c r="Q326" s="40">
        <f t="shared" si="64"/>
        <v>1.5198618307426519E-3</v>
      </c>
      <c r="R326" s="40">
        <f t="shared" si="65"/>
        <v>2.5670462894930215E-2</v>
      </c>
      <c r="S326" s="40">
        <f t="shared" si="66"/>
        <v>-4.3520309477755644E-3</v>
      </c>
      <c r="T326" s="41">
        <f t="shared" si="67"/>
        <v>6.0579358960237591E-3</v>
      </c>
      <c r="V326" s="39">
        <f t="shared" si="69"/>
        <v>1.8189937992751364E-2</v>
      </c>
      <c r="W326" s="40" cm="1">
        <f t="array" ref="W326">IF(M326="","",SUMPRODUCT(M326:T326,TRANSPOSE('04_Dashboard'!$C$53:$C$60)))</f>
        <v>1.0808781539857166E-2</v>
      </c>
      <c r="X326" s="42">
        <f t="shared" ref="X326:X389" si="70">IF(V326="","",X325*(1+V326))</f>
        <v>1.3872364325665176</v>
      </c>
      <c r="Y326" s="118">
        <f t="shared" ref="Y326:Y389" si="71">IF(W326="","",Y325*(1+W326))</f>
        <v>1.3488700563592566</v>
      </c>
      <c r="AA326" s="43">
        <f>IF(X326="","",X326/MAX($X$4:X326)-1)</f>
        <v>-2.4728122275053832E-2</v>
      </c>
      <c r="AB326" s="44">
        <f>IF(Y326="","",Y326/MAX($Y$4:Y326)-1)</f>
        <v>-1.5809160043045889E-2</v>
      </c>
    </row>
    <row r="327" spans="1:28" x14ac:dyDescent="0.45">
      <c r="A327" s="121">
        <v>45673</v>
      </c>
      <c r="B327" s="124">
        <v>591.64</v>
      </c>
      <c r="C327" s="124">
        <v>228.26</v>
      </c>
      <c r="D327" s="124">
        <v>424.58</v>
      </c>
      <c r="E327" s="124">
        <v>254.27</v>
      </c>
      <c r="F327" s="124">
        <v>111.32</v>
      </c>
      <c r="G327" s="124">
        <v>147.77000000000001</v>
      </c>
      <c r="H327" s="124">
        <v>220.66</v>
      </c>
      <c r="I327" s="124">
        <v>62.25</v>
      </c>
      <c r="J327" s="125">
        <v>91.3</v>
      </c>
      <c r="L327" s="39">
        <f t="shared" si="68"/>
        <v>-1.9231418064037018E-3</v>
      </c>
      <c r="M327" s="40">
        <f t="shared" si="60"/>
        <v>-4.0400218606802089E-2</v>
      </c>
      <c r="N327" s="40">
        <f t="shared" si="61"/>
        <v>-4.058079801083761E-3</v>
      </c>
      <c r="O327" s="40">
        <f t="shared" si="62"/>
        <v>7.6084802853180738E-3</v>
      </c>
      <c r="P327" s="40">
        <f t="shared" si="63"/>
        <v>-1.7038830598153701E-3</v>
      </c>
      <c r="Q327" s="40">
        <f t="shared" si="64"/>
        <v>1.9314340898116931E-2</v>
      </c>
      <c r="R327" s="40">
        <f t="shared" si="65"/>
        <v>-1.2043877322587857E-2</v>
      </c>
      <c r="S327" s="40">
        <f t="shared" si="66"/>
        <v>7.7707625060708576E-3</v>
      </c>
      <c r="T327" s="41">
        <f t="shared" si="67"/>
        <v>-4.3792423910670299E-4</v>
      </c>
      <c r="V327" s="39">
        <f t="shared" si="69"/>
        <v>-1.9231418064037018E-3</v>
      </c>
      <c r="W327" s="40" cm="1">
        <f t="array" ref="W327">IF(M327="","",SUMPRODUCT(M327:T327,TRANSPOSE('04_Dashboard'!$C$53:$C$60)))</f>
        <v>3.94686619898543E-3</v>
      </c>
      <c r="X327" s="42">
        <f t="shared" si="70"/>
        <v>1.3845685801876826</v>
      </c>
      <c r="Y327" s="118">
        <f t="shared" si="71"/>
        <v>1.3541938659915245</v>
      </c>
      <c r="AA327" s="43">
        <f>IF(X327="","",X327/MAX($X$4:X327)-1)</f>
        <v>-2.6603708395716574E-2</v>
      </c>
      <c r="AB327" s="44">
        <f>IF(Y327="","",Y327/MAX($Y$4:Y327)-1)</f>
        <v>-1.1924690483468781E-2</v>
      </c>
    </row>
    <row r="328" spans="1:28" x14ac:dyDescent="0.45">
      <c r="A328" s="121">
        <v>45674</v>
      </c>
      <c r="B328" s="124">
        <v>597.58000000000004</v>
      </c>
      <c r="C328" s="124">
        <v>229.98</v>
      </c>
      <c r="D328" s="124">
        <v>429.03</v>
      </c>
      <c r="E328" s="124">
        <v>259.16000000000003</v>
      </c>
      <c r="F328" s="124">
        <v>112.32</v>
      </c>
      <c r="G328" s="124">
        <v>147.03</v>
      </c>
      <c r="H328" s="124">
        <v>225.94</v>
      </c>
      <c r="I328" s="124">
        <v>62.71</v>
      </c>
      <c r="J328" s="125">
        <v>91.94</v>
      </c>
      <c r="L328" s="39">
        <f t="shared" si="68"/>
        <v>1.0039889121763327E-2</v>
      </c>
      <c r="M328" s="40">
        <f t="shared" si="60"/>
        <v>7.5352668010163805E-3</v>
      </c>
      <c r="N328" s="40">
        <f t="shared" si="61"/>
        <v>1.0480945875924417E-2</v>
      </c>
      <c r="O328" s="40">
        <f t="shared" si="62"/>
        <v>1.9231525543713431E-2</v>
      </c>
      <c r="P328" s="40">
        <f t="shared" si="63"/>
        <v>8.9831117499101689E-3</v>
      </c>
      <c r="Q328" s="40">
        <f t="shared" si="64"/>
        <v>-5.0077823644854103E-3</v>
      </c>
      <c r="R328" s="40">
        <f t="shared" si="65"/>
        <v>2.392821535393819E-2</v>
      </c>
      <c r="S328" s="40">
        <f t="shared" si="66"/>
        <v>7.3895582329317408E-3</v>
      </c>
      <c r="T328" s="41">
        <f t="shared" si="67"/>
        <v>7.0098576122672573E-3</v>
      </c>
      <c r="V328" s="39">
        <f t="shared" si="69"/>
        <v>1.0039889121763327E-2</v>
      </c>
      <c r="W328" s="40" cm="1">
        <f t="array" ref="W328">IF(M328="","",SUMPRODUCT(M328:T328,TRANSPOSE('04_Dashboard'!$C$53:$C$60)))</f>
        <v>8.7036247265509133E-3</v>
      </c>
      <c r="X328" s="42">
        <f t="shared" si="70"/>
        <v>1.398469495214244</v>
      </c>
      <c r="Y328" s="118">
        <f t="shared" si="71"/>
        <v>1.3659802612081118</v>
      </c>
      <c r="AA328" s="43">
        <f>IF(X328="","",X328/MAX($X$4:X328)-1)</f>
        <v>-1.6830917556474034E-2</v>
      </c>
      <c r="AB328" s="44">
        <f>IF(Y328="","",Y328/MAX($Y$4:Y328)-1)</f>
        <v>-3.3248537878662887E-3</v>
      </c>
    </row>
    <row r="329" spans="1:28" x14ac:dyDescent="0.45">
      <c r="A329" s="121">
        <v>45678</v>
      </c>
      <c r="B329" s="124">
        <v>603.04999999999995</v>
      </c>
      <c r="C329" s="124">
        <v>222.64</v>
      </c>
      <c r="D329" s="124">
        <v>428.5</v>
      </c>
      <c r="E329" s="124">
        <v>263.02999999999997</v>
      </c>
      <c r="F329" s="124">
        <v>111.47</v>
      </c>
      <c r="G329" s="124">
        <v>148.15</v>
      </c>
      <c r="H329" s="124">
        <v>230.71</v>
      </c>
      <c r="I329" s="124">
        <v>62.42</v>
      </c>
      <c r="J329" s="125">
        <v>93.08</v>
      </c>
      <c r="L329" s="39">
        <f t="shared" si="68"/>
        <v>9.1535861307271219E-3</v>
      </c>
      <c r="M329" s="40">
        <f t="shared" si="60"/>
        <v>-3.1915818766849305E-2</v>
      </c>
      <c r="N329" s="40">
        <f t="shared" si="61"/>
        <v>-1.235344847679586E-3</v>
      </c>
      <c r="O329" s="40">
        <f t="shared" si="62"/>
        <v>1.4932860009260486E-2</v>
      </c>
      <c r="P329" s="40">
        <f t="shared" si="63"/>
        <v>-7.5676638176637679E-3</v>
      </c>
      <c r="Q329" s="40">
        <f t="shared" si="64"/>
        <v>7.6174930286336427E-3</v>
      </c>
      <c r="R329" s="40">
        <f t="shared" si="65"/>
        <v>2.1111799592812296E-2</v>
      </c>
      <c r="S329" s="40">
        <f t="shared" si="66"/>
        <v>-4.6244618083240178E-3</v>
      </c>
      <c r="T329" s="41">
        <f t="shared" si="67"/>
        <v>1.2399390907113341E-2</v>
      </c>
      <c r="V329" s="39">
        <f t="shared" si="69"/>
        <v>9.1535861307271219E-3</v>
      </c>
      <c r="W329" s="40" cm="1">
        <f t="array" ref="W329">IF(M329="","",SUMPRODUCT(M329:T329,TRANSPOSE('04_Dashboard'!$C$53:$C$60)))</f>
        <v>5.7755473271363421E-3</v>
      </c>
      <c r="X329" s="42">
        <f t="shared" si="70"/>
        <v>1.411270506189882</v>
      </c>
      <c r="Y329" s="118">
        <f t="shared" si="71"/>
        <v>1.3738695448546534</v>
      </c>
      <c r="AA329" s="43">
        <f>IF(X329="","",X329/MAX($X$4:X329)-1)</f>
        <v>-7.831394679259307E-3</v>
      </c>
      <c r="AB329" s="44">
        <f>IF(Y329="","",Y329/MAX($Y$4:Y329)-1)</f>
        <v>0</v>
      </c>
    </row>
    <row r="330" spans="1:28" x14ac:dyDescent="0.45">
      <c r="A330" s="121">
        <v>45679</v>
      </c>
      <c r="B330" s="124">
        <v>606.44000000000005</v>
      </c>
      <c r="C330" s="124">
        <v>223.83</v>
      </c>
      <c r="D330" s="124">
        <v>446.2</v>
      </c>
      <c r="E330" s="124">
        <v>262.83999999999997</v>
      </c>
      <c r="F330" s="124">
        <v>109.53</v>
      </c>
      <c r="G330" s="124">
        <v>145.27000000000001</v>
      </c>
      <c r="H330" s="124">
        <v>235.01</v>
      </c>
      <c r="I330" s="124">
        <v>61.78</v>
      </c>
      <c r="J330" s="125">
        <v>93.23</v>
      </c>
      <c r="L330" s="39">
        <f t="shared" si="68"/>
        <v>5.621424425835503E-3</v>
      </c>
      <c r="M330" s="40">
        <f t="shared" si="60"/>
        <v>5.3449514911966681E-3</v>
      </c>
      <c r="N330" s="40">
        <f t="shared" si="61"/>
        <v>4.1306884480746764E-2</v>
      </c>
      <c r="O330" s="40">
        <f t="shared" si="62"/>
        <v>-7.2235106261642299E-4</v>
      </c>
      <c r="P330" s="40">
        <f t="shared" si="63"/>
        <v>-1.7403785771956559E-2</v>
      </c>
      <c r="Q330" s="40">
        <f t="shared" si="64"/>
        <v>-1.943975700303743E-2</v>
      </c>
      <c r="R330" s="40">
        <f t="shared" si="65"/>
        <v>1.8638117116726551E-2</v>
      </c>
      <c r="S330" s="40">
        <f t="shared" si="66"/>
        <v>-1.0253123998718368E-2</v>
      </c>
      <c r="T330" s="41">
        <f t="shared" si="67"/>
        <v>1.6115169746455274E-3</v>
      </c>
      <c r="V330" s="39">
        <f t="shared" si="69"/>
        <v>5.621424425835503E-3</v>
      </c>
      <c r="W330" s="40" cm="1">
        <f t="array" ref="W330">IF(M330="","",SUMPRODUCT(M330:T330,TRANSPOSE('04_Dashboard'!$C$53:$C$60)))</f>
        <v>-2.3931501022457754E-3</v>
      </c>
      <c r="X330" s="42">
        <f t="shared" si="70"/>
        <v>1.4192038566848391</v>
      </c>
      <c r="Y330" s="118">
        <f t="shared" si="71"/>
        <v>1.3705816688129122</v>
      </c>
      <c r="AA330" s="43">
        <f>IF(X330="","",X330/MAX($X$4:X330)-1)</f>
        <v>-2.2539938467621701E-3</v>
      </c>
      <c r="AB330" s="44">
        <f>IF(Y330="","",Y330/MAX($Y$4:Y330)-1)</f>
        <v>-2.3931501022457224E-3</v>
      </c>
    </row>
    <row r="331" spans="1:28" x14ac:dyDescent="0.45">
      <c r="A331" s="121">
        <v>45680</v>
      </c>
      <c r="B331" s="124">
        <v>609.75</v>
      </c>
      <c r="C331" s="124">
        <v>223.66</v>
      </c>
      <c r="D331" s="124">
        <v>446.71</v>
      </c>
      <c r="E331" s="124">
        <v>265.95</v>
      </c>
      <c r="F331" s="124">
        <v>110.15</v>
      </c>
      <c r="G331" s="124">
        <v>146.63999999999999</v>
      </c>
      <c r="H331" s="124">
        <v>235.42</v>
      </c>
      <c r="I331" s="124">
        <v>61.53</v>
      </c>
      <c r="J331" s="125">
        <v>93.81</v>
      </c>
      <c r="L331" s="39">
        <f t="shared" si="68"/>
        <v>5.4580832398917374E-3</v>
      </c>
      <c r="M331" s="40">
        <f t="shared" si="60"/>
        <v>-7.5950498145921418E-4</v>
      </c>
      <c r="N331" s="40">
        <f t="shared" si="61"/>
        <v>1.1429852084266941E-3</v>
      </c>
      <c r="O331" s="40">
        <f t="shared" si="62"/>
        <v>1.1832293410439865E-2</v>
      </c>
      <c r="P331" s="40">
        <f t="shared" si="63"/>
        <v>5.6605496211084138E-3</v>
      </c>
      <c r="Q331" s="40">
        <f t="shared" si="64"/>
        <v>9.4307152199351284E-3</v>
      </c>
      <c r="R331" s="40">
        <f t="shared" si="65"/>
        <v>1.7446066124845606E-3</v>
      </c>
      <c r="S331" s="40">
        <f t="shared" si="66"/>
        <v>-4.046617028164454E-3</v>
      </c>
      <c r="T331" s="41">
        <f t="shared" si="67"/>
        <v>6.2211734420250806E-3</v>
      </c>
      <c r="V331" s="39">
        <f t="shared" si="69"/>
        <v>5.4580832398917374E-3</v>
      </c>
      <c r="W331" s="40" cm="1">
        <f t="array" ref="W331">IF(M331="","",SUMPRODUCT(M331:T331,TRANSPOSE('04_Dashboard'!$C$53:$C$60)))</f>
        <v>5.8069890916159165E-3</v>
      </c>
      <c r="X331" s="42">
        <f t="shared" si="70"/>
        <v>1.4269499894690005</v>
      </c>
      <c r="Y331" s="118">
        <f t="shared" si="71"/>
        <v>1.3785406216128775</v>
      </c>
      <c r="AA331" s="43">
        <f>IF(X331="","",X331/MAX($X$4:X331)-1)</f>
        <v>0</v>
      </c>
      <c r="AB331" s="44">
        <f>IF(Y331="","",Y331/MAX($Y$4:Y331)-1)</f>
        <v>0</v>
      </c>
    </row>
    <row r="332" spans="1:28" x14ac:dyDescent="0.45">
      <c r="A332" s="121">
        <v>45681</v>
      </c>
      <c r="B332" s="124">
        <v>607.97</v>
      </c>
      <c r="C332" s="124">
        <v>222.78</v>
      </c>
      <c r="D332" s="124">
        <v>444.06</v>
      </c>
      <c r="E332" s="124">
        <v>264.83999999999997</v>
      </c>
      <c r="F332" s="124">
        <v>108.66</v>
      </c>
      <c r="G332" s="124">
        <v>146.82</v>
      </c>
      <c r="H332" s="124">
        <v>234.85</v>
      </c>
      <c r="I332" s="124">
        <v>61.92</v>
      </c>
      <c r="J332" s="125">
        <v>94.76</v>
      </c>
      <c r="L332" s="39">
        <f t="shared" si="68"/>
        <v>-2.9192291922918783E-3</v>
      </c>
      <c r="M332" s="40">
        <f t="shared" si="60"/>
        <v>-3.934543503532127E-3</v>
      </c>
      <c r="N332" s="40">
        <f t="shared" si="61"/>
        <v>-5.9322603031048719E-3</v>
      </c>
      <c r="O332" s="40">
        <f t="shared" si="62"/>
        <v>-4.1737168640722452E-3</v>
      </c>
      <c r="P332" s="40">
        <f t="shared" si="63"/>
        <v>-1.3527008624602896E-2</v>
      </c>
      <c r="Q332" s="40">
        <f t="shared" si="64"/>
        <v>1.2274959083470188E-3</v>
      </c>
      <c r="R332" s="40">
        <f t="shared" si="65"/>
        <v>-2.4212046555092737E-3</v>
      </c>
      <c r="S332" s="40">
        <f t="shared" si="66"/>
        <v>6.3383715260848456E-3</v>
      </c>
      <c r="T332" s="41">
        <f t="shared" si="67"/>
        <v>1.012685214795867E-2</v>
      </c>
      <c r="V332" s="39">
        <f t="shared" si="69"/>
        <v>-2.9192291922918783E-3</v>
      </c>
      <c r="W332" s="40" cm="1">
        <f t="array" ref="W332">IF(M332="","",SUMPRODUCT(M332:T332,TRANSPOSE('04_Dashboard'!$C$53:$C$60)))</f>
        <v>1.1864856498087898E-4</v>
      </c>
      <c r="X332" s="42">
        <f t="shared" si="70"/>
        <v>1.422784395403802</v>
      </c>
      <c r="Y332" s="118">
        <f t="shared" si="71"/>
        <v>1.3787041834793998</v>
      </c>
      <c r="AA332" s="43">
        <f>IF(X332="","",X332/MAX($X$4:X332)-1)</f>
        <v>-2.9192291922919278E-3</v>
      </c>
      <c r="AB332" s="44">
        <f>IF(Y332="","",Y332/MAX($Y$4:Y332)-1)</f>
        <v>0</v>
      </c>
    </row>
    <row r="333" spans="1:28" x14ac:dyDescent="0.45">
      <c r="A333" s="121">
        <v>45684</v>
      </c>
      <c r="B333" s="124">
        <v>599.37</v>
      </c>
      <c r="C333" s="124">
        <v>229.86</v>
      </c>
      <c r="D333" s="124">
        <v>434.56</v>
      </c>
      <c r="E333" s="124">
        <v>265.89999999999998</v>
      </c>
      <c r="F333" s="124">
        <v>110.17</v>
      </c>
      <c r="G333" s="124">
        <v>152.91</v>
      </c>
      <c r="H333" s="124">
        <v>235.42</v>
      </c>
      <c r="I333" s="124">
        <v>63.89</v>
      </c>
      <c r="J333" s="125">
        <v>97.4</v>
      </c>
      <c r="L333" s="39">
        <f t="shared" si="68"/>
        <v>-1.4145434807638571E-2</v>
      </c>
      <c r="M333" s="40">
        <f t="shared" si="60"/>
        <v>3.1780231618637279E-2</v>
      </c>
      <c r="N333" s="40">
        <f t="shared" si="61"/>
        <v>-2.1393505382155564E-2</v>
      </c>
      <c r="O333" s="40">
        <f t="shared" si="62"/>
        <v>4.0024165533907351E-3</v>
      </c>
      <c r="P333" s="40">
        <f t="shared" si="63"/>
        <v>1.3896558071047352E-2</v>
      </c>
      <c r="Q333" s="40">
        <f t="shared" si="64"/>
        <v>4.1479362484675139E-2</v>
      </c>
      <c r="R333" s="40">
        <f t="shared" si="65"/>
        <v>2.4270811156056767E-3</v>
      </c>
      <c r="S333" s="40">
        <f t="shared" si="66"/>
        <v>3.1815245478036158E-2</v>
      </c>
      <c r="T333" s="41">
        <f t="shared" si="67"/>
        <v>2.7859856479527233E-2</v>
      </c>
      <c r="V333" s="39">
        <f t="shared" si="69"/>
        <v>-1.4145434807638571E-2</v>
      </c>
      <c r="W333" s="40" cm="1">
        <f t="array" ref="W333">IF(M333="","",SUMPRODUCT(M333:T333,TRANSPOSE('04_Dashboard'!$C$53:$C$60)))</f>
        <v>2.0294684482782221E-2</v>
      </c>
      <c r="X333" s="42">
        <f t="shared" si="70"/>
        <v>1.402658491493292</v>
      </c>
      <c r="Y333" s="118">
        <f t="shared" si="71"/>
        <v>1.4066845498782061</v>
      </c>
      <c r="AA333" s="43">
        <f>IF(X333="","",X333/MAX($X$4:X333)-1)</f>
        <v>-1.7023370233702373E-2</v>
      </c>
      <c r="AB333" s="44">
        <f>IF(Y333="","",Y333/MAX($Y$4:Y333)-1)</f>
        <v>0</v>
      </c>
    </row>
    <row r="334" spans="1:28" x14ac:dyDescent="0.45">
      <c r="A334" s="121">
        <v>45685</v>
      </c>
      <c r="B334" s="124">
        <v>604.52</v>
      </c>
      <c r="C334" s="124">
        <v>238.26</v>
      </c>
      <c r="D334" s="124">
        <v>447.2</v>
      </c>
      <c r="E334" s="124">
        <v>267.14</v>
      </c>
      <c r="F334" s="124">
        <v>108.04</v>
      </c>
      <c r="G334" s="124">
        <v>150.38</v>
      </c>
      <c r="H334" s="124">
        <v>238.15</v>
      </c>
      <c r="I334" s="124">
        <v>62.36</v>
      </c>
      <c r="J334" s="125">
        <v>97.29</v>
      </c>
      <c r="L334" s="39">
        <f t="shared" si="68"/>
        <v>8.5923553064050206E-3</v>
      </c>
      <c r="M334" s="40">
        <f t="shared" si="60"/>
        <v>3.6543983294178961E-2</v>
      </c>
      <c r="N334" s="40">
        <f t="shared" si="61"/>
        <v>2.9086892488954314E-2</v>
      </c>
      <c r="O334" s="40">
        <f t="shared" si="62"/>
        <v>4.6634072959759656E-3</v>
      </c>
      <c r="P334" s="40">
        <f t="shared" si="63"/>
        <v>-1.933375692112186E-2</v>
      </c>
      <c r="Q334" s="40">
        <f t="shared" si="64"/>
        <v>-1.6545680465633386E-2</v>
      </c>
      <c r="R334" s="40">
        <f t="shared" si="65"/>
        <v>1.1596295981649895E-2</v>
      </c>
      <c r="S334" s="40">
        <f t="shared" si="66"/>
        <v>-2.3947409610267666E-2</v>
      </c>
      <c r="T334" s="41">
        <f t="shared" si="67"/>
        <v>-1.1293634496919859E-3</v>
      </c>
      <c r="V334" s="39">
        <f t="shared" si="69"/>
        <v>8.5923553064050206E-3</v>
      </c>
      <c r="W334" s="40" cm="1">
        <f t="array" ref="W334">IF(M334="","",SUMPRODUCT(M334:T334,TRANSPOSE('04_Dashboard'!$C$53:$C$60)))</f>
        <v>-2.4311058671070249E-3</v>
      </c>
      <c r="X334" s="42">
        <f t="shared" si="70"/>
        <v>1.4147106316257485</v>
      </c>
      <c r="Y334" s="118">
        <f t="shared" si="71"/>
        <v>1.4032647508158285</v>
      </c>
      <c r="AA334" s="43">
        <f>IF(X334="","",X334/MAX($X$4:X334)-1)</f>
        <v>-8.5772857728577678E-3</v>
      </c>
      <c r="AB334" s="44">
        <f>IF(Y334="","",Y334/MAX($Y$4:Y334)-1)</f>
        <v>-2.4311058671070418E-3</v>
      </c>
    </row>
    <row r="335" spans="1:28" x14ac:dyDescent="0.45">
      <c r="A335" s="121">
        <v>45686</v>
      </c>
      <c r="B335" s="124">
        <v>601.80999999999995</v>
      </c>
      <c r="C335" s="124">
        <v>239.36</v>
      </c>
      <c r="D335" s="124">
        <v>442.33</v>
      </c>
      <c r="E335" s="124">
        <v>266.58</v>
      </c>
      <c r="F335" s="124">
        <v>108.67</v>
      </c>
      <c r="G335" s="124">
        <v>151.15</v>
      </c>
      <c r="H335" s="124">
        <v>237.07</v>
      </c>
      <c r="I335" s="124">
        <v>62.83</v>
      </c>
      <c r="J335" s="125">
        <v>97.5</v>
      </c>
      <c r="L335" s="39">
        <f t="shared" si="68"/>
        <v>-4.4828955204129495E-3</v>
      </c>
      <c r="M335" s="40">
        <f t="shared" si="60"/>
        <v>4.6168051708218869E-3</v>
      </c>
      <c r="N335" s="40">
        <f t="shared" si="61"/>
        <v>-1.0889982110912353E-2</v>
      </c>
      <c r="O335" s="40">
        <f t="shared" si="62"/>
        <v>-2.0962791045893627E-3</v>
      </c>
      <c r="P335" s="40">
        <f t="shared" si="63"/>
        <v>5.8311736393927751E-3</v>
      </c>
      <c r="Q335" s="40">
        <f t="shared" si="64"/>
        <v>5.120361750232812E-3</v>
      </c>
      <c r="R335" s="40">
        <f t="shared" si="65"/>
        <v>-4.5349569598992752E-3</v>
      </c>
      <c r="S335" s="40">
        <f t="shared" si="66"/>
        <v>7.5368826170622016E-3</v>
      </c>
      <c r="T335" s="41">
        <f t="shared" si="67"/>
        <v>2.1584952204748045E-3</v>
      </c>
      <c r="V335" s="39">
        <f t="shared" si="69"/>
        <v>-4.4828955204129495E-3</v>
      </c>
      <c r="W335" s="40" cm="1">
        <f t="array" ref="W335">IF(M335="","",SUMPRODUCT(M335:T335,TRANSPOSE('04_Dashboard'!$C$53:$C$60)))</f>
        <v>1.539569181893245E-3</v>
      </c>
      <c r="X335" s="42">
        <f t="shared" si="70"/>
        <v>1.408368631672553</v>
      </c>
      <c r="Y335" s="118">
        <f t="shared" si="71"/>
        <v>1.4054251739802217</v>
      </c>
      <c r="AA335" s="43">
        <f>IF(X335="","",X335/MAX($X$4:X335)-1)</f>
        <v>-1.3021730217302241E-2</v>
      </c>
      <c r="AB335" s="44">
        <f>IF(Y335="","",Y335/MAX($Y$4:Y335)-1)</f>
        <v>-8.9527954088464146E-4</v>
      </c>
    </row>
    <row r="336" spans="1:28" x14ac:dyDescent="0.45">
      <c r="A336" s="121">
        <v>45687</v>
      </c>
      <c r="B336" s="124">
        <v>605.04</v>
      </c>
      <c r="C336" s="124">
        <v>237.59</v>
      </c>
      <c r="D336" s="124">
        <v>414.99</v>
      </c>
      <c r="E336" s="124">
        <v>268.23</v>
      </c>
      <c r="F336" s="124">
        <v>109.57</v>
      </c>
      <c r="G336" s="124">
        <v>152.87</v>
      </c>
      <c r="H336" s="124">
        <v>234.64</v>
      </c>
      <c r="I336" s="124">
        <v>64.05</v>
      </c>
      <c r="J336" s="125">
        <v>98.65</v>
      </c>
      <c r="L336" s="39">
        <f t="shared" si="68"/>
        <v>5.3671424535983421E-3</v>
      </c>
      <c r="M336" s="40">
        <f t="shared" si="60"/>
        <v>-7.394719251336941E-3</v>
      </c>
      <c r="N336" s="40">
        <f t="shared" si="61"/>
        <v>-6.1809056586711222E-2</v>
      </c>
      <c r="O336" s="40">
        <f t="shared" si="62"/>
        <v>6.1895115912672903E-3</v>
      </c>
      <c r="P336" s="40">
        <f t="shared" si="63"/>
        <v>8.2819545412716623E-3</v>
      </c>
      <c r="Q336" s="40">
        <f t="shared" si="64"/>
        <v>1.1379424412834925E-2</v>
      </c>
      <c r="R336" s="40">
        <f t="shared" si="65"/>
        <v>-1.0250137090310908E-2</v>
      </c>
      <c r="S336" s="40">
        <f t="shared" si="66"/>
        <v>1.9417475728155321E-2</v>
      </c>
      <c r="T336" s="41">
        <f t="shared" si="67"/>
        <v>1.1794871794871853E-2</v>
      </c>
      <c r="V336" s="39">
        <f t="shared" si="69"/>
        <v>5.3671424535983421E-3</v>
      </c>
      <c r="W336" s="40" cm="1">
        <f t="array" ref="W336">IF(M336="","",SUMPRODUCT(M336:T336,TRANSPOSE('04_Dashboard'!$C$53:$C$60)))</f>
        <v>3.5604448397169178E-3</v>
      </c>
      <c r="X336" s="42">
        <f t="shared" si="70"/>
        <v>1.4159275467459189</v>
      </c>
      <c r="Y336" s="118">
        <f t="shared" si="71"/>
        <v>1.4104291127885278</v>
      </c>
      <c r="AA336" s="43">
        <f>IF(X336="","",X336/MAX($X$4:X336)-1)</f>
        <v>-7.7244772447724319E-3</v>
      </c>
      <c r="AB336" s="44">
        <f>IF(Y336="","",Y336/MAX($Y$4:Y336)-1)</f>
        <v>0</v>
      </c>
    </row>
    <row r="337" spans="1:28" x14ac:dyDescent="0.45">
      <c r="A337" s="121">
        <v>45688</v>
      </c>
      <c r="B337" s="124">
        <v>601.82000000000005</v>
      </c>
      <c r="C337" s="124">
        <v>236</v>
      </c>
      <c r="D337" s="124">
        <v>415.06</v>
      </c>
      <c r="E337" s="124">
        <v>267.3</v>
      </c>
      <c r="F337" s="124">
        <v>106.83</v>
      </c>
      <c r="G337" s="124">
        <v>152.15</v>
      </c>
      <c r="H337" s="124">
        <v>237.68</v>
      </c>
      <c r="I337" s="124">
        <v>63.48</v>
      </c>
      <c r="J337" s="125">
        <v>98.16</v>
      </c>
      <c r="L337" s="39">
        <f t="shared" si="68"/>
        <v>-5.3219621843182494E-3</v>
      </c>
      <c r="M337" s="40">
        <f t="shared" si="60"/>
        <v>-6.6922008502041472E-3</v>
      </c>
      <c r="N337" s="40">
        <f t="shared" si="61"/>
        <v>1.6867876334367859E-4</v>
      </c>
      <c r="O337" s="40">
        <f t="shared" si="62"/>
        <v>-3.4671736942176743E-3</v>
      </c>
      <c r="P337" s="40">
        <f t="shared" si="63"/>
        <v>-2.5006844939308159E-2</v>
      </c>
      <c r="Q337" s="40">
        <f t="shared" si="64"/>
        <v>-4.709884215346365E-3</v>
      </c>
      <c r="R337" s="40">
        <f t="shared" si="65"/>
        <v>1.2956017729287507E-2</v>
      </c>
      <c r="S337" s="40">
        <f t="shared" si="66"/>
        <v>-8.8992974238875922E-3</v>
      </c>
      <c r="T337" s="41">
        <f t="shared" si="67"/>
        <v>-4.9670552458186421E-3</v>
      </c>
      <c r="V337" s="39">
        <f t="shared" si="69"/>
        <v>-5.3219621843182494E-3</v>
      </c>
      <c r="W337" s="40" cm="1">
        <f t="array" ref="W337">IF(M337="","",SUMPRODUCT(M337:T337,TRANSPOSE('04_Dashboard'!$C$53:$C$60)))</f>
        <v>-4.5241403300489442E-3</v>
      </c>
      <c r="X337" s="42">
        <f t="shared" si="70"/>
        <v>1.4083920338864027</v>
      </c>
      <c r="Y337" s="118">
        <f t="shared" si="71"/>
        <v>1.4040481335566859</v>
      </c>
      <c r="AA337" s="43">
        <f>IF(X337="","",X337/MAX($X$4:X337)-1)</f>
        <v>-1.3005330053300401E-2</v>
      </c>
      <c r="AB337" s="44">
        <f>IF(Y337="","",Y337/MAX($Y$4:Y337)-1)</f>
        <v>-4.524140330049109E-3</v>
      </c>
    </row>
    <row r="338" spans="1:28" x14ac:dyDescent="0.45">
      <c r="A338" s="121">
        <v>45691</v>
      </c>
      <c r="B338" s="124">
        <v>597.77</v>
      </c>
      <c r="C338" s="124">
        <v>228.01</v>
      </c>
      <c r="D338" s="124">
        <v>410.92</v>
      </c>
      <c r="E338" s="124">
        <v>266.81</v>
      </c>
      <c r="F338" s="124">
        <v>107.09</v>
      </c>
      <c r="G338" s="124">
        <v>151.87</v>
      </c>
      <c r="H338" s="124">
        <v>237.42</v>
      </c>
      <c r="I338" s="124">
        <v>63.35</v>
      </c>
      <c r="J338" s="125">
        <v>99.54</v>
      </c>
      <c r="L338" s="39">
        <f t="shared" si="68"/>
        <v>-6.7295869196770924E-3</v>
      </c>
      <c r="M338" s="40">
        <f t="shared" si="60"/>
        <v>-3.3855932203389866E-2</v>
      </c>
      <c r="N338" s="40">
        <f t="shared" si="61"/>
        <v>-9.9744615236351045E-3</v>
      </c>
      <c r="O338" s="40">
        <f t="shared" si="62"/>
        <v>-1.8331462775907561E-3</v>
      </c>
      <c r="P338" s="40">
        <f t="shared" si="63"/>
        <v>2.4337732846579155E-3</v>
      </c>
      <c r="Q338" s="40">
        <f t="shared" si="64"/>
        <v>-1.8402891883010262E-3</v>
      </c>
      <c r="R338" s="40">
        <f t="shared" si="65"/>
        <v>-1.0939077751599602E-3</v>
      </c>
      <c r="S338" s="40">
        <f t="shared" si="66"/>
        <v>-2.0478890989287248E-3</v>
      </c>
      <c r="T338" s="41">
        <f t="shared" si="67"/>
        <v>1.4058679706601566E-2</v>
      </c>
      <c r="V338" s="39">
        <f t="shared" si="69"/>
        <v>-6.7295869196770924E-3</v>
      </c>
      <c r="W338" s="40" cm="1">
        <f t="array" ref="W338">IF(M338="","",SUMPRODUCT(M338:T338,TRANSPOSE('04_Dashboard'!$C$53:$C$60)))</f>
        <v>-1.6988219576469861E-3</v>
      </c>
      <c r="X338" s="42">
        <f t="shared" si="70"/>
        <v>1.3989141372773835</v>
      </c>
      <c r="Y338" s="118">
        <f t="shared" si="71"/>
        <v>1.4016629057578065</v>
      </c>
      <c r="AA338" s="43">
        <f>IF(X338="","",X338/MAX($X$4:X338)-1)</f>
        <v>-1.9647396473964629E-2</v>
      </c>
      <c r="AB338" s="44">
        <f>IF(Y338="","",Y338/MAX($Y$4:Y338)-1)</f>
        <v>-6.215276578763862E-3</v>
      </c>
    </row>
    <row r="339" spans="1:28" x14ac:dyDescent="0.45">
      <c r="A339" s="121">
        <v>45692</v>
      </c>
      <c r="B339" s="124">
        <v>601.78</v>
      </c>
      <c r="C339" s="124">
        <v>232.8</v>
      </c>
      <c r="D339" s="124">
        <v>412.37</v>
      </c>
      <c r="E339" s="124">
        <v>267.94</v>
      </c>
      <c r="F339" s="124">
        <v>109.96</v>
      </c>
      <c r="G339" s="124">
        <v>153.49</v>
      </c>
      <c r="H339" s="124">
        <v>242.06</v>
      </c>
      <c r="I339" s="124">
        <v>62.67</v>
      </c>
      <c r="J339" s="125">
        <v>100.77</v>
      </c>
      <c r="L339" s="39">
        <f t="shared" si="68"/>
        <v>6.7082657209294391E-3</v>
      </c>
      <c r="M339" s="40">
        <f t="shared" si="60"/>
        <v>2.1007850532871457E-2</v>
      </c>
      <c r="N339" s="40">
        <f t="shared" si="61"/>
        <v>3.528667380511994E-3</v>
      </c>
      <c r="O339" s="40">
        <f t="shared" si="62"/>
        <v>4.2352235673325418E-3</v>
      </c>
      <c r="P339" s="40">
        <f t="shared" si="63"/>
        <v>2.6799887944719304E-2</v>
      </c>
      <c r="Q339" s="40">
        <f t="shared" si="64"/>
        <v>1.0667017844208893E-2</v>
      </c>
      <c r="R339" s="40">
        <f t="shared" si="65"/>
        <v>1.9543425153736058E-2</v>
      </c>
      <c r="S339" s="40">
        <f t="shared" si="66"/>
        <v>-1.0734017363851614E-2</v>
      </c>
      <c r="T339" s="41">
        <f t="shared" si="67"/>
        <v>1.2356841470765418E-2</v>
      </c>
      <c r="V339" s="39">
        <f t="shared" si="69"/>
        <v>6.7082657209294391E-3</v>
      </c>
      <c r="W339" s="40" cm="1">
        <f t="array" ref="W339">IF(M339="","",SUMPRODUCT(M339:T339,TRANSPOSE('04_Dashboard'!$C$53:$C$60)))</f>
        <v>7.9591955290416409E-3</v>
      </c>
      <c r="X339" s="42">
        <f t="shared" si="70"/>
        <v>1.4082984250310049</v>
      </c>
      <c r="Y339" s="118">
        <f t="shared" si="71"/>
        <v>1.4128190148905375</v>
      </c>
      <c r="AA339" s="43">
        <f>IF(X339="","",X339/MAX($X$4:X339)-1)</f>
        <v>-1.3070930709306983E-2</v>
      </c>
      <c r="AB339" s="44">
        <f>IF(Y339="","",Y339/MAX($Y$4:Y339)-1)</f>
        <v>0</v>
      </c>
    </row>
    <row r="340" spans="1:28" x14ac:dyDescent="0.45">
      <c r="A340" s="121">
        <v>45693</v>
      </c>
      <c r="B340" s="124">
        <v>604.22</v>
      </c>
      <c r="C340" s="124">
        <v>232.47</v>
      </c>
      <c r="D340" s="124">
        <v>413.29</v>
      </c>
      <c r="E340" s="124">
        <v>270.43</v>
      </c>
      <c r="F340" s="124">
        <v>109.88</v>
      </c>
      <c r="G340" s="124">
        <v>154.69</v>
      </c>
      <c r="H340" s="124">
        <v>236.17</v>
      </c>
      <c r="I340" s="124">
        <v>63.12</v>
      </c>
      <c r="J340" s="125">
        <v>102.46</v>
      </c>
      <c r="L340" s="39">
        <f t="shared" si="68"/>
        <v>4.0546379075410525E-3</v>
      </c>
      <c r="M340" s="40">
        <f t="shared" si="60"/>
        <v>-1.41752577319593E-3</v>
      </c>
      <c r="N340" s="40">
        <f t="shared" si="61"/>
        <v>2.2310061352669107E-3</v>
      </c>
      <c r="O340" s="40">
        <f t="shared" si="62"/>
        <v>9.2931253265656835E-3</v>
      </c>
      <c r="P340" s="40">
        <f t="shared" si="63"/>
        <v>-7.2753728628590665E-4</v>
      </c>
      <c r="Q340" s="40">
        <f t="shared" si="64"/>
        <v>7.8180988989509977E-3</v>
      </c>
      <c r="R340" s="40">
        <f t="shared" si="65"/>
        <v>-2.4332810047095824E-2</v>
      </c>
      <c r="S340" s="40">
        <f t="shared" si="66"/>
        <v>7.1804691239826983E-3</v>
      </c>
      <c r="T340" s="41">
        <f t="shared" si="67"/>
        <v>1.6770864344546967E-2</v>
      </c>
      <c r="V340" s="39">
        <f t="shared" si="69"/>
        <v>4.0546379075410525E-3</v>
      </c>
      <c r="W340" s="40" cm="1">
        <f t="array" ref="W340">IF(M340="","",SUMPRODUCT(M340:T340,TRANSPOSE('04_Dashboard'!$C$53:$C$60)))</f>
        <v>5.6473629481412924E-3</v>
      </c>
      <c r="X340" s="42">
        <f t="shared" si="70"/>
        <v>1.4140085652102659</v>
      </c>
      <c r="Y340" s="118">
        <f t="shared" si="71"/>
        <v>1.4207977166476597</v>
      </c>
      <c r="AA340" s="43">
        <f>IF(X340="","",X340/MAX($X$4:X340)-1)</f>
        <v>-9.0692906929068506E-3</v>
      </c>
      <c r="AB340" s="44">
        <f>IF(Y340="","",Y340/MAX($Y$4:Y340)-1)</f>
        <v>0</v>
      </c>
    </row>
    <row r="341" spans="1:28" x14ac:dyDescent="0.45">
      <c r="A341" s="121">
        <v>45694</v>
      </c>
      <c r="B341" s="124">
        <v>606.32000000000005</v>
      </c>
      <c r="C341" s="124">
        <v>233.22</v>
      </c>
      <c r="D341" s="124">
        <v>415.82</v>
      </c>
      <c r="E341" s="124">
        <v>276.89999999999998</v>
      </c>
      <c r="F341" s="124">
        <v>108.43</v>
      </c>
      <c r="G341" s="124">
        <v>153.51</v>
      </c>
      <c r="H341" s="124">
        <v>238.83</v>
      </c>
      <c r="I341" s="124">
        <v>63.36</v>
      </c>
      <c r="J341" s="125">
        <v>102.85</v>
      </c>
      <c r="L341" s="39">
        <f t="shared" si="68"/>
        <v>3.4755552613286926E-3</v>
      </c>
      <c r="M341" s="40">
        <f t="shared" si="60"/>
        <v>3.2262227384178602E-3</v>
      </c>
      <c r="N341" s="40">
        <f t="shared" si="61"/>
        <v>6.1216095235790188E-3</v>
      </c>
      <c r="O341" s="40">
        <f t="shared" si="62"/>
        <v>2.3924860407499058E-2</v>
      </c>
      <c r="P341" s="40">
        <f t="shared" si="63"/>
        <v>-1.3196214051692653E-2</v>
      </c>
      <c r="Q341" s="40">
        <f t="shared" si="64"/>
        <v>-7.6281595448962885E-3</v>
      </c>
      <c r="R341" s="40">
        <f t="shared" si="65"/>
        <v>1.1263073209975971E-2</v>
      </c>
      <c r="S341" s="40">
        <f t="shared" si="66"/>
        <v>3.8022813688213244E-3</v>
      </c>
      <c r="T341" s="41">
        <f t="shared" si="67"/>
        <v>3.8063634589108001E-3</v>
      </c>
      <c r="V341" s="39">
        <f t="shared" si="69"/>
        <v>3.4755552613286926E-3</v>
      </c>
      <c r="W341" s="40" cm="1">
        <f t="array" ref="W341">IF(M341="","",SUMPRODUCT(M341:T341,TRANSPOSE('04_Dashboard'!$C$53:$C$60)))</f>
        <v>5.6735419377254527E-3</v>
      </c>
      <c r="X341" s="42">
        <f t="shared" si="70"/>
        <v>1.4189230301186462</v>
      </c>
      <c r="Y341" s="118">
        <f t="shared" si="71"/>
        <v>1.4288586720780847</v>
      </c>
      <c r="AA341" s="43">
        <f>IF(X341="","",X341/MAX($X$4:X341)-1)</f>
        <v>-5.6252562525623828E-3</v>
      </c>
      <c r="AB341" s="44">
        <f>IF(Y341="","",Y341/MAX($Y$4:Y341)-1)</f>
        <v>0</v>
      </c>
    </row>
    <row r="342" spans="1:28" x14ac:dyDescent="0.45">
      <c r="A342" s="121">
        <v>45695</v>
      </c>
      <c r="B342" s="124">
        <v>600.77</v>
      </c>
      <c r="C342" s="124">
        <v>227.63</v>
      </c>
      <c r="D342" s="124">
        <v>409.75</v>
      </c>
      <c r="E342" s="124">
        <v>275.8</v>
      </c>
      <c r="F342" s="124">
        <v>108.89</v>
      </c>
      <c r="G342" s="124">
        <v>153.12</v>
      </c>
      <c r="H342" s="124">
        <v>229.15</v>
      </c>
      <c r="I342" s="124">
        <v>63.84</v>
      </c>
      <c r="J342" s="125">
        <v>101.15</v>
      </c>
      <c r="L342" s="39">
        <f t="shared" si="68"/>
        <v>-9.1535822667899256E-3</v>
      </c>
      <c r="M342" s="40">
        <f t="shared" si="60"/>
        <v>-2.396878483835007E-2</v>
      </c>
      <c r="N342" s="40">
        <f t="shared" si="61"/>
        <v>-1.4597662450098584E-2</v>
      </c>
      <c r="O342" s="40">
        <f t="shared" si="62"/>
        <v>-3.9725532683277933E-3</v>
      </c>
      <c r="P342" s="40">
        <f t="shared" si="63"/>
        <v>4.2423683482430479E-3</v>
      </c>
      <c r="Q342" s="40">
        <f t="shared" si="64"/>
        <v>-2.5405511041625066E-3</v>
      </c>
      <c r="R342" s="40">
        <f t="shared" si="65"/>
        <v>-4.053092157601644E-2</v>
      </c>
      <c r="S342" s="40">
        <f t="shared" si="66"/>
        <v>7.5757575757576384E-3</v>
      </c>
      <c r="T342" s="41">
        <f t="shared" si="67"/>
        <v>-1.65289256198346E-2</v>
      </c>
      <c r="V342" s="39">
        <f t="shared" si="69"/>
        <v>-9.1535822667899256E-3</v>
      </c>
      <c r="W342" s="40" cm="1">
        <f t="array" ref="W342">IF(M342="","",SUMPRODUCT(M342:T342,TRANSPOSE('04_Dashboard'!$C$53:$C$60)))</f>
        <v>-7.8873764984913313E-3</v>
      </c>
      <c r="X342" s="42">
        <f t="shared" si="70"/>
        <v>1.4059348014322122</v>
      </c>
      <c r="Y342" s="118">
        <f t="shared" si="71"/>
        <v>1.4175887257682704</v>
      </c>
      <c r="AA342" s="43">
        <f>IF(X342="","",X342/MAX($X$4:X342)-1)</f>
        <v>-1.4727347273472802E-2</v>
      </c>
      <c r="AB342" s="44">
        <f>IF(Y342="","",Y342/MAX($Y$4:Y342)-1)</f>
        <v>-7.8873764984913608E-3</v>
      </c>
    </row>
    <row r="343" spans="1:28" x14ac:dyDescent="0.45">
      <c r="A343" s="121">
        <v>45698</v>
      </c>
      <c r="B343" s="124">
        <v>604.85</v>
      </c>
      <c r="C343" s="124">
        <v>227.65</v>
      </c>
      <c r="D343" s="124">
        <v>412.22</v>
      </c>
      <c r="E343" s="124">
        <v>271.04000000000002</v>
      </c>
      <c r="F343" s="124">
        <v>110.97</v>
      </c>
      <c r="G343" s="124">
        <v>154.24</v>
      </c>
      <c r="H343" s="124">
        <v>233.14</v>
      </c>
      <c r="I343" s="124">
        <v>64.55</v>
      </c>
      <c r="J343" s="125">
        <v>102.92</v>
      </c>
      <c r="L343" s="39">
        <f t="shared" si="68"/>
        <v>6.7912845182017097E-3</v>
      </c>
      <c r="M343" s="40">
        <f t="shared" si="60"/>
        <v>8.7861881122919789E-5</v>
      </c>
      <c r="N343" s="40">
        <f t="shared" si="61"/>
        <v>6.0280658938377729E-3</v>
      </c>
      <c r="O343" s="40">
        <f t="shared" si="62"/>
        <v>-1.7258883248730931E-2</v>
      </c>
      <c r="P343" s="40">
        <f t="shared" si="63"/>
        <v>1.9101845899531622E-2</v>
      </c>
      <c r="Q343" s="40">
        <f t="shared" si="64"/>
        <v>7.314524555903896E-3</v>
      </c>
      <c r="R343" s="40">
        <f t="shared" si="65"/>
        <v>1.7412175430940348E-2</v>
      </c>
      <c r="S343" s="40">
        <f t="shared" si="66"/>
        <v>1.1121553884711682E-2</v>
      </c>
      <c r="T343" s="41">
        <f t="shared" si="67"/>
        <v>1.7498764211566941E-2</v>
      </c>
      <c r="V343" s="39">
        <f t="shared" si="69"/>
        <v>6.7912845182017097E-3</v>
      </c>
      <c r="W343" s="40" cm="1">
        <f t="array" ref="W343">IF(M343="","",SUMPRODUCT(M343:T343,TRANSPOSE('04_Dashboard'!$C$53:$C$60)))</f>
        <v>4.2837715360023905E-3</v>
      </c>
      <c r="X343" s="42">
        <f t="shared" si="70"/>
        <v>1.4154829046827797</v>
      </c>
      <c r="Y343" s="118">
        <f t="shared" si="71"/>
        <v>1.4236613520014745</v>
      </c>
      <c r="AA343" s="43">
        <f>IF(X343="","",X343/MAX($X$4:X343)-1)</f>
        <v>-8.0360803608036102E-3</v>
      </c>
      <c r="AB343" s="44">
        <f>IF(Y343="","",Y343/MAX($Y$4:Y343)-1)</f>
        <v>-3.637392681426932E-3</v>
      </c>
    </row>
    <row r="344" spans="1:28" x14ac:dyDescent="0.45">
      <c r="A344" s="121">
        <v>45699</v>
      </c>
      <c r="B344" s="124">
        <v>605.30999999999995</v>
      </c>
      <c r="C344" s="124">
        <v>232.62</v>
      </c>
      <c r="D344" s="124">
        <v>411.44</v>
      </c>
      <c r="E344" s="124">
        <v>274.99</v>
      </c>
      <c r="F344" s="124">
        <v>111.67</v>
      </c>
      <c r="G344" s="124">
        <v>156.13</v>
      </c>
      <c r="H344" s="124">
        <v>232.76</v>
      </c>
      <c r="I344" s="124">
        <v>67.599999999999994</v>
      </c>
      <c r="J344" s="125">
        <v>102.47</v>
      </c>
      <c r="L344" s="39">
        <f t="shared" si="68"/>
        <v>7.6051913697598196E-4</v>
      </c>
      <c r="M344" s="40">
        <f t="shared" si="60"/>
        <v>2.1831759279595866E-2</v>
      </c>
      <c r="N344" s="40">
        <f t="shared" si="61"/>
        <v>-1.8921934889137584E-3</v>
      </c>
      <c r="O344" s="40">
        <f t="shared" si="62"/>
        <v>1.4573494687131008E-2</v>
      </c>
      <c r="P344" s="40">
        <f t="shared" si="63"/>
        <v>6.3080111741912488E-3</v>
      </c>
      <c r="Q344" s="40">
        <f t="shared" si="64"/>
        <v>1.2253630705394102E-2</v>
      </c>
      <c r="R344" s="40">
        <f t="shared" si="65"/>
        <v>-1.6299219353178153E-3</v>
      </c>
      <c r="S344" s="40">
        <f t="shared" si="66"/>
        <v>4.7250193648334583E-2</v>
      </c>
      <c r="T344" s="41">
        <f t="shared" si="67"/>
        <v>-4.3723280217645051E-3</v>
      </c>
      <c r="V344" s="39">
        <f t="shared" si="69"/>
        <v>7.6051913697598196E-4</v>
      </c>
      <c r="W344" s="40" cm="1">
        <f t="array" ref="W344">IF(M344="","",SUMPRODUCT(M344:T344,TRANSPOSE('04_Dashboard'!$C$53:$C$60)))</f>
        <v>1.3576399072816157E-2</v>
      </c>
      <c r="X344" s="42">
        <f t="shared" si="70"/>
        <v>1.4165594065198532</v>
      </c>
      <c r="Y344" s="118">
        <f t="shared" si="71"/>
        <v>1.4429895466607916</v>
      </c>
      <c r="AA344" s="43">
        <f>IF(X344="","",X344/MAX($X$4:X344)-1)</f>
        <v>-7.2816728167284239E-3</v>
      </c>
      <c r="AB344" s="44">
        <f>IF(Y344="","",Y344/MAX($Y$4:Y344)-1)</f>
        <v>0</v>
      </c>
    </row>
    <row r="345" spans="1:28" x14ac:dyDescent="0.45">
      <c r="A345" s="121">
        <v>45700</v>
      </c>
      <c r="B345" s="124">
        <v>603.36</v>
      </c>
      <c r="C345" s="124">
        <v>236.87</v>
      </c>
      <c r="D345" s="124">
        <v>409.04</v>
      </c>
      <c r="E345" s="124">
        <v>275.45</v>
      </c>
      <c r="F345" s="124">
        <v>107.35</v>
      </c>
      <c r="G345" s="124">
        <v>155.26</v>
      </c>
      <c r="H345" s="124">
        <v>228.93</v>
      </c>
      <c r="I345" s="124">
        <v>68.709999999999994</v>
      </c>
      <c r="J345" s="125">
        <v>103.61</v>
      </c>
      <c r="L345" s="39">
        <f t="shared" si="68"/>
        <v>-3.2214898151359337E-3</v>
      </c>
      <c r="M345" s="40">
        <f t="shared" si="60"/>
        <v>1.8270140142722036E-2</v>
      </c>
      <c r="N345" s="40">
        <f t="shared" si="61"/>
        <v>-5.8331713007971448E-3</v>
      </c>
      <c r="O345" s="40">
        <f t="shared" si="62"/>
        <v>1.6727881013854304E-3</v>
      </c>
      <c r="P345" s="40">
        <f t="shared" si="63"/>
        <v>-3.8685412375750045E-2</v>
      </c>
      <c r="Q345" s="40">
        <f t="shared" si="64"/>
        <v>-5.5722795106642195E-3</v>
      </c>
      <c r="R345" s="40">
        <f t="shared" si="65"/>
        <v>-1.6454717305378862E-2</v>
      </c>
      <c r="S345" s="40">
        <f t="shared" si="66"/>
        <v>1.6420118343195258E-2</v>
      </c>
      <c r="T345" s="41">
        <f t="shared" si="67"/>
        <v>1.1125207377769109E-2</v>
      </c>
      <c r="V345" s="39">
        <f t="shared" si="69"/>
        <v>-3.2214898151359337E-3</v>
      </c>
      <c r="W345" s="40" cm="1">
        <f t="array" ref="W345">IF(M345="","",SUMPRODUCT(M345:T345,TRANSPOSE('04_Dashboard'!$C$53:$C$60)))</f>
        <v>3.5979981876951232E-4</v>
      </c>
      <c r="X345" s="42">
        <f t="shared" si="70"/>
        <v>1.4119959748192146</v>
      </c>
      <c r="Y345" s="118">
        <f t="shared" si="71"/>
        <v>1.4435087340381663</v>
      </c>
      <c r="AA345" s="43">
        <f>IF(X345="","",X345/MAX($X$4:X345)-1)</f>
        <v>-1.0479704797048073E-2</v>
      </c>
      <c r="AB345" s="44">
        <f>IF(Y345="","",Y345/MAX($Y$4:Y345)-1)</f>
        <v>0</v>
      </c>
    </row>
    <row r="346" spans="1:28" x14ac:dyDescent="0.45">
      <c r="A346" s="121">
        <v>45701</v>
      </c>
      <c r="B346" s="124">
        <v>609.73</v>
      </c>
      <c r="C346" s="124">
        <v>241.53</v>
      </c>
      <c r="D346" s="124">
        <v>410.54</v>
      </c>
      <c r="E346" s="124">
        <v>276.32</v>
      </c>
      <c r="F346" s="124">
        <v>108.13</v>
      </c>
      <c r="G346" s="124">
        <v>157.25</v>
      </c>
      <c r="H346" s="124">
        <v>230.37</v>
      </c>
      <c r="I346" s="124">
        <v>69.5</v>
      </c>
      <c r="J346" s="125">
        <v>105.05</v>
      </c>
      <c r="L346" s="39">
        <f t="shared" si="68"/>
        <v>1.0557544417926288E-2</v>
      </c>
      <c r="M346" s="40">
        <f t="shared" si="60"/>
        <v>1.9673238485245055E-2</v>
      </c>
      <c r="N346" s="40">
        <f t="shared" si="61"/>
        <v>3.667123019753569E-3</v>
      </c>
      <c r="O346" s="40">
        <f t="shared" si="62"/>
        <v>3.1584679615175334E-3</v>
      </c>
      <c r="P346" s="40">
        <f t="shared" si="63"/>
        <v>7.2659524918491031E-3</v>
      </c>
      <c r="Q346" s="40">
        <f t="shared" si="64"/>
        <v>1.2817209841556159E-2</v>
      </c>
      <c r="R346" s="40">
        <f t="shared" si="65"/>
        <v>6.2901323548682905E-3</v>
      </c>
      <c r="S346" s="40">
        <f t="shared" si="66"/>
        <v>1.1497598602823553E-2</v>
      </c>
      <c r="T346" s="41">
        <f t="shared" si="67"/>
        <v>1.389827236753207E-2</v>
      </c>
      <c r="V346" s="39">
        <f t="shared" si="69"/>
        <v>1.0557544417926288E-2</v>
      </c>
      <c r="W346" s="40" cm="1">
        <f t="array" ref="W346">IF(M346="","",SUMPRODUCT(M346:T346,TRANSPOSE('04_Dashboard'!$C$53:$C$60)))</f>
        <v>9.4936925156822484E-3</v>
      </c>
      <c r="X346" s="42">
        <f t="shared" si="70"/>
        <v>1.4269031850413014</v>
      </c>
      <c r="Y346" s="118">
        <f t="shared" si="71"/>
        <v>1.4572129621028265</v>
      </c>
      <c r="AA346" s="43">
        <f>IF(X346="","",X346/MAX($X$4:X346)-1)</f>
        <v>-3.2800328003457224E-5</v>
      </c>
      <c r="AB346" s="44">
        <f>IF(Y346="","",Y346/MAX($Y$4:Y346)-1)</f>
        <v>0</v>
      </c>
    </row>
    <row r="347" spans="1:28" x14ac:dyDescent="0.45">
      <c r="A347" s="121">
        <v>45702</v>
      </c>
      <c r="B347" s="124">
        <v>609.70000000000005</v>
      </c>
      <c r="C347" s="124">
        <v>244.6</v>
      </c>
      <c r="D347" s="124">
        <v>408.43</v>
      </c>
      <c r="E347" s="124">
        <v>276.58999999999997</v>
      </c>
      <c r="F347" s="124">
        <v>108.24</v>
      </c>
      <c r="G347" s="124">
        <v>156.15</v>
      </c>
      <c r="H347" s="124">
        <v>228.68</v>
      </c>
      <c r="I347" s="124">
        <v>68.87</v>
      </c>
      <c r="J347" s="125">
        <v>104.04</v>
      </c>
      <c r="L347" s="39">
        <f t="shared" si="68"/>
        <v>-4.9202105850085635E-5</v>
      </c>
      <c r="M347" s="40">
        <f t="shared" si="60"/>
        <v>1.2710636359872452E-2</v>
      </c>
      <c r="N347" s="40">
        <f t="shared" si="61"/>
        <v>-5.1395722706679336E-3</v>
      </c>
      <c r="O347" s="40">
        <f t="shared" si="62"/>
        <v>9.7712796757376172E-4</v>
      </c>
      <c r="P347" s="40">
        <f t="shared" si="63"/>
        <v>1.0172939979654068E-3</v>
      </c>
      <c r="Q347" s="40">
        <f t="shared" si="64"/>
        <v>-6.9952305246422531E-3</v>
      </c>
      <c r="R347" s="40">
        <f t="shared" si="65"/>
        <v>-7.3360246559881831E-3</v>
      </c>
      <c r="S347" s="40">
        <f t="shared" si="66"/>
        <v>-9.0647482014387833E-3</v>
      </c>
      <c r="T347" s="41">
        <f t="shared" si="67"/>
        <v>-9.6144693003330887E-3</v>
      </c>
      <c r="V347" s="39">
        <f t="shared" si="69"/>
        <v>-4.9202105850085635E-5</v>
      </c>
      <c r="W347" s="40" cm="1">
        <f t="array" ref="W347">IF(M347="","",SUMPRODUCT(M347:T347,TRANSPOSE('04_Dashboard'!$C$53:$C$60)))</f>
        <v>-4.1693698432636213E-3</v>
      </c>
      <c r="X347" s="42">
        <f t="shared" si="70"/>
        <v>1.4268329783997531</v>
      </c>
      <c r="Y347" s="118">
        <f t="shared" si="71"/>
        <v>1.451137302323422</v>
      </c>
      <c r="AA347" s="43">
        <f>IF(X347="","",X347/MAX($X$4:X347)-1)</f>
        <v>-8.2000820008421016E-5</v>
      </c>
      <c r="AB347" s="44">
        <f>IF(Y347="","",Y347/MAX($Y$4:Y347)-1)</f>
        <v>-4.1693698432636594E-3</v>
      </c>
    </row>
    <row r="348" spans="1:28" x14ac:dyDescent="0.45">
      <c r="A348" s="121">
        <v>45706</v>
      </c>
      <c r="B348" s="124">
        <v>611.49</v>
      </c>
      <c r="C348" s="124">
        <v>244.47</v>
      </c>
      <c r="D348" s="124">
        <v>409.64</v>
      </c>
      <c r="E348" s="124">
        <v>279.95</v>
      </c>
      <c r="F348" s="124">
        <v>110.14</v>
      </c>
      <c r="G348" s="124">
        <v>154.99</v>
      </c>
      <c r="H348" s="124">
        <v>226.65</v>
      </c>
      <c r="I348" s="124">
        <v>69.05</v>
      </c>
      <c r="J348" s="125">
        <v>103.78</v>
      </c>
      <c r="L348" s="39">
        <f t="shared" si="68"/>
        <v>2.9358701000491445E-3</v>
      </c>
      <c r="M348" s="40">
        <f t="shared" si="60"/>
        <v>-5.3147996729352193E-4</v>
      </c>
      <c r="N348" s="40">
        <f t="shared" si="61"/>
        <v>2.9625639644491821E-3</v>
      </c>
      <c r="O348" s="40">
        <f t="shared" si="62"/>
        <v>1.214794461115736E-2</v>
      </c>
      <c r="P348" s="40">
        <f t="shared" si="63"/>
        <v>1.7553584626755412E-2</v>
      </c>
      <c r="Q348" s="40">
        <f t="shared" si="64"/>
        <v>-7.428754402817781E-3</v>
      </c>
      <c r="R348" s="40">
        <f t="shared" si="65"/>
        <v>-8.877033409130668E-3</v>
      </c>
      <c r="S348" s="40">
        <f t="shared" si="66"/>
        <v>2.613619863510855E-3</v>
      </c>
      <c r="T348" s="41">
        <f t="shared" si="67"/>
        <v>-2.4990388312188111E-3</v>
      </c>
      <c r="V348" s="39">
        <f t="shared" si="69"/>
        <v>2.9358701000491445E-3</v>
      </c>
      <c r="W348" s="40" cm="1">
        <f t="array" ref="W348">IF(M348="","",SUMPRODUCT(M348:T348,TRANSPOSE('04_Dashboard'!$C$53:$C$60)))</f>
        <v>1.5194355046366801E-3</v>
      </c>
      <c r="X348" s="42">
        <f t="shared" si="70"/>
        <v>1.4310219746788011</v>
      </c>
      <c r="Y348" s="118">
        <f t="shared" si="71"/>
        <v>1.4533422118626749</v>
      </c>
      <c r="AA348" s="43">
        <f>IF(X348="","",X348/MAX($X$4:X348)-1)</f>
        <v>0</v>
      </c>
      <c r="AB348" s="44">
        <f>IF(Y348="","",Y348/MAX($Y$4:Y348)-1)</f>
        <v>-2.6562694271988763E-3</v>
      </c>
    </row>
    <row r="349" spans="1:28" x14ac:dyDescent="0.45">
      <c r="A349" s="121">
        <v>45707</v>
      </c>
      <c r="B349" s="124">
        <v>612.92999999999995</v>
      </c>
      <c r="C349" s="124">
        <v>244.87</v>
      </c>
      <c r="D349" s="124">
        <v>414.77</v>
      </c>
      <c r="E349" s="124">
        <v>279.25</v>
      </c>
      <c r="F349" s="124">
        <v>110.3</v>
      </c>
      <c r="G349" s="124">
        <v>157.88999999999999</v>
      </c>
      <c r="H349" s="124">
        <v>226.63</v>
      </c>
      <c r="I349" s="124">
        <v>70.069999999999993</v>
      </c>
      <c r="J349" s="125">
        <v>104</v>
      </c>
      <c r="L349" s="39">
        <f t="shared" si="68"/>
        <v>2.3549035961339367E-3</v>
      </c>
      <c r="M349" s="40">
        <f t="shared" si="60"/>
        <v>1.6361925798666736E-3</v>
      </c>
      <c r="N349" s="40">
        <f t="shared" si="61"/>
        <v>1.2523191094619655E-2</v>
      </c>
      <c r="O349" s="40">
        <f t="shared" si="62"/>
        <v>-2.5004465083050139E-3</v>
      </c>
      <c r="P349" s="40">
        <f t="shared" si="63"/>
        <v>1.452696568004327E-3</v>
      </c>
      <c r="Q349" s="40">
        <f t="shared" si="64"/>
        <v>1.8710884573198121E-2</v>
      </c>
      <c r="R349" s="40">
        <f t="shared" si="65"/>
        <v>-8.824178248405132E-5</v>
      </c>
      <c r="S349" s="40">
        <f t="shared" si="66"/>
        <v>1.4771904417089008E-2</v>
      </c>
      <c r="T349" s="41">
        <f t="shared" si="67"/>
        <v>2.1198689535555874E-3</v>
      </c>
      <c r="V349" s="39">
        <f t="shared" si="69"/>
        <v>2.3549035961339367E-3</v>
      </c>
      <c r="W349" s="40" cm="1">
        <f t="array" ref="W349">IF(M349="","",SUMPRODUCT(M349:T349,TRANSPOSE('04_Dashboard'!$C$53:$C$60)))</f>
        <v>7.2153429172566869E-3</v>
      </c>
      <c r="X349" s="42">
        <f t="shared" si="70"/>
        <v>1.4343918934731188</v>
      </c>
      <c r="Y349" s="118">
        <f t="shared" si="71"/>
        <v>1.4638285742973884</v>
      </c>
      <c r="AA349" s="43">
        <f>IF(X349="","",X349/MAX($X$4:X349)-1)</f>
        <v>0</v>
      </c>
      <c r="AB349" s="44">
        <f>IF(Y349="","",Y349/MAX($Y$4:Y349)-1)</f>
        <v>0</v>
      </c>
    </row>
    <row r="350" spans="1:28" x14ac:dyDescent="0.45">
      <c r="A350" s="121">
        <v>45708</v>
      </c>
      <c r="B350" s="124">
        <v>610.38</v>
      </c>
      <c r="C350" s="124">
        <v>245.83</v>
      </c>
      <c r="D350" s="124">
        <v>416.13</v>
      </c>
      <c r="E350" s="124">
        <v>266.8</v>
      </c>
      <c r="F350" s="124">
        <v>112</v>
      </c>
      <c r="G350" s="124">
        <v>159.68</v>
      </c>
      <c r="H350" s="124">
        <v>222.88</v>
      </c>
      <c r="I350" s="124">
        <v>70.040000000000006</v>
      </c>
      <c r="J350" s="125">
        <v>97.21</v>
      </c>
      <c r="L350" s="39">
        <f t="shared" si="68"/>
        <v>-4.1603445744211485E-3</v>
      </c>
      <c r="M350" s="40">
        <f t="shared" si="60"/>
        <v>3.9204475844325888E-3</v>
      </c>
      <c r="N350" s="40">
        <f t="shared" si="61"/>
        <v>3.278925669648272E-3</v>
      </c>
      <c r="O350" s="40">
        <f t="shared" si="62"/>
        <v>-4.4583706356311509E-2</v>
      </c>
      <c r="P350" s="40">
        <f t="shared" si="63"/>
        <v>1.5412511332728947E-2</v>
      </c>
      <c r="Q350" s="40">
        <f t="shared" si="64"/>
        <v>1.1337006776870103E-2</v>
      </c>
      <c r="R350" s="40">
        <f t="shared" si="65"/>
        <v>-1.6546794334377619E-2</v>
      </c>
      <c r="S350" s="40">
        <f t="shared" si="66"/>
        <v>-4.2814328528595591E-4</v>
      </c>
      <c r="T350" s="41">
        <f t="shared" si="67"/>
        <v>-6.5288461538461601E-2</v>
      </c>
      <c r="V350" s="39">
        <f t="shared" si="69"/>
        <v>-4.1603445744211485E-3</v>
      </c>
      <c r="W350" s="40" cm="1">
        <f t="array" ref="W350">IF(M350="","",SUMPRODUCT(M350:T350,TRANSPOSE('04_Dashboard'!$C$53:$C$60)))</f>
        <v>-1.7041259089261705E-2</v>
      </c>
      <c r="X350" s="42">
        <f t="shared" si="70"/>
        <v>1.4284243289415142</v>
      </c>
      <c r="Y350" s="118">
        <f t="shared" si="71"/>
        <v>1.438883092300522</v>
      </c>
      <c r="AA350" s="43">
        <f>IF(X350="","",X350/MAX($X$4:X350)-1)</f>
        <v>-4.1603445744211598E-3</v>
      </c>
      <c r="AB350" s="44">
        <f>IF(Y350="","",Y350/MAX($Y$4:Y350)-1)</f>
        <v>-1.7041259089261684E-2</v>
      </c>
    </row>
    <row r="351" spans="1:28" x14ac:dyDescent="0.45">
      <c r="A351" s="121">
        <v>45709</v>
      </c>
      <c r="B351" s="124">
        <v>599.94000000000005</v>
      </c>
      <c r="C351" s="124">
        <v>245.55</v>
      </c>
      <c r="D351" s="124">
        <v>408.21</v>
      </c>
      <c r="E351" s="124">
        <v>264.24</v>
      </c>
      <c r="F351" s="124">
        <v>110.69</v>
      </c>
      <c r="G351" s="124">
        <v>162.30000000000001</v>
      </c>
      <c r="H351" s="124">
        <v>216.58</v>
      </c>
      <c r="I351" s="124">
        <v>71.349999999999994</v>
      </c>
      <c r="J351" s="125">
        <v>94.78</v>
      </c>
      <c r="L351" s="39">
        <f t="shared" si="68"/>
        <v>-1.7104099085815297E-2</v>
      </c>
      <c r="M351" s="40">
        <f t="shared" si="60"/>
        <v>-1.1389984948948506E-3</v>
      </c>
      <c r="N351" s="40">
        <f t="shared" si="61"/>
        <v>-1.9032513877874743E-2</v>
      </c>
      <c r="O351" s="40">
        <f t="shared" si="62"/>
        <v>-9.5952023988006077E-3</v>
      </c>
      <c r="P351" s="40">
        <f t="shared" si="63"/>
        <v>-1.1696428571428592E-2</v>
      </c>
      <c r="Q351" s="40">
        <f t="shared" si="64"/>
        <v>1.6407815631262552E-2</v>
      </c>
      <c r="R351" s="40">
        <f t="shared" si="65"/>
        <v>-2.8266331658291382E-2</v>
      </c>
      <c r="S351" s="40">
        <f t="shared" si="66"/>
        <v>1.870359794403181E-2</v>
      </c>
      <c r="T351" s="41">
        <f t="shared" si="67"/>
        <v>-2.4997428248122545E-2</v>
      </c>
      <c r="V351" s="39">
        <f t="shared" si="69"/>
        <v>-1.7104099085815297E-2</v>
      </c>
      <c r="W351" s="40" cm="1">
        <f t="array" ref="W351">IF(M351="","",SUMPRODUCT(M351:T351,TRANSPOSE('04_Dashboard'!$C$53:$C$60)))</f>
        <v>-3.283662924907053E-3</v>
      </c>
      <c r="X351" s="42">
        <f t="shared" si="70"/>
        <v>1.4039924176827092</v>
      </c>
      <c r="Y351" s="118">
        <f t="shared" si="71"/>
        <v>1.4341582852370593</v>
      </c>
      <c r="AA351" s="43">
        <f>IF(X351="","",X351/MAX($X$4:X351)-1)</f>
        <v>-2.1193284714404514E-2</v>
      </c>
      <c r="AB351" s="44">
        <f>IF(Y351="","",Y351/MAX($Y$4:Y351)-1)</f>
        <v>-2.0268964263503553E-2</v>
      </c>
    </row>
    <row r="352" spans="1:28" x14ac:dyDescent="0.45">
      <c r="A352" s="121">
        <v>45712</v>
      </c>
      <c r="B352" s="124">
        <v>597.21</v>
      </c>
      <c r="C352" s="124">
        <v>247.1</v>
      </c>
      <c r="D352" s="124">
        <v>404</v>
      </c>
      <c r="E352" s="124">
        <v>261.33999999999997</v>
      </c>
      <c r="F352" s="124">
        <v>111.27</v>
      </c>
      <c r="G352" s="124">
        <v>163.74</v>
      </c>
      <c r="H352" s="124">
        <v>212.71</v>
      </c>
      <c r="I352" s="124">
        <v>70.59</v>
      </c>
      <c r="J352" s="125">
        <v>93.67</v>
      </c>
      <c r="L352" s="39">
        <f t="shared" si="68"/>
        <v>-4.5504550455045803E-3</v>
      </c>
      <c r="M352" s="40">
        <f t="shared" si="60"/>
        <v>6.3123600081449113E-3</v>
      </c>
      <c r="N352" s="40">
        <f t="shared" si="61"/>
        <v>-1.0313319124960143E-2</v>
      </c>
      <c r="O352" s="40">
        <f t="shared" si="62"/>
        <v>-1.0974871329094891E-2</v>
      </c>
      <c r="P352" s="40">
        <f t="shared" si="63"/>
        <v>5.2398590658595924E-3</v>
      </c>
      <c r="Q352" s="40">
        <f t="shared" si="64"/>
        <v>8.8724584103511868E-3</v>
      </c>
      <c r="R352" s="40">
        <f t="shared" si="65"/>
        <v>-1.7868685935912846E-2</v>
      </c>
      <c r="S352" s="40">
        <f t="shared" si="66"/>
        <v>-1.0651716888577309E-2</v>
      </c>
      <c r="T352" s="41">
        <f t="shared" si="67"/>
        <v>-1.1711331504536815E-2</v>
      </c>
      <c r="V352" s="39">
        <f t="shared" si="69"/>
        <v>-4.5504550455045803E-3</v>
      </c>
      <c r="W352" s="40" cm="1">
        <f t="array" ref="W352">IF(M352="","",SUMPRODUCT(M352:T352,TRANSPOSE('04_Dashboard'!$C$53:$C$60)))</f>
        <v>-5.0015223285677212E-3</v>
      </c>
      <c r="X352" s="42">
        <f t="shared" si="70"/>
        <v>1.3976036133018148</v>
      </c>
      <c r="Y352" s="118">
        <f t="shared" si="71"/>
        <v>1.4269853105507457</v>
      </c>
      <c r="AA352" s="43">
        <f>IF(X352="","",X352/MAX($X$4:X352)-1)</f>
        <v>-2.5647300670549544E-2</v>
      </c>
      <c r="AB352" s="44">
        <f>IF(Y352="","",Y352/MAX($Y$4:Y352)-1)</f>
        <v>-2.5169110914730397E-2</v>
      </c>
    </row>
    <row r="353" spans="1:28" x14ac:dyDescent="0.45">
      <c r="A353" s="121">
        <v>45713</v>
      </c>
      <c r="B353" s="124">
        <v>594.24</v>
      </c>
      <c r="C353" s="124">
        <v>247.04</v>
      </c>
      <c r="D353" s="124">
        <v>397.9</v>
      </c>
      <c r="E353" s="124">
        <v>257.39999999999998</v>
      </c>
      <c r="F353" s="124">
        <v>109.73</v>
      </c>
      <c r="G353" s="124">
        <v>166.09</v>
      </c>
      <c r="H353" s="124">
        <v>212.8</v>
      </c>
      <c r="I353" s="124">
        <v>71.489999999999995</v>
      </c>
      <c r="J353" s="125">
        <v>97.69</v>
      </c>
      <c r="L353" s="39">
        <f t="shared" si="68"/>
        <v>-4.9731250313960369E-3</v>
      </c>
      <c r="M353" s="40">
        <f t="shared" si="60"/>
        <v>-2.4281667341158347E-4</v>
      </c>
      <c r="N353" s="40">
        <f t="shared" si="61"/>
        <v>-1.5099009900990156E-2</v>
      </c>
      <c r="O353" s="40">
        <f t="shared" si="62"/>
        <v>-1.507614601668324E-2</v>
      </c>
      <c r="P353" s="40">
        <f t="shared" si="63"/>
        <v>-1.3840208501842295E-2</v>
      </c>
      <c r="Q353" s="40">
        <f t="shared" si="64"/>
        <v>1.4352021497495995E-2</v>
      </c>
      <c r="R353" s="40">
        <f t="shared" si="65"/>
        <v>4.2311127826620001E-4</v>
      </c>
      <c r="S353" s="40">
        <f t="shared" si="66"/>
        <v>1.274968125796843E-2</v>
      </c>
      <c r="T353" s="41">
        <f t="shared" si="67"/>
        <v>4.2916622184263863E-2</v>
      </c>
      <c r="V353" s="39">
        <f t="shared" si="69"/>
        <v>-4.9731250313960369E-3</v>
      </c>
      <c r="W353" s="40" cm="1">
        <f t="array" ref="W353">IF(M353="","",SUMPRODUCT(M353:T353,TRANSPOSE('04_Dashboard'!$C$53:$C$60)))</f>
        <v>5.8976034537504959E-3</v>
      </c>
      <c r="X353" s="42">
        <f t="shared" si="70"/>
        <v>1.390653155788534</v>
      </c>
      <c r="Y353" s="118">
        <f t="shared" si="71"/>
        <v>1.4354011040467012</v>
      </c>
      <c r="AA353" s="43">
        <f>IF(X353="","",X353/MAX($X$4:X353)-1)</f>
        <v>-3.0492878468993179E-2</v>
      </c>
      <c r="AB353" s="44">
        <f>IF(Y353="","",Y353/MAX($Y$4:Y353)-1)</f>
        <v>-1.941994489643839E-2</v>
      </c>
    </row>
    <row r="354" spans="1:28" x14ac:dyDescent="0.45">
      <c r="A354" s="121">
        <v>45714</v>
      </c>
      <c r="B354" s="124">
        <v>594.54</v>
      </c>
      <c r="C354" s="124">
        <v>240.36</v>
      </c>
      <c r="D354" s="124">
        <v>399.73</v>
      </c>
      <c r="E354" s="124">
        <v>258.79000000000002</v>
      </c>
      <c r="F354" s="124">
        <v>109.46</v>
      </c>
      <c r="G354" s="124">
        <v>163.08000000000001</v>
      </c>
      <c r="H354" s="124">
        <v>214.35</v>
      </c>
      <c r="I354" s="124">
        <v>70.8</v>
      </c>
      <c r="J354" s="125">
        <v>96.2</v>
      </c>
      <c r="L354" s="39">
        <f t="shared" si="68"/>
        <v>5.0484652665582007E-4</v>
      </c>
      <c r="M354" s="40">
        <f t="shared" si="60"/>
        <v>-2.704015544041442E-2</v>
      </c>
      <c r="N354" s="40">
        <f t="shared" si="61"/>
        <v>4.5991455139483316E-3</v>
      </c>
      <c r="O354" s="40">
        <f t="shared" si="62"/>
        <v>5.4001554001555686E-3</v>
      </c>
      <c r="P354" s="40">
        <f t="shared" si="63"/>
        <v>-2.4605850724506535E-3</v>
      </c>
      <c r="Q354" s="40">
        <f t="shared" si="64"/>
        <v>-1.812270455776983E-2</v>
      </c>
      <c r="R354" s="40">
        <f t="shared" si="65"/>
        <v>7.2838345864660852E-3</v>
      </c>
      <c r="S354" s="40">
        <f t="shared" si="66"/>
        <v>-9.6516995383969482E-3</v>
      </c>
      <c r="T354" s="41">
        <f t="shared" si="67"/>
        <v>-1.5252328795168338E-2</v>
      </c>
      <c r="V354" s="39">
        <f t="shared" si="69"/>
        <v>5.0484652665582007E-4</v>
      </c>
      <c r="W354" s="40" cm="1">
        <f t="array" ref="W354">IF(M354="","",SUMPRODUCT(M354:T354,TRANSPOSE('04_Dashboard'!$C$53:$C$60)))</f>
        <v>-7.2677857741461072E-3</v>
      </c>
      <c r="X354" s="42">
        <f t="shared" si="70"/>
        <v>1.3913552222040166</v>
      </c>
      <c r="Y354" s="118">
        <f t="shared" si="71"/>
        <v>1.424968916322517</v>
      </c>
      <c r="AA354" s="43">
        <f>IF(X354="","",X354/MAX($X$4:X354)-1)</f>
        <v>-3.0003426166120284E-2</v>
      </c>
      <c r="AB354" s="44">
        <f>IF(Y354="","",Y354/MAX($Y$4:Y354)-1)</f>
        <v>-2.6546590671331471E-2</v>
      </c>
    </row>
    <row r="355" spans="1:28" x14ac:dyDescent="0.45">
      <c r="A355" s="121">
        <v>45715</v>
      </c>
      <c r="B355" s="124">
        <v>585.04999999999995</v>
      </c>
      <c r="C355" s="124">
        <v>237.3</v>
      </c>
      <c r="D355" s="124">
        <v>392.53</v>
      </c>
      <c r="E355" s="124">
        <v>259.05</v>
      </c>
      <c r="F355" s="124">
        <v>110.15</v>
      </c>
      <c r="G355" s="124">
        <v>163.72999999999999</v>
      </c>
      <c r="H355" s="124">
        <v>208.74</v>
      </c>
      <c r="I355" s="124">
        <v>70.87</v>
      </c>
      <c r="J355" s="125">
        <v>96.79</v>
      </c>
      <c r="L355" s="39">
        <f t="shared" si="68"/>
        <v>-1.5961920139940137E-2</v>
      </c>
      <c r="M355" s="40">
        <f t="shared" si="60"/>
        <v>-1.273090364453321E-2</v>
      </c>
      <c r="N355" s="40">
        <f t="shared" si="61"/>
        <v>-1.8012158206789697E-2</v>
      </c>
      <c r="O355" s="40">
        <f t="shared" si="62"/>
        <v>1.004675605703431E-3</v>
      </c>
      <c r="P355" s="40">
        <f t="shared" si="63"/>
        <v>6.3036725744565316E-3</v>
      </c>
      <c r="Q355" s="40">
        <f t="shared" si="64"/>
        <v>3.9857738533233822E-3</v>
      </c>
      <c r="R355" s="40">
        <f t="shared" si="65"/>
        <v>-2.6172148355493283E-2</v>
      </c>
      <c r="S355" s="40">
        <f t="shared" si="66"/>
        <v>9.8870056497185588E-4</v>
      </c>
      <c r="T355" s="41">
        <f t="shared" si="67"/>
        <v>6.1330561330561681E-3</v>
      </c>
      <c r="V355" s="39">
        <f t="shared" si="69"/>
        <v>-1.5961920139940137E-2</v>
      </c>
      <c r="W355" s="40" cm="1">
        <f t="array" ref="W355">IF(M355="","",SUMPRODUCT(M355:T355,TRANSPOSE('04_Dashboard'!$C$53:$C$60)))</f>
        <v>-1.356374951214938E-3</v>
      </c>
      <c r="X355" s="42">
        <f t="shared" si="70"/>
        <v>1.3691465212609075</v>
      </c>
      <c r="Y355" s="118">
        <f t="shared" si="71"/>
        <v>1.4230361241781571</v>
      </c>
      <c r="AA355" s="43">
        <f>IF(X355="","",X355/MAX($X$4:X355)-1)</f>
        <v>-4.5486434013672139E-2</v>
      </c>
      <c r="AB355" s="44">
        <f>IF(Y355="","",Y355/MAX($Y$4:Y355)-1)</f>
        <v>-2.786695849191978E-2</v>
      </c>
    </row>
    <row r="356" spans="1:28" x14ac:dyDescent="0.45">
      <c r="A356" s="121">
        <v>45716</v>
      </c>
      <c r="B356" s="124">
        <v>594.17999999999995</v>
      </c>
      <c r="C356" s="124">
        <v>241.84</v>
      </c>
      <c r="D356" s="124">
        <v>396.99</v>
      </c>
      <c r="E356" s="124">
        <v>264.64999999999998</v>
      </c>
      <c r="F356" s="124">
        <v>111.33</v>
      </c>
      <c r="G356" s="124">
        <v>165.02</v>
      </c>
      <c r="H356" s="124">
        <v>212.28</v>
      </c>
      <c r="I356" s="124">
        <v>71.209999999999994</v>
      </c>
      <c r="J356" s="125">
        <v>98.61</v>
      </c>
      <c r="L356" s="39">
        <f t="shared" si="68"/>
        <v>1.5605503803093746E-2</v>
      </c>
      <c r="M356" s="40">
        <f t="shared" si="60"/>
        <v>1.9131900547829716E-2</v>
      </c>
      <c r="N356" s="40">
        <f t="shared" si="61"/>
        <v>1.1362188877283359E-2</v>
      </c>
      <c r="O356" s="40">
        <f t="shared" si="62"/>
        <v>2.1617448369040594E-2</v>
      </c>
      <c r="P356" s="40">
        <f t="shared" si="63"/>
        <v>1.07126645483431E-2</v>
      </c>
      <c r="Q356" s="40">
        <f t="shared" si="64"/>
        <v>7.8788248946437458E-3</v>
      </c>
      <c r="R356" s="40">
        <f t="shared" si="65"/>
        <v>1.695889623455012E-2</v>
      </c>
      <c r="S356" s="40">
        <f t="shared" si="66"/>
        <v>4.7975165796527329E-3</v>
      </c>
      <c r="T356" s="41">
        <f t="shared" si="67"/>
        <v>1.8803595412749178E-2</v>
      </c>
      <c r="V356" s="39">
        <f t="shared" si="69"/>
        <v>1.5605503803093746E-2</v>
      </c>
      <c r="W356" s="40" cm="1">
        <f t="array" ref="W356">IF(M356="","",SUMPRODUCT(M356:T356,TRANSPOSE('04_Dashboard'!$C$53:$C$60)))</f>
        <v>1.3899711422866532E-2</v>
      </c>
      <c r="X356" s="42">
        <f t="shared" si="70"/>
        <v>1.3905127425054373</v>
      </c>
      <c r="Y356" s="118">
        <f t="shared" si="71"/>
        <v>1.4428159156485478</v>
      </c>
      <c r="AA356" s="43">
        <f>IF(X356="","",X356/MAX($X$4:X356)-1)</f>
        <v>-3.0590768929567802E-2</v>
      </c>
      <c r="AB356" s="44">
        <f>IF(Y356="","",Y356/MAX($Y$4:Y356)-1)</f>
        <v>-1.4354589750323998E-2</v>
      </c>
    </row>
    <row r="357" spans="1:28" x14ac:dyDescent="0.45">
      <c r="A357" s="121">
        <v>45719</v>
      </c>
      <c r="B357" s="124">
        <v>583.77</v>
      </c>
      <c r="C357" s="124">
        <v>238.03</v>
      </c>
      <c r="D357" s="124">
        <v>388.49</v>
      </c>
      <c r="E357" s="124">
        <v>260.62</v>
      </c>
      <c r="F357" s="124">
        <v>107.76</v>
      </c>
      <c r="G357" s="124">
        <v>167.28</v>
      </c>
      <c r="H357" s="124">
        <v>205.02</v>
      </c>
      <c r="I357" s="124">
        <v>72.319999999999993</v>
      </c>
      <c r="J357" s="125">
        <v>97.59</v>
      </c>
      <c r="L357" s="39">
        <f t="shared" si="68"/>
        <v>-1.7519943451479298E-2</v>
      </c>
      <c r="M357" s="40">
        <f t="shared" si="60"/>
        <v>-1.5754217664571628E-2</v>
      </c>
      <c r="N357" s="40">
        <f t="shared" si="61"/>
        <v>-2.1411118667976521E-2</v>
      </c>
      <c r="O357" s="40">
        <f t="shared" si="62"/>
        <v>-1.5227659172491869E-2</v>
      </c>
      <c r="P357" s="40">
        <f t="shared" si="63"/>
        <v>-3.2066828348154074E-2</v>
      </c>
      <c r="Q357" s="40">
        <f t="shared" si="64"/>
        <v>1.3695309659435164E-2</v>
      </c>
      <c r="R357" s="40">
        <f t="shared" si="65"/>
        <v>-3.4200113058224943E-2</v>
      </c>
      <c r="S357" s="40">
        <f t="shared" si="66"/>
        <v>1.5587698356972329E-2</v>
      </c>
      <c r="T357" s="41">
        <f t="shared" si="67"/>
        <v>-1.0343778521448089E-2</v>
      </c>
      <c r="V357" s="39">
        <f t="shared" si="69"/>
        <v>-1.7519943451479298E-2</v>
      </c>
      <c r="W357" s="40" cm="1">
        <f t="array" ref="W357">IF(M357="","",SUMPRODUCT(M357:T357,TRANSPOSE('04_Dashboard'!$C$53:$C$60)))</f>
        <v>-6.0745888479692067E-3</v>
      </c>
      <c r="X357" s="42">
        <f t="shared" si="70"/>
        <v>1.3661510378881807</v>
      </c>
      <c r="Y357" s="118">
        <f t="shared" si="71"/>
        <v>1.4340514021776767</v>
      </c>
      <c r="AA357" s="43">
        <f>IF(X357="","",X357/MAX($X$4:X357)-1)</f>
        <v>-4.7574763839263845E-2</v>
      </c>
      <c r="AB357" s="44">
        <f>IF(Y357="","",Y357/MAX($Y$4:Y357)-1)</f>
        <v>-2.0341980367478696E-2</v>
      </c>
    </row>
    <row r="358" spans="1:28" x14ac:dyDescent="0.45">
      <c r="A358" s="121">
        <v>45720</v>
      </c>
      <c r="B358" s="124">
        <v>576.86</v>
      </c>
      <c r="C358" s="124">
        <v>235.93</v>
      </c>
      <c r="D358" s="124">
        <v>388.61</v>
      </c>
      <c r="E358" s="124">
        <v>250.25</v>
      </c>
      <c r="F358" s="124">
        <v>107.54</v>
      </c>
      <c r="G358" s="124">
        <v>165.42</v>
      </c>
      <c r="H358" s="124">
        <v>203.8</v>
      </c>
      <c r="I358" s="124">
        <v>70.19</v>
      </c>
      <c r="J358" s="125">
        <v>94.97</v>
      </c>
      <c r="L358" s="39">
        <f t="shared" si="68"/>
        <v>-1.1836853555338521E-2</v>
      </c>
      <c r="M358" s="40">
        <f t="shared" si="60"/>
        <v>-8.8224173423517797E-3</v>
      </c>
      <c r="N358" s="40">
        <f t="shared" si="61"/>
        <v>3.0888825967207535E-4</v>
      </c>
      <c r="O358" s="40">
        <f t="shared" si="62"/>
        <v>-3.9789732177116122E-2</v>
      </c>
      <c r="P358" s="40">
        <f t="shared" si="63"/>
        <v>-2.0415738678544806E-3</v>
      </c>
      <c r="Q358" s="40">
        <f t="shared" si="64"/>
        <v>-1.1119081779053167E-2</v>
      </c>
      <c r="R358" s="40">
        <f t="shared" si="65"/>
        <v>-5.950638962052477E-3</v>
      </c>
      <c r="S358" s="40">
        <f t="shared" si="66"/>
        <v>-2.9452433628318522E-2</v>
      </c>
      <c r="T358" s="41">
        <f t="shared" si="67"/>
        <v>-2.684701301362849E-2</v>
      </c>
      <c r="V358" s="39">
        <f t="shared" si="69"/>
        <v>-1.1836853555338521E-2</v>
      </c>
      <c r="W358" s="40" cm="1">
        <f t="array" ref="W358">IF(M358="","",SUMPRODUCT(M358:T358,TRANSPOSE('04_Dashboard'!$C$53:$C$60)))</f>
        <v>-2.0909437512932887E-2</v>
      </c>
      <c r="X358" s="42">
        <f t="shared" si="70"/>
        <v>1.3499801081182246</v>
      </c>
      <c r="Y358" s="118">
        <f t="shared" si="71"/>
        <v>1.4040661939935088</v>
      </c>
      <c r="AA358" s="43">
        <f>IF(X358="","",X358/MAX($X$4:X358)-1)</f>
        <v>-5.8848481882107229E-2</v>
      </c>
      <c r="AB358" s="44">
        <f>IF(Y358="","",Y358/MAX($Y$4:Y358)-1)</f>
        <v>-4.0826078513028441E-2</v>
      </c>
    </row>
    <row r="359" spans="1:28" x14ac:dyDescent="0.45">
      <c r="A359" s="121">
        <v>45721</v>
      </c>
      <c r="B359" s="124">
        <v>583.05999999999995</v>
      </c>
      <c r="C359" s="124">
        <v>235.74</v>
      </c>
      <c r="D359" s="124">
        <v>401.02</v>
      </c>
      <c r="E359" s="124">
        <v>251.53</v>
      </c>
      <c r="F359" s="124">
        <v>105.44</v>
      </c>
      <c r="G359" s="124">
        <v>165.12</v>
      </c>
      <c r="H359" s="124">
        <v>208.36</v>
      </c>
      <c r="I359" s="124">
        <v>70.08</v>
      </c>
      <c r="J359" s="125">
        <v>95.98</v>
      </c>
      <c r="L359" s="39">
        <f t="shared" si="68"/>
        <v>1.074784176403275E-2</v>
      </c>
      <c r="M359" s="40">
        <f t="shared" si="60"/>
        <v>-8.0532361293603064E-4</v>
      </c>
      <c r="N359" s="40">
        <f t="shared" si="61"/>
        <v>3.1934330048120144E-2</v>
      </c>
      <c r="O359" s="40">
        <f t="shared" si="62"/>
        <v>5.1148851148851192E-3</v>
      </c>
      <c r="P359" s="40">
        <f t="shared" si="63"/>
        <v>-1.9527617630649138E-2</v>
      </c>
      <c r="Q359" s="40">
        <f t="shared" si="64"/>
        <v>-1.8135654697133538E-3</v>
      </c>
      <c r="R359" s="40">
        <f t="shared" si="65"/>
        <v>2.23748773307164E-2</v>
      </c>
      <c r="S359" s="40">
        <f t="shared" si="66"/>
        <v>-1.5671748112266624E-3</v>
      </c>
      <c r="T359" s="41">
        <f t="shared" si="67"/>
        <v>1.0634937348636466E-2</v>
      </c>
      <c r="V359" s="39">
        <f t="shared" si="69"/>
        <v>1.074784176403275E-2</v>
      </c>
      <c r="W359" s="40" cm="1">
        <f t="array" ref="W359">IF(M359="","",SUMPRODUCT(M359:T359,TRANSPOSE('04_Dashboard'!$C$53:$C$60)))</f>
        <v>4.8443057215021438E-3</v>
      </c>
      <c r="X359" s="42">
        <f t="shared" si="70"/>
        <v>1.3644894807048711</v>
      </c>
      <c r="Y359" s="118">
        <f t="shared" si="71"/>
        <v>1.4108679198904395</v>
      </c>
      <c r="AA359" s="43">
        <f>IF(X359="","",X359/MAX($X$4:X359)-1)</f>
        <v>-4.8733134289396851E-2</v>
      </c>
      <c r="AB359" s="44">
        <f>IF(Y359="","",Y359/MAX($Y$4:Y359)-1)</f>
        <v>-3.6179546797253326E-2</v>
      </c>
    </row>
    <row r="360" spans="1:28" x14ac:dyDescent="0.45">
      <c r="A360" s="121">
        <v>45722</v>
      </c>
      <c r="B360" s="124">
        <v>572.71</v>
      </c>
      <c r="C360" s="124">
        <v>235.33</v>
      </c>
      <c r="D360" s="124">
        <v>396.89</v>
      </c>
      <c r="E360" s="124">
        <v>246.54</v>
      </c>
      <c r="F360" s="124">
        <v>107.62</v>
      </c>
      <c r="G360" s="124">
        <v>165.83</v>
      </c>
      <c r="H360" s="124">
        <v>200.7</v>
      </c>
      <c r="I360" s="124">
        <v>70.459999999999994</v>
      </c>
      <c r="J360" s="125">
        <v>94.64</v>
      </c>
      <c r="L360" s="39">
        <f t="shared" si="68"/>
        <v>-1.7751174836208812E-2</v>
      </c>
      <c r="M360" s="40">
        <f t="shared" si="60"/>
        <v>-1.7392042080257766E-3</v>
      </c>
      <c r="N360" s="40">
        <f t="shared" si="61"/>
        <v>-1.0298738217545249E-2</v>
      </c>
      <c r="O360" s="40">
        <f t="shared" si="62"/>
        <v>-1.9838587842404519E-2</v>
      </c>
      <c r="P360" s="40">
        <f t="shared" si="63"/>
        <v>2.0675265553869563E-2</v>
      </c>
      <c r="Q360" s="40">
        <f t="shared" si="64"/>
        <v>4.2999031007752422E-3</v>
      </c>
      <c r="R360" s="40">
        <f t="shared" si="65"/>
        <v>-3.6763294298329932E-2</v>
      </c>
      <c r="S360" s="40">
        <f t="shared" si="66"/>
        <v>5.4223744292236798E-3</v>
      </c>
      <c r="T360" s="41">
        <f t="shared" si="67"/>
        <v>-1.3961241925401159E-2</v>
      </c>
      <c r="V360" s="39">
        <f t="shared" si="69"/>
        <v>-1.7751174836208812E-2</v>
      </c>
      <c r="W360" s="40" cm="1">
        <f t="array" ref="W360">IF(M360="","",SUMPRODUCT(M360:T360,TRANSPOSE('04_Dashboard'!$C$53:$C$60)))</f>
        <v>-7.3414324402739633E-3</v>
      </c>
      <c r="X360" s="42">
        <f t="shared" si="70"/>
        <v>1.3402681893707111</v>
      </c>
      <c r="Y360" s="118">
        <f t="shared" si="71"/>
        <v>1.4005101283744139</v>
      </c>
      <c r="AA360" s="43">
        <f>IF(X360="","",X360/MAX($X$4:X360)-1)</f>
        <v>-6.561923873851816E-2</v>
      </c>
      <c r="AB360" s="44">
        <f>IF(Y360="","",Y360/MAX($Y$4:Y360)-1)</f>
        <v>-4.3255369538995558E-2</v>
      </c>
    </row>
    <row r="361" spans="1:28" x14ac:dyDescent="0.45">
      <c r="A361" s="121">
        <v>45723</v>
      </c>
      <c r="B361" s="124">
        <v>575.91999999999996</v>
      </c>
      <c r="C361" s="124">
        <v>239.07</v>
      </c>
      <c r="D361" s="124">
        <v>393.31</v>
      </c>
      <c r="E361" s="124">
        <v>242.28</v>
      </c>
      <c r="F361" s="124">
        <v>109.02</v>
      </c>
      <c r="G361" s="124">
        <v>166.69</v>
      </c>
      <c r="H361" s="124">
        <v>199.25</v>
      </c>
      <c r="I361" s="124">
        <v>71.430000000000007</v>
      </c>
      <c r="J361" s="125">
        <v>91.72</v>
      </c>
      <c r="L361" s="39">
        <f t="shared" si="68"/>
        <v>5.6049309423616186E-3</v>
      </c>
      <c r="M361" s="40">
        <f t="shared" si="60"/>
        <v>1.5892576382101647E-2</v>
      </c>
      <c r="N361" s="40">
        <f t="shared" si="61"/>
        <v>-9.0201315225880829E-3</v>
      </c>
      <c r="O361" s="40">
        <f t="shared" si="62"/>
        <v>-1.7279143343879252E-2</v>
      </c>
      <c r="P361" s="40">
        <f t="shared" si="63"/>
        <v>1.3008734435978364E-2</v>
      </c>
      <c r="Q361" s="40">
        <f t="shared" si="64"/>
        <v>5.1860338901283552E-3</v>
      </c>
      <c r="R361" s="40">
        <f t="shared" si="65"/>
        <v>-7.2247135027403526E-3</v>
      </c>
      <c r="S361" s="40">
        <f t="shared" si="66"/>
        <v>1.3766676128299932E-2</v>
      </c>
      <c r="T361" s="41">
        <f t="shared" si="67"/>
        <v>-3.0853761622992412E-2</v>
      </c>
      <c r="V361" s="39">
        <f t="shared" si="69"/>
        <v>5.6049309423616186E-3</v>
      </c>
      <c r="W361" s="40" cm="1">
        <f t="array" ref="W361">IF(M361="","",SUMPRODUCT(M361:T361,TRANSPOSE('04_Dashboard'!$C$53:$C$60)))</f>
        <v>-4.8769597193466302E-3</v>
      </c>
      <c r="X361" s="42">
        <f t="shared" si="70"/>
        <v>1.3477803000163779</v>
      </c>
      <c r="Y361" s="118">
        <f t="shared" si="71"/>
        <v>1.3936798968917949</v>
      </c>
      <c r="AA361" s="43">
        <f>IF(X361="","",X361/MAX($X$4:X361)-1)</f>
        <v>-6.0382099097776254E-2</v>
      </c>
      <c r="AB361" s="44">
        <f>IF(Y361="","",Y361/MAX($Y$4:Y361)-1)</f>
        <v>-4.7921374563455021E-2</v>
      </c>
    </row>
    <row r="362" spans="1:28" x14ac:dyDescent="0.45">
      <c r="A362" s="121">
        <v>45726</v>
      </c>
      <c r="B362" s="124">
        <v>560.58000000000004</v>
      </c>
      <c r="C362" s="124">
        <v>227.48</v>
      </c>
      <c r="D362" s="124">
        <v>380.16</v>
      </c>
      <c r="E362" s="124">
        <v>232.22</v>
      </c>
      <c r="F362" s="124">
        <v>111.8</v>
      </c>
      <c r="G362" s="124">
        <v>167.7</v>
      </c>
      <c r="H362" s="124">
        <v>194.54</v>
      </c>
      <c r="I362" s="124">
        <v>71.45</v>
      </c>
      <c r="J362" s="125">
        <v>87.82</v>
      </c>
      <c r="L362" s="39">
        <f t="shared" si="68"/>
        <v>-2.6635643839422001E-2</v>
      </c>
      <c r="M362" s="40">
        <f t="shared" si="60"/>
        <v>-4.8479524825364974E-2</v>
      </c>
      <c r="N362" s="40">
        <f t="shared" si="61"/>
        <v>-3.3434186773791605E-2</v>
      </c>
      <c r="O362" s="40">
        <f t="shared" si="62"/>
        <v>-4.1522205712398889E-2</v>
      </c>
      <c r="P362" s="40">
        <f t="shared" si="63"/>
        <v>2.5499908273711257E-2</v>
      </c>
      <c r="Q362" s="40">
        <f t="shared" si="64"/>
        <v>6.059151718759319E-3</v>
      </c>
      <c r="R362" s="40">
        <f t="shared" si="65"/>
        <v>-2.3638644918444206E-2</v>
      </c>
      <c r="S362" s="40">
        <f t="shared" si="66"/>
        <v>2.7999440011194205E-4</v>
      </c>
      <c r="T362" s="41">
        <f t="shared" si="67"/>
        <v>-4.252071522023556E-2</v>
      </c>
      <c r="V362" s="39">
        <f t="shared" si="69"/>
        <v>-2.6635643839422001E-2</v>
      </c>
      <c r="W362" s="40" cm="1">
        <f t="array" ref="W362">IF(M362="","",SUMPRODUCT(M362:T362,TRANSPOSE('04_Dashboard'!$C$53:$C$60)))</f>
        <v>-1.9702172527447045E-2</v>
      </c>
      <c r="X362" s="42">
        <f t="shared" si="70"/>
        <v>1.3118813039713524</v>
      </c>
      <c r="Y362" s="118">
        <f t="shared" si="71"/>
        <v>1.3662213751151984</v>
      </c>
      <c r="AA362" s="43">
        <f>IF(X362="","",X362/MAX($X$4:X362)-1)</f>
        <v>-8.5409426851353221E-2</v>
      </c>
      <c r="AB362" s="44">
        <f>IF(Y362="","",Y362/MAX($Y$4:Y362)-1)</f>
        <v>-6.6679391901500296E-2</v>
      </c>
    </row>
    <row r="363" spans="1:28" x14ac:dyDescent="0.45">
      <c r="A363" s="121">
        <v>45727</v>
      </c>
      <c r="B363" s="124">
        <v>555.91999999999996</v>
      </c>
      <c r="C363" s="124">
        <v>220.84</v>
      </c>
      <c r="D363" s="124">
        <v>380.45</v>
      </c>
      <c r="E363" s="124">
        <v>229.14</v>
      </c>
      <c r="F363" s="124">
        <v>109.16</v>
      </c>
      <c r="G363" s="124">
        <v>165.86</v>
      </c>
      <c r="H363" s="124">
        <v>196.59</v>
      </c>
      <c r="I363" s="124">
        <v>71.040000000000006</v>
      </c>
      <c r="J363" s="125">
        <v>87.44</v>
      </c>
      <c r="L363" s="39">
        <f t="shared" si="68"/>
        <v>-8.3128188661744651E-3</v>
      </c>
      <c r="M363" s="40">
        <f t="shared" si="60"/>
        <v>-2.9189379286091027E-2</v>
      </c>
      <c r="N363" s="40">
        <f t="shared" si="61"/>
        <v>7.628367003366046E-4</v>
      </c>
      <c r="O363" s="40">
        <f t="shared" si="62"/>
        <v>-1.3263284816122696E-2</v>
      </c>
      <c r="P363" s="40">
        <f t="shared" si="63"/>
        <v>-2.3613595706618969E-2</v>
      </c>
      <c r="Q363" s="40">
        <f t="shared" si="64"/>
        <v>-1.0971973762671288E-2</v>
      </c>
      <c r="R363" s="40">
        <f t="shared" si="65"/>
        <v>1.0537678626503606E-2</v>
      </c>
      <c r="S363" s="40">
        <f t="shared" si="66"/>
        <v>-5.7382785164450181E-3</v>
      </c>
      <c r="T363" s="41">
        <f t="shared" si="67"/>
        <v>-4.3270325666134764E-3</v>
      </c>
      <c r="V363" s="39">
        <f t="shared" si="69"/>
        <v>-8.3128188661744651E-3</v>
      </c>
      <c r="W363" s="40" cm="1">
        <f t="array" ref="W363">IF(M363="","",SUMPRODUCT(M363:T363,TRANSPOSE('04_Dashboard'!$C$53:$C$60)))</f>
        <v>-9.1194399139646869E-3</v>
      </c>
      <c r="X363" s="42">
        <f t="shared" si="70"/>
        <v>1.3009758723175178</v>
      </c>
      <c r="Y363" s="118">
        <f t="shared" si="71"/>
        <v>1.3537622013756612</v>
      </c>
      <c r="AA363" s="43">
        <f>IF(X363="","",X363/MAX($X$4:X363)-1)</f>
        <v>-9.3012252622648672E-2</v>
      </c>
      <c r="AB363" s="44">
        <f>IF(Y363="","",Y363/MAX($Y$4:Y363)-1)</f>
        <v>-7.5190753107519548E-2</v>
      </c>
    </row>
    <row r="364" spans="1:28" x14ac:dyDescent="0.45">
      <c r="A364" s="121">
        <v>45728</v>
      </c>
      <c r="B364" s="124">
        <v>558.87</v>
      </c>
      <c r="C364" s="124">
        <v>216.98</v>
      </c>
      <c r="D364" s="124">
        <v>383.27</v>
      </c>
      <c r="E364" s="124">
        <v>227.9</v>
      </c>
      <c r="F364" s="124">
        <v>109.13</v>
      </c>
      <c r="G364" s="124">
        <v>162.85</v>
      </c>
      <c r="H364" s="124">
        <v>198.89</v>
      </c>
      <c r="I364" s="124">
        <v>69.94</v>
      </c>
      <c r="J364" s="125">
        <v>85.2</v>
      </c>
      <c r="L364" s="39">
        <f t="shared" si="68"/>
        <v>5.3065189235862098E-3</v>
      </c>
      <c r="M364" s="40">
        <f t="shared" si="60"/>
        <v>-1.747871762361897E-2</v>
      </c>
      <c r="N364" s="40">
        <f t="shared" si="61"/>
        <v>7.4122749375739082E-3</v>
      </c>
      <c r="O364" s="40">
        <f t="shared" si="62"/>
        <v>-5.4115387972417765E-3</v>
      </c>
      <c r="P364" s="40">
        <f t="shared" si="63"/>
        <v>-2.7482594356908335E-4</v>
      </c>
      <c r="Q364" s="40">
        <f t="shared" si="64"/>
        <v>-1.8147835523935965E-2</v>
      </c>
      <c r="R364" s="40">
        <f t="shared" si="65"/>
        <v>1.1699476066941264E-2</v>
      </c>
      <c r="S364" s="40">
        <f t="shared" si="66"/>
        <v>-1.5484234234234354E-2</v>
      </c>
      <c r="T364" s="41">
        <f t="shared" si="67"/>
        <v>-2.561756633119848E-2</v>
      </c>
      <c r="V364" s="39">
        <f t="shared" si="69"/>
        <v>5.3065189235862098E-3</v>
      </c>
      <c r="W364" s="40" cm="1">
        <f t="array" ref="W364">IF(M364="","",SUMPRODUCT(M364:T364,TRANSPOSE('04_Dashboard'!$C$53:$C$60)))</f>
        <v>-1.0937618825268041E-2</v>
      </c>
      <c r="X364" s="42">
        <f t="shared" si="70"/>
        <v>1.3078795254030997</v>
      </c>
      <c r="Y364" s="118">
        <f t="shared" si="71"/>
        <v>1.3389552664369584</v>
      </c>
      <c r="AA364" s="43">
        <f>IF(X364="","",X364/MAX($X$4:X364)-1)</f>
        <v>-8.8199304977729875E-2</v>
      </c>
      <c r="AB364" s="44">
        <f>IF(Y364="","",Y364/MAX($Y$4:Y364)-1)</f>
        <v>-8.5305964136112689E-2</v>
      </c>
    </row>
    <row r="365" spans="1:28" x14ac:dyDescent="0.45">
      <c r="A365" s="121">
        <v>45729</v>
      </c>
      <c r="B365" s="124">
        <v>551.41999999999996</v>
      </c>
      <c r="C365" s="124">
        <v>209.68</v>
      </c>
      <c r="D365" s="124">
        <v>378.77</v>
      </c>
      <c r="E365" s="124">
        <v>225.19</v>
      </c>
      <c r="F365" s="124">
        <v>108.67</v>
      </c>
      <c r="G365" s="124">
        <v>162.99</v>
      </c>
      <c r="H365" s="124">
        <v>193.89</v>
      </c>
      <c r="I365" s="124">
        <v>69.62</v>
      </c>
      <c r="J365" s="125">
        <v>84.5</v>
      </c>
      <c r="L365" s="39">
        <f t="shared" si="68"/>
        <v>-1.3330470413513063E-2</v>
      </c>
      <c r="M365" s="40">
        <f t="shared" si="60"/>
        <v>-3.3643653792976236E-2</v>
      </c>
      <c r="N365" s="40">
        <f t="shared" si="61"/>
        <v>-1.1741070263782712E-2</v>
      </c>
      <c r="O365" s="40">
        <f t="shared" si="62"/>
        <v>-1.1891180342255409E-2</v>
      </c>
      <c r="P365" s="40">
        <f t="shared" si="63"/>
        <v>-4.2151562356821564E-3</v>
      </c>
      <c r="Q365" s="40">
        <f t="shared" si="64"/>
        <v>8.5968682836975617E-4</v>
      </c>
      <c r="R365" s="40">
        <f t="shared" si="65"/>
        <v>-2.5139524360199107E-2</v>
      </c>
      <c r="S365" s="40">
        <f t="shared" si="66"/>
        <v>-4.5753503002572658E-3</v>
      </c>
      <c r="T365" s="41">
        <f t="shared" si="67"/>
        <v>-8.2159624413145876E-3</v>
      </c>
      <c r="V365" s="39">
        <f t="shared" si="69"/>
        <v>-1.3330470413513063E-2</v>
      </c>
      <c r="W365" s="40" cm="1">
        <f t="array" ref="W365">IF(M365="","",SUMPRODUCT(M365:T365,TRANSPOSE('04_Dashboard'!$C$53:$C$60)))</f>
        <v>-9.1064504860187516E-3</v>
      </c>
      <c r="X365" s="42">
        <f t="shared" si="70"/>
        <v>1.290444876085274</v>
      </c>
      <c r="Y365" s="118">
        <f t="shared" si="71"/>
        <v>1.3267621366001561</v>
      </c>
      <c r="AA365" s="43">
        <f>IF(X365="","",X365/MAX($X$4:X365)-1)</f>
        <v>-0.10035403716574509</v>
      </c>
      <c r="AB365" s="44">
        <f>IF(Y365="","",Y365/MAX($Y$4:Y365)-1)</f>
        <v>-9.3635580083563985E-2</v>
      </c>
    </row>
    <row r="366" spans="1:28" x14ac:dyDescent="0.45">
      <c r="A366" s="121">
        <v>45730</v>
      </c>
      <c r="B366" s="124">
        <v>562.80999999999995</v>
      </c>
      <c r="C366" s="124">
        <v>213.49</v>
      </c>
      <c r="D366" s="124">
        <v>388.56</v>
      </c>
      <c r="E366" s="124">
        <v>232.44</v>
      </c>
      <c r="F366" s="124">
        <v>111.9</v>
      </c>
      <c r="G366" s="124">
        <v>162.81</v>
      </c>
      <c r="H366" s="124">
        <v>197.95</v>
      </c>
      <c r="I366" s="124">
        <v>69.16</v>
      </c>
      <c r="J366" s="125">
        <v>85.35</v>
      </c>
      <c r="L366" s="39">
        <f t="shared" si="68"/>
        <v>2.0655761488520524E-2</v>
      </c>
      <c r="M366" s="40">
        <f t="shared" si="60"/>
        <v>1.8170545593285015E-2</v>
      </c>
      <c r="N366" s="40">
        <f t="shared" si="61"/>
        <v>2.5846819969902634E-2</v>
      </c>
      <c r="O366" s="40">
        <f t="shared" si="62"/>
        <v>3.2195035303521469E-2</v>
      </c>
      <c r="P366" s="40">
        <f t="shared" si="63"/>
        <v>2.9723014631453059E-2</v>
      </c>
      <c r="Q366" s="40">
        <f t="shared" si="64"/>
        <v>-1.104362230811748E-3</v>
      </c>
      <c r="R366" s="40">
        <f t="shared" si="65"/>
        <v>2.0939708081902122E-2</v>
      </c>
      <c r="S366" s="40">
        <f t="shared" si="66"/>
        <v>-6.6072967538064915E-3</v>
      </c>
      <c r="T366" s="41">
        <f t="shared" si="67"/>
        <v>1.0059171597633068E-2</v>
      </c>
      <c r="V366" s="39">
        <f t="shared" si="69"/>
        <v>2.0655761488520524E-2</v>
      </c>
      <c r="W366" s="40" cm="1">
        <f t="array" ref="W366">IF(M366="","",SUMPRODUCT(M366:T366,TRANSPOSE('04_Dashboard'!$C$53:$C$60)))</f>
        <v>1.3643043302233473E-2</v>
      </c>
      <c r="X366" s="42">
        <f t="shared" si="70"/>
        <v>1.3170999976597748</v>
      </c>
      <c r="Y366" s="118">
        <f t="shared" si="71"/>
        <v>1.3448632098815558</v>
      </c>
      <c r="AA366" s="43">
        <f>IF(X366="","",X366/MAX($X$4:X366)-1)</f>
        <v>-8.1771164733330348E-2</v>
      </c>
      <c r="AB366" s="44">
        <f>IF(Y366="","",Y366/MAX($Y$4:Y366)-1)</f>
        <v>-8.1270011055040281E-2</v>
      </c>
    </row>
    <row r="367" spans="1:28" x14ac:dyDescent="0.45">
      <c r="A367" s="121">
        <v>45733</v>
      </c>
      <c r="B367" s="124">
        <v>567.15</v>
      </c>
      <c r="C367" s="124">
        <v>214</v>
      </c>
      <c r="D367" s="124">
        <v>388.7</v>
      </c>
      <c r="E367" s="124">
        <v>233.93</v>
      </c>
      <c r="F367" s="124">
        <v>113.76</v>
      </c>
      <c r="G367" s="124">
        <v>162.84</v>
      </c>
      <c r="H367" s="124">
        <v>195.74</v>
      </c>
      <c r="I367" s="124">
        <v>70.12</v>
      </c>
      <c r="J367" s="125">
        <v>87.46</v>
      </c>
      <c r="L367" s="39">
        <f t="shared" si="68"/>
        <v>7.7113057692649953E-3</v>
      </c>
      <c r="M367" s="40">
        <f t="shared" si="60"/>
        <v>2.3888706730994E-3</v>
      </c>
      <c r="N367" s="40">
        <f t="shared" si="61"/>
        <v>3.6030471484451912E-4</v>
      </c>
      <c r="O367" s="40">
        <f t="shared" si="62"/>
        <v>6.4102564102564491E-3</v>
      </c>
      <c r="P367" s="40">
        <f t="shared" si="63"/>
        <v>1.6621983914209111E-2</v>
      </c>
      <c r="Q367" s="40">
        <f t="shared" si="64"/>
        <v>1.8426386585591262E-4</v>
      </c>
      <c r="R367" s="40">
        <f t="shared" si="65"/>
        <v>-1.1164435463500781E-2</v>
      </c>
      <c r="S367" s="40">
        <f t="shared" si="66"/>
        <v>1.388085598611926E-2</v>
      </c>
      <c r="T367" s="41">
        <f t="shared" si="67"/>
        <v>2.4721734036321025E-2</v>
      </c>
      <c r="V367" s="39">
        <f t="shared" si="69"/>
        <v>7.7113057692649953E-3</v>
      </c>
      <c r="W367" s="40" cm="1">
        <f t="array" ref="W367">IF(M367="","",SUMPRODUCT(M367:T367,TRANSPOSE('04_Dashboard'!$C$53:$C$60)))</f>
        <v>7.1002610087817671E-3</v>
      </c>
      <c r="X367" s="42">
        <f t="shared" si="70"/>
        <v>1.3272565584704277</v>
      </c>
      <c r="Y367" s="118">
        <f t="shared" si="71"/>
        <v>1.3544120896928229</v>
      </c>
      <c r="AA367" s="43">
        <f>IF(X367="","",X367/MAX($X$4:X367)-1)</f>
        <v>-7.4690421418432851E-2</v>
      </c>
      <c r="AB367" s="44">
        <f>IF(Y367="","",Y367/MAX($Y$4:Y367)-1)</f>
        <v>-7.4746788336935932E-2</v>
      </c>
    </row>
    <row r="368" spans="1:28" x14ac:dyDescent="0.45">
      <c r="A368" s="121">
        <v>45734</v>
      </c>
      <c r="B368" s="124">
        <v>561.02</v>
      </c>
      <c r="C368" s="124">
        <v>212.69</v>
      </c>
      <c r="D368" s="124">
        <v>383.52</v>
      </c>
      <c r="E368" s="124">
        <v>234.97</v>
      </c>
      <c r="F368" s="124">
        <v>113.64</v>
      </c>
      <c r="G368" s="124">
        <v>164.25</v>
      </c>
      <c r="H368" s="124">
        <v>192.82</v>
      </c>
      <c r="I368" s="124">
        <v>69.38</v>
      </c>
      <c r="J368" s="125">
        <v>85.59</v>
      </c>
      <c r="L368" s="39">
        <f t="shared" si="68"/>
        <v>-1.080842810543947E-2</v>
      </c>
      <c r="M368" s="40">
        <f t="shared" si="60"/>
        <v>-6.1214953271028147E-3</v>
      </c>
      <c r="N368" s="40">
        <f t="shared" si="61"/>
        <v>-1.3326472858245451E-2</v>
      </c>
      <c r="O368" s="40">
        <f t="shared" si="62"/>
        <v>4.445774376950336E-3</v>
      </c>
      <c r="P368" s="40">
        <f t="shared" si="63"/>
        <v>-1.0548523206751455E-3</v>
      </c>
      <c r="Q368" s="40">
        <f t="shared" si="64"/>
        <v>8.6588061901252556E-3</v>
      </c>
      <c r="R368" s="40">
        <f t="shared" si="65"/>
        <v>-1.491774803310522E-2</v>
      </c>
      <c r="S368" s="40">
        <f t="shared" si="66"/>
        <v>-1.0553337136337836E-2</v>
      </c>
      <c r="T368" s="41">
        <f t="shared" si="67"/>
        <v>-2.1381202835581873E-2</v>
      </c>
      <c r="V368" s="39">
        <f t="shared" si="69"/>
        <v>-1.080842810543947E-2</v>
      </c>
      <c r="W368" s="40" cm="1">
        <f t="array" ref="W368">IF(M368="","",SUMPRODUCT(M368:T368,TRANSPOSE('04_Dashboard'!$C$53:$C$60)))</f>
        <v>-3.7206947929362064E-3</v>
      </c>
      <c r="X368" s="42">
        <f t="shared" si="70"/>
        <v>1.312911001380727</v>
      </c>
      <c r="Y368" s="118">
        <f t="shared" si="71"/>
        <v>1.3493727356832128</v>
      </c>
      <c r="AA368" s="43">
        <f>IF(X368="","",X368/MAX($X$4:X368)-1)</f>
        <v>-8.4691563473806242E-2</v>
      </c>
      <c r="AB368" s="44">
        <f>IF(Y368="","",Y368/MAX($Y$4:Y368)-1)</f>
        <v>-7.8189373143718321E-2</v>
      </c>
    </row>
    <row r="369" spans="1:28" x14ac:dyDescent="0.45">
      <c r="A369" s="121">
        <v>45735</v>
      </c>
      <c r="B369" s="124">
        <v>567.13</v>
      </c>
      <c r="C369" s="124">
        <v>215.24</v>
      </c>
      <c r="D369" s="124">
        <v>387.82</v>
      </c>
      <c r="E369" s="124">
        <v>239.11</v>
      </c>
      <c r="F369" s="124">
        <v>115.41</v>
      </c>
      <c r="G369" s="124">
        <v>162.99</v>
      </c>
      <c r="H369" s="124">
        <v>195.54</v>
      </c>
      <c r="I369" s="124">
        <v>69.28</v>
      </c>
      <c r="J369" s="125">
        <v>86.33</v>
      </c>
      <c r="L369" s="39">
        <f t="shared" si="68"/>
        <v>1.0890877330576474E-2</v>
      </c>
      <c r="M369" s="40">
        <f t="shared" si="60"/>
        <v>1.1989280173021822E-2</v>
      </c>
      <c r="N369" s="40">
        <f t="shared" si="61"/>
        <v>1.1211931581143126E-2</v>
      </c>
      <c r="O369" s="40">
        <f t="shared" si="62"/>
        <v>1.7619270545176043E-2</v>
      </c>
      <c r="P369" s="40">
        <f t="shared" si="63"/>
        <v>1.5575501583949278E-2</v>
      </c>
      <c r="Q369" s="40">
        <f t="shared" si="64"/>
        <v>-7.6712328767122731E-3</v>
      </c>
      <c r="R369" s="40">
        <f t="shared" si="65"/>
        <v>1.4106420495799186E-2</v>
      </c>
      <c r="S369" s="40">
        <f t="shared" si="66"/>
        <v>-1.4413375612567646E-3</v>
      </c>
      <c r="T369" s="41">
        <f t="shared" si="67"/>
        <v>8.6458698446079552E-3</v>
      </c>
      <c r="V369" s="39">
        <f t="shared" si="69"/>
        <v>1.0890877330576474E-2</v>
      </c>
      <c r="W369" s="40" cm="1">
        <f t="array" ref="W369">IF(M369="","",SUMPRODUCT(M369:T369,TRANSPOSE('04_Dashboard'!$C$53:$C$60)))</f>
        <v>6.5948802441940391E-3</v>
      </c>
      <c r="X369" s="42">
        <f t="shared" si="70"/>
        <v>1.3272097540427288</v>
      </c>
      <c r="Y369" s="118">
        <f t="shared" si="71"/>
        <v>1.3582716872798239</v>
      </c>
      <c r="AA369" s="43">
        <f>IF(X369="","",X369/MAX($X$4:X369)-1)</f>
        <v>-7.4723051571957799E-2</v>
      </c>
      <c r="AB369" s="44">
        <f>IF(Y369="","",Y369/MAX($Y$4:Y369)-1)</f>
        <v>-7.2110142451775716E-2</v>
      </c>
    </row>
    <row r="370" spans="1:28" x14ac:dyDescent="0.45">
      <c r="A370" s="121">
        <v>45736</v>
      </c>
      <c r="B370" s="124">
        <v>565.49</v>
      </c>
      <c r="C370" s="124">
        <v>214.1</v>
      </c>
      <c r="D370" s="124">
        <v>386.84</v>
      </c>
      <c r="E370" s="124">
        <v>239.01</v>
      </c>
      <c r="F370" s="124">
        <v>115.9</v>
      </c>
      <c r="G370" s="124">
        <v>163.02000000000001</v>
      </c>
      <c r="H370" s="124">
        <v>194.95</v>
      </c>
      <c r="I370" s="124">
        <v>69.709999999999994</v>
      </c>
      <c r="J370" s="125">
        <v>85.81</v>
      </c>
      <c r="L370" s="39">
        <f t="shared" si="68"/>
        <v>-2.8917532135488977E-3</v>
      </c>
      <c r="M370" s="40">
        <f t="shared" si="60"/>
        <v>-5.2964133060770056E-3</v>
      </c>
      <c r="N370" s="40">
        <f t="shared" si="61"/>
        <v>-2.5269454901759017E-3</v>
      </c>
      <c r="O370" s="40">
        <f t="shared" si="62"/>
        <v>-4.1821755677312839E-4</v>
      </c>
      <c r="P370" s="40">
        <f t="shared" si="63"/>
        <v>4.2457326054935367E-3</v>
      </c>
      <c r="Q370" s="40">
        <f t="shared" si="64"/>
        <v>1.8406037180195801E-4</v>
      </c>
      <c r="R370" s="40">
        <f t="shared" si="65"/>
        <v>-3.0172854658893499E-3</v>
      </c>
      <c r="S370" s="40">
        <f t="shared" si="66"/>
        <v>6.206697459584189E-3</v>
      </c>
      <c r="T370" s="41">
        <f t="shared" si="67"/>
        <v>-6.023398586817978E-3</v>
      </c>
      <c r="V370" s="39">
        <f t="shared" si="69"/>
        <v>-2.8917532135488977E-3</v>
      </c>
      <c r="W370" s="40" cm="1">
        <f t="array" ref="W370">IF(M370="","",SUMPRODUCT(M370:T370,TRANSPOSE('04_Dashboard'!$C$53:$C$60)))</f>
        <v>-5.0980271584520154E-4</v>
      </c>
      <c r="X370" s="42">
        <f t="shared" si="70"/>
        <v>1.3233717909714224</v>
      </c>
      <c r="Y370" s="118">
        <f t="shared" si="71"/>
        <v>1.357579236684793</v>
      </c>
      <c r="AA370" s="43">
        <f>IF(X370="","",X370/MAX($X$4:X370)-1)</f>
        <v>-7.7398724160997134E-2</v>
      </c>
      <c r="AB370" s="44">
        <f>IF(Y370="","",Y370/MAX($Y$4:Y370)-1)</f>
        <v>-7.2583183221159087E-2</v>
      </c>
    </row>
    <row r="371" spans="1:28" x14ac:dyDescent="0.45">
      <c r="A371" s="121">
        <v>45737</v>
      </c>
      <c r="B371" s="124">
        <v>563.98</v>
      </c>
      <c r="C371" s="124">
        <v>218.27</v>
      </c>
      <c r="D371" s="124">
        <v>391.26</v>
      </c>
      <c r="E371" s="124">
        <v>241.63</v>
      </c>
      <c r="F371" s="124">
        <v>115.5</v>
      </c>
      <c r="G371" s="124">
        <v>163.63</v>
      </c>
      <c r="H371" s="124">
        <v>196.21</v>
      </c>
      <c r="I371" s="124">
        <v>68.67</v>
      </c>
      <c r="J371" s="125">
        <v>85.98</v>
      </c>
      <c r="L371" s="39">
        <f t="shared" si="68"/>
        <v>-2.6702505791437355E-3</v>
      </c>
      <c r="M371" s="40">
        <f t="shared" si="60"/>
        <v>1.9476879962634357E-2</v>
      </c>
      <c r="N371" s="40">
        <f t="shared" si="61"/>
        <v>1.1425912521972951E-2</v>
      </c>
      <c r="O371" s="40">
        <f t="shared" si="62"/>
        <v>1.096188443998161E-2</v>
      </c>
      <c r="P371" s="40">
        <f t="shared" si="63"/>
        <v>-3.4512510785160108E-3</v>
      </c>
      <c r="Q371" s="40">
        <f t="shared" si="64"/>
        <v>3.7418721629247035E-3</v>
      </c>
      <c r="R371" s="40">
        <f t="shared" si="65"/>
        <v>6.4631956912029722E-3</v>
      </c>
      <c r="S371" s="40">
        <f t="shared" si="66"/>
        <v>-1.4918949935446738E-2</v>
      </c>
      <c r="T371" s="41">
        <f t="shared" si="67"/>
        <v>1.9811210814590571E-3</v>
      </c>
      <c r="V371" s="39">
        <f t="shared" si="69"/>
        <v>-2.6702505791437355E-3</v>
      </c>
      <c r="W371" s="40" cm="1">
        <f t="array" ref="W371">IF(M371="","",SUMPRODUCT(M371:T371,TRANSPOSE('04_Dashboard'!$C$53:$C$60)))</f>
        <v>3.8547171431856124E-3</v>
      </c>
      <c r="X371" s="42">
        <f t="shared" si="70"/>
        <v>1.3198380566801586</v>
      </c>
      <c r="Y371" s="118">
        <f t="shared" si="71"/>
        <v>1.3628123206416745</v>
      </c>
      <c r="AA371" s="43">
        <f>IF(X371="","",X371/MAX($X$4:X371)-1)</f>
        <v>-7.9862300752124971E-2</v>
      </c>
      <c r="AB371" s="44">
        <f>IF(Y371="","",Y371/MAX($Y$4:Y371)-1)</f>
        <v>-6.9008253718643275E-2</v>
      </c>
    </row>
    <row r="372" spans="1:28" x14ac:dyDescent="0.45">
      <c r="A372" s="121">
        <v>45740</v>
      </c>
      <c r="B372" s="124">
        <v>574.08000000000004</v>
      </c>
      <c r="C372" s="124">
        <v>220.73</v>
      </c>
      <c r="D372" s="124">
        <v>393.08</v>
      </c>
      <c r="E372" s="124">
        <v>248.06</v>
      </c>
      <c r="F372" s="124">
        <v>115.8</v>
      </c>
      <c r="G372" s="124">
        <v>163.29</v>
      </c>
      <c r="H372" s="124">
        <v>203.26</v>
      </c>
      <c r="I372" s="124">
        <v>68.95</v>
      </c>
      <c r="J372" s="125">
        <v>87.49</v>
      </c>
      <c r="L372" s="39">
        <f t="shared" si="68"/>
        <v>1.7908436469378387E-2</v>
      </c>
      <c r="M372" s="40">
        <f t="shared" si="60"/>
        <v>1.1270444861868234E-2</v>
      </c>
      <c r="N372" s="40">
        <f t="shared" si="61"/>
        <v>4.6516382967847292E-3</v>
      </c>
      <c r="O372" s="40">
        <f t="shared" si="62"/>
        <v>2.6610934072755894E-2</v>
      </c>
      <c r="P372" s="40">
        <f t="shared" si="63"/>
        <v>2.5974025974025727E-3</v>
      </c>
      <c r="Q372" s="40">
        <f t="shared" si="64"/>
        <v>-2.0778585833893751E-3</v>
      </c>
      <c r="R372" s="40">
        <f t="shared" si="65"/>
        <v>3.593089037255992E-2</v>
      </c>
      <c r="S372" s="40">
        <f t="shared" si="66"/>
        <v>4.0774719673802411E-3</v>
      </c>
      <c r="T372" s="41">
        <f t="shared" si="67"/>
        <v>1.7562223772970353E-2</v>
      </c>
      <c r="V372" s="39">
        <f t="shared" si="69"/>
        <v>1.7908436469378387E-2</v>
      </c>
      <c r="W372" s="40" cm="1">
        <f t="array" ref="W372">IF(M372="","",SUMPRODUCT(M372:T372,TRANSPOSE('04_Dashboard'!$C$53:$C$60)))</f>
        <v>1.2537477923495183E-2</v>
      </c>
      <c r="X372" s="42">
        <f t="shared" si="70"/>
        <v>1.3434742926680832</v>
      </c>
      <c r="Y372" s="118">
        <f t="shared" si="71"/>
        <v>1.3798985500255867</v>
      </c>
      <c r="AA372" s="43">
        <f>IF(X372="","",X372/MAX($X$4:X372)-1)</f>
        <v>-6.3384073222064297E-2</v>
      </c>
      <c r="AB372" s="44">
        <f>IF(Y372="","",Y372/MAX($Y$4:Y372)-1)</f>
        <v>-5.7335965252684473E-2</v>
      </c>
    </row>
    <row r="373" spans="1:28" x14ac:dyDescent="0.45">
      <c r="A373" s="121">
        <v>45741</v>
      </c>
      <c r="B373" s="124">
        <v>575.46</v>
      </c>
      <c r="C373" s="124">
        <v>223.75</v>
      </c>
      <c r="D373" s="124">
        <v>395.16</v>
      </c>
      <c r="E373" s="124">
        <v>251.13</v>
      </c>
      <c r="F373" s="124">
        <v>116.59</v>
      </c>
      <c r="G373" s="124">
        <v>161.02000000000001</v>
      </c>
      <c r="H373" s="124">
        <v>205.71</v>
      </c>
      <c r="I373" s="124">
        <v>68.81</v>
      </c>
      <c r="J373" s="125">
        <v>84.76</v>
      </c>
      <c r="L373" s="39">
        <f t="shared" si="68"/>
        <v>2.4038461538461457E-3</v>
      </c>
      <c r="M373" s="40">
        <f t="shared" si="60"/>
        <v>1.3681873782449193E-2</v>
      </c>
      <c r="N373" s="40">
        <f t="shared" si="61"/>
        <v>5.291543706115908E-3</v>
      </c>
      <c r="O373" s="40">
        <f t="shared" si="62"/>
        <v>1.2376038055309171E-2</v>
      </c>
      <c r="P373" s="40">
        <f t="shared" si="63"/>
        <v>6.8221070811744925E-3</v>
      </c>
      <c r="Q373" s="40">
        <f t="shared" si="64"/>
        <v>-1.3901647375834294E-2</v>
      </c>
      <c r="R373" s="40">
        <f t="shared" si="65"/>
        <v>1.2053527501722018E-2</v>
      </c>
      <c r="S373" s="40">
        <f t="shared" si="66"/>
        <v>-2.0304568527918865E-3</v>
      </c>
      <c r="T373" s="41">
        <f t="shared" si="67"/>
        <v>-3.1203566121842382E-2</v>
      </c>
      <c r="V373" s="39">
        <f t="shared" si="69"/>
        <v>2.4038461538461457E-3</v>
      </c>
      <c r="W373" s="40" cm="1">
        <f t="array" ref="W373">IF(M373="","",SUMPRODUCT(M373:T373,TRANSPOSE('04_Dashboard'!$C$53:$C$60)))</f>
        <v>-2.6718284853271628E-3</v>
      </c>
      <c r="X373" s="42">
        <f t="shared" si="70"/>
        <v>1.3467037981793046</v>
      </c>
      <c r="Y373" s="118">
        <f t="shared" si="71"/>
        <v>1.3762116977727665</v>
      </c>
      <c r="AA373" s="43">
        <f>IF(X373="","",X373/MAX($X$4:X373)-1)</f>
        <v>-6.113259262884807E-2</v>
      </c>
      <c r="AB373" s="44">
        <f>IF(Y373="","",Y373/MAX($Y$4:Y373)-1)</f>
        <v>-5.9854601872815882E-2</v>
      </c>
    </row>
    <row r="374" spans="1:28" x14ac:dyDescent="0.45">
      <c r="A374" s="121">
        <v>45742</v>
      </c>
      <c r="B374" s="124">
        <v>568.59</v>
      </c>
      <c r="C374" s="124">
        <v>221.53</v>
      </c>
      <c r="D374" s="124">
        <v>389.97</v>
      </c>
      <c r="E374" s="124">
        <v>251.03</v>
      </c>
      <c r="F374" s="124">
        <v>118.27</v>
      </c>
      <c r="G374" s="124">
        <v>161.72</v>
      </c>
      <c r="H374" s="124">
        <v>201.13</v>
      </c>
      <c r="I374" s="124">
        <v>70.02</v>
      </c>
      <c r="J374" s="125">
        <v>85.21</v>
      </c>
      <c r="L374" s="39">
        <f t="shared" si="68"/>
        <v>-1.1938275466583262E-2</v>
      </c>
      <c r="M374" s="40">
        <f t="shared" si="60"/>
        <v>-9.9217877094972019E-3</v>
      </c>
      <c r="N374" s="40">
        <f t="shared" si="61"/>
        <v>-1.3133920437291217E-2</v>
      </c>
      <c r="O374" s="40">
        <f t="shared" si="62"/>
        <v>-3.9820013538802341E-4</v>
      </c>
      <c r="P374" s="40">
        <f t="shared" si="63"/>
        <v>1.4409469079680869E-2</v>
      </c>
      <c r="Q374" s="40">
        <f t="shared" si="64"/>
        <v>4.3472860514221128E-3</v>
      </c>
      <c r="R374" s="40">
        <f t="shared" si="65"/>
        <v>-2.2264352729570815E-2</v>
      </c>
      <c r="S374" s="40">
        <f t="shared" si="66"/>
        <v>1.7584653393402032E-2</v>
      </c>
      <c r="T374" s="41">
        <f t="shared" si="67"/>
        <v>5.3091080698441321E-3</v>
      </c>
      <c r="V374" s="39">
        <f t="shared" si="69"/>
        <v>-1.1938275466583262E-2</v>
      </c>
      <c r="W374" s="40" cm="1">
        <f t="array" ref="W374">IF(M374="","",SUMPRODUCT(M374:T374,TRANSPOSE('04_Dashboard'!$C$53:$C$60)))</f>
        <v>1.7593511010032857E-3</v>
      </c>
      <c r="X374" s="42">
        <f t="shared" si="70"/>
        <v>1.3306264772647463</v>
      </c>
      <c r="Y374" s="118">
        <f t="shared" si="71"/>
        <v>1.3786329373384565</v>
      </c>
      <c r="AA374" s="43">
        <f>IF(X374="","",X374/MAX($X$4:X374)-1)</f>
        <v>-7.2341050364641668E-2</v>
      </c>
      <c r="AB374" s="44">
        <f>IF(Y374="","",Y374/MAX($Y$4:Y374)-1)</f>
        <v>-5.8200556031517747E-2</v>
      </c>
    </row>
    <row r="375" spans="1:28" x14ac:dyDescent="0.45">
      <c r="A375" s="121">
        <v>45743</v>
      </c>
      <c r="B375" s="124">
        <v>567.08000000000004</v>
      </c>
      <c r="C375" s="124">
        <v>223.85</v>
      </c>
      <c r="D375" s="124">
        <v>390.58</v>
      </c>
      <c r="E375" s="124">
        <v>248.12</v>
      </c>
      <c r="F375" s="124">
        <v>117.89</v>
      </c>
      <c r="G375" s="124">
        <v>163.13</v>
      </c>
      <c r="H375" s="124">
        <v>201.36</v>
      </c>
      <c r="I375" s="124">
        <v>70.739999999999995</v>
      </c>
      <c r="J375" s="125">
        <v>85.63</v>
      </c>
      <c r="L375" s="39">
        <f t="shared" si="68"/>
        <v>-2.6556921507588788E-3</v>
      </c>
      <c r="M375" s="40">
        <f t="shared" si="60"/>
        <v>1.0472622218209693E-2</v>
      </c>
      <c r="N375" s="40">
        <f t="shared" si="61"/>
        <v>1.564222888940064E-3</v>
      </c>
      <c r="O375" s="40">
        <f t="shared" si="62"/>
        <v>-1.1592239971318155E-2</v>
      </c>
      <c r="P375" s="40">
        <f t="shared" si="63"/>
        <v>-3.2129872326033268E-3</v>
      </c>
      <c r="Q375" s="40">
        <f t="shared" si="64"/>
        <v>8.7187731882265428E-3</v>
      </c>
      <c r="R375" s="40">
        <f t="shared" si="65"/>
        <v>1.1435390046239655E-3</v>
      </c>
      <c r="S375" s="40">
        <f t="shared" si="66"/>
        <v>1.028277634961438E-2</v>
      </c>
      <c r="T375" s="41">
        <f t="shared" si="67"/>
        <v>4.9289989437859612E-3</v>
      </c>
      <c r="V375" s="39">
        <f t="shared" si="69"/>
        <v>-2.6556921507588788E-3</v>
      </c>
      <c r="W375" s="40" cm="1">
        <f t="array" ref="W375">IF(M375="","",SUMPRODUCT(M375:T375,TRANSPOSE('04_Dashboard'!$C$53:$C$60)))</f>
        <v>2.0483569770496351E-3</v>
      </c>
      <c r="X375" s="42">
        <f t="shared" si="70"/>
        <v>1.3270927429734822</v>
      </c>
      <c r="Y375" s="118">
        <f t="shared" si="71"/>
        <v>1.381456869734444</v>
      </c>
      <c r="AA375" s="43">
        <f>IF(X375="","",X375/MAX($X$4:X375)-1)</f>
        <v>-7.4804626955769504E-2</v>
      </c>
      <c r="AB375" s="44">
        <f>IF(Y375="","",Y375/MAX($Y$4:Y375)-1)</f>
        <v>-5.6271414569483591E-2</v>
      </c>
    </row>
    <row r="376" spans="1:28" x14ac:dyDescent="0.45">
      <c r="A376" s="121">
        <v>45744</v>
      </c>
      <c r="B376" s="124">
        <v>555.66</v>
      </c>
      <c r="C376" s="124">
        <v>217.9</v>
      </c>
      <c r="D376" s="124">
        <v>378.8</v>
      </c>
      <c r="E376" s="124">
        <v>242.85</v>
      </c>
      <c r="F376" s="124">
        <v>117.73</v>
      </c>
      <c r="G376" s="124">
        <v>163.71</v>
      </c>
      <c r="H376" s="124">
        <v>192.72</v>
      </c>
      <c r="I376" s="124">
        <v>70.37</v>
      </c>
      <c r="J376" s="125">
        <v>85.15</v>
      </c>
      <c r="L376" s="39">
        <f t="shared" si="68"/>
        <v>-2.0138252098469478E-2</v>
      </c>
      <c r="M376" s="40">
        <f t="shared" si="60"/>
        <v>-2.6580299307571983E-2</v>
      </c>
      <c r="N376" s="40">
        <f t="shared" si="61"/>
        <v>-3.0160274463618141E-2</v>
      </c>
      <c r="O376" s="40">
        <f t="shared" si="62"/>
        <v>-2.1239722714815452E-2</v>
      </c>
      <c r="P376" s="40">
        <f t="shared" si="63"/>
        <v>-1.3571973873950003E-3</v>
      </c>
      <c r="Q376" s="40">
        <f t="shared" si="64"/>
        <v>3.555446576350227E-3</v>
      </c>
      <c r="R376" s="40">
        <f t="shared" si="65"/>
        <v>-4.2908224076281358E-2</v>
      </c>
      <c r="S376" s="40">
        <f t="shared" si="66"/>
        <v>-5.2304212609554758E-3</v>
      </c>
      <c r="T376" s="41">
        <f t="shared" si="67"/>
        <v>-5.6055120868853184E-3</v>
      </c>
      <c r="V376" s="39">
        <f t="shared" si="69"/>
        <v>-2.0138252098469478E-2</v>
      </c>
      <c r="W376" s="40" cm="1">
        <f t="array" ref="W376">IF(M376="","",SUMPRODUCT(M376:T376,TRANSPOSE('04_Dashboard'!$C$53:$C$60)))</f>
        <v>-1.2434146985928842E-2</v>
      </c>
      <c r="X376" s="42">
        <f t="shared" si="70"/>
        <v>1.3003674147574329</v>
      </c>
      <c r="Y376" s="118">
        <f t="shared" si="71"/>
        <v>1.3642796319614447</v>
      </c>
      <c r="AA376" s="43">
        <f>IF(X376="","",X376/MAX($X$4:X376)-1)</f>
        <v>-9.3436444618471781E-2</v>
      </c>
      <c r="AB376" s="44">
        <f>IF(Y376="","",Y376/MAX($Y$4:Y376)-1)</f>
        <v>-6.8005874515549292E-2</v>
      </c>
    </row>
    <row r="377" spans="1:28" x14ac:dyDescent="0.45">
      <c r="A377" s="121">
        <v>45747</v>
      </c>
      <c r="B377" s="124">
        <v>559.39</v>
      </c>
      <c r="C377" s="124">
        <v>222.13</v>
      </c>
      <c r="D377" s="124">
        <v>375.39</v>
      </c>
      <c r="E377" s="124">
        <v>245.3</v>
      </c>
      <c r="F377" s="124">
        <v>118.93</v>
      </c>
      <c r="G377" s="124">
        <v>165.84</v>
      </c>
      <c r="H377" s="124">
        <v>190.26</v>
      </c>
      <c r="I377" s="124">
        <v>71.62</v>
      </c>
      <c r="J377" s="125">
        <v>87.79</v>
      </c>
      <c r="L377" s="39">
        <f t="shared" si="68"/>
        <v>6.7127380052550449E-3</v>
      </c>
      <c r="M377" s="40">
        <f t="shared" si="60"/>
        <v>1.9412574575493297E-2</v>
      </c>
      <c r="N377" s="40">
        <f t="shared" si="61"/>
        <v>-9.0021119324182278E-3</v>
      </c>
      <c r="O377" s="40">
        <f t="shared" si="62"/>
        <v>1.008853201564759E-2</v>
      </c>
      <c r="P377" s="40">
        <f t="shared" si="63"/>
        <v>1.0192814066083435E-2</v>
      </c>
      <c r="Q377" s="40">
        <f t="shared" si="64"/>
        <v>1.3010811801356027E-2</v>
      </c>
      <c r="R377" s="40">
        <f t="shared" si="65"/>
        <v>-1.2764632627646367E-2</v>
      </c>
      <c r="S377" s="40">
        <f t="shared" si="66"/>
        <v>1.7763251385533606E-2</v>
      </c>
      <c r="T377" s="41">
        <f t="shared" si="67"/>
        <v>3.1004110393423375E-2</v>
      </c>
      <c r="V377" s="39">
        <f t="shared" si="69"/>
        <v>6.7127380052550449E-3</v>
      </c>
      <c r="W377" s="40" cm="1">
        <f t="array" ref="W377">IF(M377="","",SUMPRODUCT(M377:T377,TRANSPOSE('04_Dashboard'!$C$53:$C$60)))</f>
        <v>1.2305068585456592E-2</v>
      </c>
      <c r="X377" s="42">
        <f t="shared" si="70"/>
        <v>1.3090964405232703</v>
      </c>
      <c r="Y377" s="118">
        <f t="shared" si="71"/>
        <v>1.3810671864024719</v>
      </c>
      <c r="AA377" s="43">
        <f>IF(X377="","",X377/MAX($X$4:X377)-1)</f>
        <v>-8.7350920986083103E-2</v>
      </c>
      <c r="AB377" s="44">
        <f>IF(Y377="","",Y377/MAX($Y$4:Y377)-1)</f>
        <v>-5.6537622880220462E-2</v>
      </c>
    </row>
    <row r="378" spans="1:28" x14ac:dyDescent="0.45">
      <c r="A378" s="121">
        <v>45748</v>
      </c>
      <c r="B378" s="124">
        <v>560.97</v>
      </c>
      <c r="C378" s="124">
        <v>223.19</v>
      </c>
      <c r="D378" s="124">
        <v>382.19</v>
      </c>
      <c r="E378" s="124">
        <v>243.66</v>
      </c>
      <c r="F378" s="124">
        <v>119.04</v>
      </c>
      <c r="G378" s="124">
        <v>153.25</v>
      </c>
      <c r="H378" s="124">
        <v>192.17</v>
      </c>
      <c r="I378" s="124">
        <v>71.87</v>
      </c>
      <c r="J378" s="125">
        <v>88.83</v>
      </c>
      <c r="L378" s="39">
        <f t="shared" si="68"/>
        <v>2.8245052646633673E-3</v>
      </c>
      <c r="M378" s="40">
        <f t="shared" si="60"/>
        <v>4.7719803718543298E-3</v>
      </c>
      <c r="N378" s="40">
        <f t="shared" si="61"/>
        <v>1.8114494259303688E-2</v>
      </c>
      <c r="O378" s="40">
        <f t="shared" si="62"/>
        <v>-6.6856909906237863E-3</v>
      </c>
      <c r="P378" s="40">
        <f t="shared" si="63"/>
        <v>9.2491381484906602E-4</v>
      </c>
      <c r="Q378" s="40">
        <f t="shared" si="64"/>
        <v>-7.5916546068499777E-2</v>
      </c>
      <c r="R378" s="40">
        <f t="shared" si="65"/>
        <v>1.0038894144854392E-2</v>
      </c>
      <c r="S378" s="40">
        <f t="shared" si="66"/>
        <v>3.4906450712091593E-3</v>
      </c>
      <c r="T378" s="41">
        <f t="shared" si="67"/>
        <v>1.1846451759881443E-2</v>
      </c>
      <c r="V378" s="39">
        <f t="shared" si="69"/>
        <v>2.8245052646633673E-3</v>
      </c>
      <c r="W378" s="40" cm="1">
        <f t="array" ref="W378">IF(M378="","",SUMPRODUCT(M378:T378,TRANSPOSE('04_Dashboard'!$C$53:$C$60)))</f>
        <v>-1.5260090236871049E-2</v>
      </c>
      <c r="X378" s="42">
        <f t="shared" si="70"/>
        <v>1.3127939903114805</v>
      </c>
      <c r="Y378" s="118">
        <f t="shared" si="71"/>
        <v>1.3599919765147885</v>
      </c>
      <c r="AA378" s="43">
        <f>IF(X378="","",X378/MAX($X$4:X378)-1)</f>
        <v>-8.4773138857618058E-2</v>
      </c>
      <c r="AB378" s="44">
        <f>IF(Y378="","",Y378/MAX($Y$4:Y378)-1)</f>
        <v>-7.0934943890161195E-2</v>
      </c>
    </row>
    <row r="379" spans="1:28" x14ac:dyDescent="0.45">
      <c r="A379" s="121">
        <v>45749</v>
      </c>
      <c r="B379" s="124">
        <v>564.52</v>
      </c>
      <c r="C379" s="124">
        <v>223.89</v>
      </c>
      <c r="D379" s="124">
        <v>382.14</v>
      </c>
      <c r="E379" s="124">
        <v>245.82</v>
      </c>
      <c r="F379" s="124">
        <v>118.67</v>
      </c>
      <c r="G379" s="124">
        <v>155.36000000000001</v>
      </c>
      <c r="H379" s="124">
        <v>196.01</v>
      </c>
      <c r="I379" s="124">
        <v>71.33</v>
      </c>
      <c r="J379" s="125">
        <v>89.76</v>
      </c>
      <c r="L379" s="39">
        <f t="shared" si="68"/>
        <v>6.3283241528066638E-3</v>
      </c>
      <c r="M379" s="40">
        <f t="shared" si="60"/>
        <v>3.1363412339262004E-3</v>
      </c>
      <c r="N379" s="40">
        <f t="shared" si="61"/>
        <v>-1.3082498233865712E-4</v>
      </c>
      <c r="O379" s="40">
        <f t="shared" si="62"/>
        <v>8.8648116227530022E-3</v>
      </c>
      <c r="P379" s="40">
        <f t="shared" si="63"/>
        <v>-3.1081989247312208E-3</v>
      </c>
      <c r="Q379" s="40">
        <f t="shared" si="64"/>
        <v>1.3768352365416075E-2</v>
      </c>
      <c r="R379" s="40">
        <f t="shared" si="65"/>
        <v>1.9982307332049767E-2</v>
      </c>
      <c r="S379" s="40">
        <f t="shared" si="66"/>
        <v>-7.5135661611243389E-3</v>
      </c>
      <c r="T379" s="41">
        <f t="shared" si="67"/>
        <v>1.0469436001350972E-2</v>
      </c>
      <c r="V379" s="39">
        <f t="shared" si="69"/>
        <v>6.3283241528066638E-3</v>
      </c>
      <c r="W379" s="40" cm="1">
        <f t="array" ref="W379">IF(M379="","",SUMPRODUCT(M379:T379,TRANSPOSE('04_Dashboard'!$C$53:$C$60)))</f>
        <v>7.280969769890424E-3</v>
      </c>
      <c r="X379" s="42">
        <f t="shared" si="70"/>
        <v>1.3211017762280282</v>
      </c>
      <c r="Y379" s="118">
        <f t="shared" si="71"/>
        <v>1.3698940369830861</v>
      </c>
      <c r="AA379" s="43">
        <f>IF(X379="","",X379/MAX($X$4:X379)-1)</f>
        <v>-7.8981286606953138E-2</v>
      </c>
      <c r="AB379" s="44">
        <f>IF(Y379="","",Y379/MAX($Y$4:Y379)-1)</f>
        <v>-6.4170449302364041E-2</v>
      </c>
    </row>
    <row r="380" spans="1:28" x14ac:dyDescent="0.45">
      <c r="A380" s="121">
        <v>45750</v>
      </c>
      <c r="B380" s="124">
        <v>536.70000000000005</v>
      </c>
      <c r="C380" s="124">
        <v>203.19</v>
      </c>
      <c r="D380" s="124">
        <v>373.11</v>
      </c>
      <c r="E380" s="124">
        <v>228.69</v>
      </c>
      <c r="F380" s="124">
        <v>112.43</v>
      </c>
      <c r="G380" s="124">
        <v>159.82</v>
      </c>
      <c r="H380" s="124">
        <v>178.41</v>
      </c>
      <c r="I380" s="124">
        <v>73.180000000000007</v>
      </c>
      <c r="J380" s="125">
        <v>87.26</v>
      </c>
      <c r="L380" s="39">
        <f t="shared" si="68"/>
        <v>-4.9280804931623214E-2</v>
      </c>
      <c r="M380" s="40">
        <f t="shared" si="60"/>
        <v>-9.2456116843092545E-2</v>
      </c>
      <c r="N380" s="40">
        <f t="shared" si="61"/>
        <v>-2.3630083215575373E-2</v>
      </c>
      <c r="O380" s="40">
        <f t="shared" si="62"/>
        <v>-6.968513546497436E-2</v>
      </c>
      <c r="P380" s="40">
        <f t="shared" si="63"/>
        <v>-5.258279261818484E-2</v>
      </c>
      <c r="Q380" s="40">
        <f t="shared" si="64"/>
        <v>2.8707518022656919E-2</v>
      </c>
      <c r="R380" s="40">
        <f t="shared" si="65"/>
        <v>-8.9791337176674632E-2</v>
      </c>
      <c r="S380" s="40">
        <f t="shared" si="66"/>
        <v>2.5935791392121248E-2</v>
      </c>
      <c r="T380" s="41">
        <f t="shared" si="67"/>
        <v>-2.7852049910873439E-2</v>
      </c>
      <c r="V380" s="39">
        <f t="shared" si="69"/>
        <v>-4.9280804931623214E-2</v>
      </c>
      <c r="W380" s="40" cm="1">
        <f t="array" ref="W380">IF(M380="","",SUMPRODUCT(M380:T380,TRANSPOSE('04_Dashboard'!$C$53:$C$60)))</f>
        <v>-2.5908914237640926E-2</v>
      </c>
      <c r="X380" s="42">
        <f t="shared" si="70"/>
        <v>1.2559968172989138</v>
      </c>
      <c r="Y380" s="118">
        <f t="shared" si="71"/>
        <v>1.3344015698642355</v>
      </c>
      <c r="AA380" s="43">
        <f>IF(X380="","",X380/MAX($X$4:X380)-1)</f>
        <v>-0.12436983016005054</v>
      </c>
      <c r="AB380" s="44">
        <f>IF(Y380="","",Y380/MAX($Y$4:Y380)-1)</f>
        <v>-8.8416776872439207E-2</v>
      </c>
    </row>
    <row r="381" spans="1:28" x14ac:dyDescent="0.45">
      <c r="A381" s="121">
        <v>45751</v>
      </c>
      <c r="B381" s="124">
        <v>505.28</v>
      </c>
      <c r="C381" s="124">
        <v>188.38</v>
      </c>
      <c r="D381" s="124">
        <v>359.84</v>
      </c>
      <c r="E381" s="124">
        <v>210.28</v>
      </c>
      <c r="F381" s="124">
        <v>104.34</v>
      </c>
      <c r="G381" s="124">
        <v>153.24</v>
      </c>
      <c r="H381" s="124">
        <v>171</v>
      </c>
      <c r="I381" s="124">
        <v>69.930000000000007</v>
      </c>
      <c r="J381" s="125">
        <v>83.19</v>
      </c>
      <c r="L381" s="39">
        <f t="shared" si="68"/>
        <v>-5.8542947643003669E-2</v>
      </c>
      <c r="M381" s="40">
        <f t="shared" si="60"/>
        <v>-7.2887445248289787E-2</v>
      </c>
      <c r="N381" s="40">
        <f t="shared" si="61"/>
        <v>-3.5565918897912246E-2</v>
      </c>
      <c r="O381" s="40">
        <f t="shared" si="62"/>
        <v>-8.0501989592898671E-2</v>
      </c>
      <c r="P381" s="40">
        <f t="shared" si="63"/>
        <v>-7.1955883660944617E-2</v>
      </c>
      <c r="Q381" s="40">
        <f t="shared" si="64"/>
        <v>-4.1171317732448906E-2</v>
      </c>
      <c r="R381" s="40">
        <f t="shared" si="65"/>
        <v>-4.1533546325878579E-2</v>
      </c>
      <c r="S381" s="40">
        <f t="shared" si="66"/>
        <v>-4.4411041268106036E-2</v>
      </c>
      <c r="T381" s="41">
        <f t="shared" si="67"/>
        <v>-4.6642218656887544E-2</v>
      </c>
      <c r="V381" s="39">
        <f t="shared" si="69"/>
        <v>-5.8542947643003669E-2</v>
      </c>
      <c r="W381" s="40" cm="1">
        <f t="array" ref="W381">IF(M381="","",SUMPRODUCT(M381:T381,TRANSPOSE('04_Dashboard'!$C$53:$C$60)))</f>
        <v>-5.4638743836283192E-2</v>
      </c>
      <c r="X381" s="42">
        <f t="shared" si="70"/>
        <v>1.1824670613840043</v>
      </c>
      <c r="Y381" s="118">
        <f t="shared" si="71"/>
        <v>1.2614915443136894</v>
      </c>
      <c r="AA381" s="43">
        <f>IF(X381="","",X381/MAX($X$4:X381)-1)</f>
        <v>-0.17563180134762502</v>
      </c>
      <c r="AB381" s="44">
        <f>IF(Y381="","",Y381/MAX($Y$4:Y381)-1)</f>
        <v>-0.13822453908635934</v>
      </c>
    </row>
    <row r="382" spans="1:28" x14ac:dyDescent="0.45">
      <c r="A382" s="121">
        <v>45754</v>
      </c>
      <c r="B382" s="124">
        <v>504.38</v>
      </c>
      <c r="C382" s="124">
        <v>181.46</v>
      </c>
      <c r="D382" s="124">
        <v>357.86</v>
      </c>
      <c r="E382" s="124">
        <v>214.44</v>
      </c>
      <c r="F382" s="124">
        <v>102.94</v>
      </c>
      <c r="G382" s="124">
        <v>150.62</v>
      </c>
      <c r="H382" s="124">
        <v>175.26</v>
      </c>
      <c r="I382" s="124">
        <v>68.37</v>
      </c>
      <c r="J382" s="125">
        <v>83.83</v>
      </c>
      <c r="L382" s="39">
        <f t="shared" si="68"/>
        <v>-1.7811906269790559E-3</v>
      </c>
      <c r="M382" s="40">
        <f t="shared" si="60"/>
        <v>-3.6734260537211953E-2</v>
      </c>
      <c r="N382" s="40">
        <f t="shared" si="61"/>
        <v>-5.502445531347158E-3</v>
      </c>
      <c r="O382" s="40">
        <f t="shared" si="62"/>
        <v>1.9783146281148929E-2</v>
      </c>
      <c r="P382" s="40">
        <f t="shared" si="63"/>
        <v>-1.3417672992141132E-2</v>
      </c>
      <c r="Q382" s="40">
        <f t="shared" si="64"/>
        <v>-1.7097363612633806E-2</v>
      </c>
      <c r="R382" s="40">
        <f t="shared" si="65"/>
        <v>2.4912280701754334E-2</v>
      </c>
      <c r="S382" s="40">
        <f t="shared" si="66"/>
        <v>-2.2308022308022337E-2</v>
      </c>
      <c r="T382" s="41">
        <f t="shared" si="67"/>
        <v>7.6932323596586201E-3</v>
      </c>
      <c r="V382" s="39">
        <f t="shared" si="69"/>
        <v>-1.7811906269790559E-3</v>
      </c>
      <c r="W382" s="40" cm="1">
        <f t="array" ref="W382">IF(M382="","",SUMPRODUCT(M382:T382,TRANSPOSE('04_Dashboard'!$C$53:$C$60)))</f>
        <v>-2.6380901392130352E-3</v>
      </c>
      <c r="X382" s="42">
        <f t="shared" si="70"/>
        <v>1.1803608621375556</v>
      </c>
      <c r="Y382" s="118">
        <f t="shared" si="71"/>
        <v>1.2581636159099348</v>
      </c>
      <c r="AA382" s="43">
        <f>IF(X382="","",X382/MAX($X$4:X382)-1)</f>
        <v>-0.17710015825624426</v>
      </c>
      <c r="AB382" s="44">
        <f>IF(Y382="","",Y382/MAX($Y$4:Y382)-1)</f>
        <v>-0.14049798043201145</v>
      </c>
    </row>
    <row r="383" spans="1:28" x14ac:dyDescent="0.45">
      <c r="A383" s="121">
        <v>45755</v>
      </c>
      <c r="B383" s="124">
        <v>496.48</v>
      </c>
      <c r="C383" s="124">
        <v>172.42</v>
      </c>
      <c r="D383" s="124">
        <v>354.56</v>
      </c>
      <c r="E383" s="124">
        <v>216.87</v>
      </c>
      <c r="F383" s="124">
        <v>100.77</v>
      </c>
      <c r="G383" s="124">
        <v>150</v>
      </c>
      <c r="H383" s="124">
        <v>170.66</v>
      </c>
      <c r="I383" s="124">
        <v>68.42</v>
      </c>
      <c r="J383" s="125">
        <v>81.790000000000006</v>
      </c>
      <c r="L383" s="39">
        <f t="shared" si="68"/>
        <v>-1.5662793925215069E-2</v>
      </c>
      <c r="M383" s="40">
        <f t="shared" si="60"/>
        <v>-4.9818141739226385E-2</v>
      </c>
      <c r="N383" s="40">
        <f t="shared" si="61"/>
        <v>-9.2214832616107165E-3</v>
      </c>
      <c r="O383" s="40">
        <f t="shared" si="62"/>
        <v>1.1331841074426445E-2</v>
      </c>
      <c r="P383" s="40">
        <f t="shared" si="63"/>
        <v>-2.108024091703907E-2</v>
      </c>
      <c r="Q383" s="40">
        <f t="shared" si="64"/>
        <v>-4.1163192139158445E-3</v>
      </c>
      <c r="R383" s="40">
        <f t="shared" si="65"/>
        <v>-2.6246719160104955E-2</v>
      </c>
      <c r="S383" s="40">
        <f t="shared" si="66"/>
        <v>7.3131490419770591E-4</v>
      </c>
      <c r="T383" s="41">
        <f t="shared" si="67"/>
        <v>-2.4334963616843518E-2</v>
      </c>
      <c r="V383" s="39">
        <f t="shared" si="69"/>
        <v>-1.5662793925215069E-2</v>
      </c>
      <c r="W383" s="40" cm="1">
        <f t="array" ref="W383">IF(M383="","",SUMPRODUCT(M383:T383,TRANSPOSE('04_Dashboard'!$C$53:$C$60)))</f>
        <v>-7.9465183934400007E-3</v>
      </c>
      <c r="X383" s="42">
        <f t="shared" si="70"/>
        <v>1.1618731131965059</v>
      </c>
      <c r="Y383" s="118">
        <f t="shared" si="71"/>
        <v>1.2481655955941495</v>
      </c>
      <c r="AA383" s="43">
        <f>IF(X383="","",X383/MAX($X$4:X383)-1)</f>
        <v>-0.18998906889856881</v>
      </c>
      <c r="AB383" s="44">
        <f>IF(Y383="","",Y383/MAX($Y$4:Y383)-1)</f>
        <v>-0.14732802903970721</v>
      </c>
    </row>
    <row r="384" spans="1:28" x14ac:dyDescent="0.45">
      <c r="A384" s="121">
        <v>45756</v>
      </c>
      <c r="B384" s="124">
        <v>548.62</v>
      </c>
      <c r="C384" s="124">
        <v>198.85</v>
      </c>
      <c r="D384" s="124">
        <v>390.49</v>
      </c>
      <c r="E384" s="124">
        <v>234.34</v>
      </c>
      <c r="F384" s="124">
        <v>105.8</v>
      </c>
      <c r="G384" s="124">
        <v>150.97</v>
      </c>
      <c r="H384" s="124">
        <v>191.1</v>
      </c>
      <c r="I384" s="124">
        <v>69.95</v>
      </c>
      <c r="J384" s="125">
        <v>89.6</v>
      </c>
      <c r="L384" s="39">
        <f t="shared" si="68"/>
        <v>0.10501933612632933</v>
      </c>
      <c r="M384" s="40">
        <f t="shared" si="60"/>
        <v>0.15328848161466194</v>
      </c>
      <c r="N384" s="40">
        <f t="shared" si="61"/>
        <v>0.10133686823104696</v>
      </c>
      <c r="O384" s="40">
        <f t="shared" si="62"/>
        <v>8.0555171300779257E-2</v>
      </c>
      <c r="P384" s="40">
        <f t="shared" si="63"/>
        <v>4.9915649498858801E-2</v>
      </c>
      <c r="Q384" s="40">
        <f t="shared" si="64"/>
        <v>6.4666666666666588E-3</v>
      </c>
      <c r="R384" s="40">
        <f t="shared" si="65"/>
        <v>0.11977030352748153</v>
      </c>
      <c r="S384" s="40">
        <f t="shared" si="66"/>
        <v>2.2361882490499869E-2</v>
      </c>
      <c r="T384" s="41">
        <f t="shared" si="67"/>
        <v>9.5488446020295728E-2</v>
      </c>
      <c r="V384" s="39">
        <f t="shared" si="69"/>
        <v>0.10501933612632933</v>
      </c>
      <c r="W384" s="40" cm="1">
        <f t="array" ref="W384">IF(M384="","",SUMPRODUCT(M384:T384,TRANSPOSE('04_Dashboard'!$C$53:$C$60)))</f>
        <v>6.3701561074768889E-2</v>
      </c>
      <c r="X384" s="42">
        <f t="shared" si="70"/>
        <v>1.2838922562074344</v>
      </c>
      <c r="Y384" s="118">
        <f t="shared" si="71"/>
        <v>1.3276756925133155</v>
      </c>
      <c r="AA384" s="43">
        <f>IF(X384="","",X384/MAX($X$4:X384)-1)</f>
        <v>-0.10492225865922655</v>
      </c>
      <c r="AB384" s="44">
        <f>IF(Y384="","",Y384/MAX($Y$4:Y384)-1)</f>
        <v>-9.3011493404836609E-2</v>
      </c>
    </row>
    <row r="385" spans="1:28" x14ac:dyDescent="0.45">
      <c r="A385" s="121">
        <v>45757</v>
      </c>
      <c r="B385" s="124">
        <v>524.58000000000004</v>
      </c>
      <c r="C385" s="124">
        <v>190.42</v>
      </c>
      <c r="D385" s="124">
        <v>381.35</v>
      </c>
      <c r="E385" s="124">
        <v>227.11</v>
      </c>
      <c r="F385" s="124">
        <v>99.93</v>
      </c>
      <c r="G385" s="124">
        <v>148.69</v>
      </c>
      <c r="H385" s="124">
        <v>181.22</v>
      </c>
      <c r="I385" s="124">
        <v>70.760000000000005</v>
      </c>
      <c r="J385" s="125">
        <v>90.61</v>
      </c>
      <c r="L385" s="39">
        <f t="shared" si="68"/>
        <v>-4.3819036856111632E-2</v>
      </c>
      <c r="M385" s="40">
        <f t="shared" si="60"/>
        <v>-4.2393764143827041E-2</v>
      </c>
      <c r="N385" s="40">
        <f t="shared" si="61"/>
        <v>-2.3406489282696064E-2</v>
      </c>
      <c r="O385" s="40">
        <f t="shared" si="62"/>
        <v>-3.0852607322693477E-2</v>
      </c>
      <c r="P385" s="40">
        <f t="shared" si="63"/>
        <v>-5.5482041587901612E-2</v>
      </c>
      <c r="Q385" s="40">
        <f t="shared" si="64"/>
        <v>-1.5102338212889985E-2</v>
      </c>
      <c r="R385" s="40">
        <f t="shared" si="65"/>
        <v>-5.170068027210882E-2</v>
      </c>
      <c r="S385" s="40">
        <f t="shared" si="66"/>
        <v>1.1579699785561148E-2</v>
      </c>
      <c r="T385" s="41">
        <f t="shared" si="67"/>
        <v>1.1272321428571486E-2</v>
      </c>
      <c r="V385" s="39">
        <f t="shared" si="69"/>
        <v>-4.3819036856111632E-2</v>
      </c>
      <c r="W385" s="40" cm="1">
        <f t="array" ref="W385">IF(M385="","",SUMPRODUCT(M385:T385,TRANSPOSE('04_Dashboard'!$C$53:$C$60)))</f>
        <v>-1.8242186852449195E-2</v>
      </c>
      <c r="X385" s="42">
        <f t="shared" si="70"/>
        <v>1.2276333341134045</v>
      </c>
      <c r="Y385" s="118">
        <f t="shared" si="71"/>
        <v>1.3034559844510327</v>
      </c>
      <c r="AA385" s="43">
        <f>IF(X385="","",X385/MAX($X$4:X385)-1)</f>
        <v>-0.14414370319612313</v>
      </c>
      <c r="AB385" s="44">
        <f>IF(Y385="","",Y385/MAX($Y$4:Y385)-1)</f>
        <v>-0.1095569472151694</v>
      </c>
    </row>
    <row r="386" spans="1:28" x14ac:dyDescent="0.45">
      <c r="A386" s="121">
        <v>45758</v>
      </c>
      <c r="B386" s="124">
        <v>533.94000000000005</v>
      </c>
      <c r="C386" s="124">
        <v>198.15</v>
      </c>
      <c r="D386" s="124">
        <v>388.45</v>
      </c>
      <c r="E386" s="124">
        <v>236.2</v>
      </c>
      <c r="F386" s="124">
        <v>103.14</v>
      </c>
      <c r="G386" s="124">
        <v>151.72999999999999</v>
      </c>
      <c r="H386" s="124">
        <v>184.87</v>
      </c>
      <c r="I386" s="124">
        <v>71.430000000000007</v>
      </c>
      <c r="J386" s="125">
        <v>92.8</v>
      </c>
      <c r="L386" s="39">
        <f t="shared" si="68"/>
        <v>1.7842845705135561E-2</v>
      </c>
      <c r="M386" s="40">
        <f t="shared" si="60"/>
        <v>4.059447537023432E-2</v>
      </c>
      <c r="N386" s="40">
        <f t="shared" si="61"/>
        <v>1.8618067392159342E-2</v>
      </c>
      <c r="O386" s="40">
        <f t="shared" si="62"/>
        <v>4.002465765488078E-2</v>
      </c>
      <c r="P386" s="40">
        <f t="shared" si="63"/>
        <v>3.2122485740017949E-2</v>
      </c>
      <c r="Q386" s="40">
        <f t="shared" si="64"/>
        <v>2.0445221601990665E-2</v>
      </c>
      <c r="R386" s="40">
        <f t="shared" si="65"/>
        <v>2.0141264761063933E-2</v>
      </c>
      <c r="S386" s="40">
        <f t="shared" si="66"/>
        <v>9.4686263425664448E-3</v>
      </c>
      <c r="T386" s="41">
        <f t="shared" si="67"/>
        <v>2.4169517713276654E-2</v>
      </c>
      <c r="V386" s="39">
        <f t="shared" si="69"/>
        <v>1.7842845705135561E-2</v>
      </c>
      <c r="W386" s="40" cm="1">
        <f t="array" ref="W386">IF(M386="","",SUMPRODUCT(M386:T386,TRANSPOSE('04_Dashboard'!$C$53:$C$60)))</f>
        <v>2.5634081506738824E-2</v>
      </c>
      <c r="X386" s="42">
        <f t="shared" si="70"/>
        <v>1.249537806276471</v>
      </c>
      <c r="Y386" s="118">
        <f t="shared" si="71"/>
        <v>1.336868881396897</v>
      </c>
      <c r="AA386" s="43">
        <f>IF(X386="","",X386/MAX($X$4:X386)-1)</f>
        <v>-0.12887279134648288</v>
      </c>
      <c r="AB386" s="44">
        <f>IF(Y386="","",Y386/MAX($Y$4:Y386)-1)</f>
        <v>-8.6731257422973718E-2</v>
      </c>
    </row>
    <row r="387" spans="1:28" x14ac:dyDescent="0.45">
      <c r="A387" s="121">
        <v>45761</v>
      </c>
      <c r="B387" s="124">
        <v>539.12</v>
      </c>
      <c r="C387" s="124">
        <v>202.52</v>
      </c>
      <c r="D387" s="124">
        <v>387.81</v>
      </c>
      <c r="E387" s="124">
        <v>234.72</v>
      </c>
      <c r="F387" s="124">
        <v>103.39</v>
      </c>
      <c r="G387" s="124">
        <v>154.36000000000001</v>
      </c>
      <c r="H387" s="124">
        <v>182.12</v>
      </c>
      <c r="I387" s="124">
        <v>72.45</v>
      </c>
      <c r="J387" s="125">
        <v>94.73</v>
      </c>
      <c r="L387" s="39">
        <f t="shared" si="68"/>
        <v>9.7014645840355646E-3</v>
      </c>
      <c r="M387" s="40">
        <f t="shared" si="60"/>
        <v>2.2053999495331843E-2</v>
      </c>
      <c r="N387" s="40">
        <f t="shared" si="61"/>
        <v>-1.6475736903075978E-3</v>
      </c>
      <c r="O387" s="40">
        <f t="shared" si="62"/>
        <v>-6.2658763759525391E-3</v>
      </c>
      <c r="P387" s="40">
        <f t="shared" si="63"/>
        <v>2.4238898584448324E-3</v>
      </c>
      <c r="Q387" s="40">
        <f t="shared" si="64"/>
        <v>1.7333421208726184E-2</v>
      </c>
      <c r="R387" s="40">
        <f t="shared" si="65"/>
        <v>-1.4875317790880077E-2</v>
      </c>
      <c r="S387" s="40">
        <f t="shared" si="66"/>
        <v>1.4279714405711829E-2</v>
      </c>
      <c r="T387" s="41">
        <f t="shared" si="67"/>
        <v>2.0797413793103521E-2</v>
      </c>
      <c r="V387" s="39">
        <f t="shared" si="69"/>
        <v>9.7014645840355646E-3</v>
      </c>
      <c r="W387" s="40" cm="1">
        <f t="array" ref="W387">IF(M387="","",SUMPRODUCT(M387:T387,TRANSPOSE('04_Dashboard'!$C$53:$C$60)))</f>
        <v>7.6545892757593631E-3</v>
      </c>
      <c r="X387" s="42">
        <f t="shared" si="70"/>
        <v>1.2616601530504759</v>
      </c>
      <c r="Y387" s="118">
        <f t="shared" si="71"/>
        <v>1.3471020635995341</v>
      </c>
      <c r="AA387" s="43">
        <f>IF(X387="","",X387/MAX($X$4:X387)-1)</f>
        <v>-0.12042158158354099</v>
      </c>
      <c r="AB387" s="44">
        <f>IF(Y387="","",Y387/MAX($Y$4:Y387)-1)</f>
        <v>-7.9740560300157415E-2</v>
      </c>
    </row>
    <row r="388" spans="1:28" x14ac:dyDescent="0.45">
      <c r="A388" s="121">
        <v>45762</v>
      </c>
      <c r="B388" s="124">
        <v>537.61</v>
      </c>
      <c r="C388" s="124">
        <v>202.14</v>
      </c>
      <c r="D388" s="124">
        <v>385.73</v>
      </c>
      <c r="E388" s="124">
        <v>233.13</v>
      </c>
      <c r="F388" s="124">
        <v>103.1</v>
      </c>
      <c r="G388" s="124">
        <v>153.62</v>
      </c>
      <c r="H388" s="124">
        <v>179.59</v>
      </c>
      <c r="I388" s="124">
        <v>71.86</v>
      </c>
      <c r="J388" s="125">
        <v>93.97</v>
      </c>
      <c r="L388" s="39">
        <f t="shared" si="68"/>
        <v>-2.800860661819244E-3</v>
      </c>
      <c r="M388" s="40">
        <f t="shared" ref="M388:M451" si="72">IF(C388="","",(C388-C387)/C387)</f>
        <v>-1.8763578905788261E-3</v>
      </c>
      <c r="N388" s="40">
        <f t="shared" ref="N388:N451" si="73">IF(D388="","",(D388-D387)/D387)</f>
        <v>-5.3634511745441942E-3</v>
      </c>
      <c r="O388" s="40">
        <f t="shared" ref="O388:O451" si="74">IF(E388="","",(E388-E387)/E387)</f>
        <v>-6.7740286298568651E-3</v>
      </c>
      <c r="P388" s="40">
        <f t="shared" ref="P388:P451" si="75">IF(F388="","",(F388-F387)/F387)</f>
        <v>-2.8049134345682005E-3</v>
      </c>
      <c r="Q388" s="40">
        <f t="shared" ref="Q388:Q451" si="76">IF(G388="","",(G388-G387)/G387)</f>
        <v>-4.7939880798134812E-3</v>
      </c>
      <c r="R388" s="40">
        <f t="shared" ref="R388:R451" si="77">IF(H388="","",(H388-H387)/H387)</f>
        <v>-1.3891939380628163E-2</v>
      </c>
      <c r="S388" s="40">
        <f t="shared" ref="S388:S451" si="78">IF(I388="","",(I388-I387)/I387)</f>
        <v>-8.1435472739821036E-3</v>
      </c>
      <c r="T388" s="41">
        <f t="shared" ref="T388:T451" si="79">IF(J388="","",(J388-J387)/J387)</f>
        <v>-8.0228016467856541E-3</v>
      </c>
      <c r="V388" s="39">
        <f t="shared" si="69"/>
        <v>-2.800860661819244E-3</v>
      </c>
      <c r="W388" s="40" cm="1">
        <f t="array" ref="W388">IF(M388="","",SUMPRODUCT(M388:T388,TRANSPOSE('04_Dashboard'!$C$53:$C$60)))</f>
        <v>-6.6251164096152249E-3</v>
      </c>
      <c r="X388" s="42">
        <f t="shared" si="70"/>
        <v>1.2581264187592118</v>
      </c>
      <c r="Y388" s="118">
        <f t="shared" si="71"/>
        <v>1.3381773556125542</v>
      </c>
      <c r="AA388" s="43">
        <f>IF(X388="","",X388/MAX($X$4:X388)-1)</f>
        <v>-0.12288515817466883</v>
      </c>
      <c r="AB388" s="44">
        <f>IF(Y388="","",Y388/MAX($Y$4:Y388)-1)</f>
        <v>-8.5837386215216194E-2</v>
      </c>
    </row>
    <row r="389" spans="1:28" x14ac:dyDescent="0.45">
      <c r="A389" s="121">
        <v>45763</v>
      </c>
      <c r="B389" s="124">
        <v>525.66</v>
      </c>
      <c r="C389" s="124">
        <v>194.27</v>
      </c>
      <c r="D389" s="124">
        <v>371.61</v>
      </c>
      <c r="E389" s="124">
        <v>229.61</v>
      </c>
      <c r="F389" s="124">
        <v>104.19</v>
      </c>
      <c r="G389" s="124">
        <v>153.91</v>
      </c>
      <c r="H389" s="124">
        <v>174.33</v>
      </c>
      <c r="I389" s="124">
        <v>71.680000000000007</v>
      </c>
      <c r="J389" s="125">
        <v>91.19</v>
      </c>
      <c r="L389" s="39">
        <f t="shared" ref="L389:L452" si="80">IF(B389="","",(B389-B388)/B388)</f>
        <v>-2.2228009151615567E-2</v>
      </c>
      <c r="M389" s="40">
        <f t="shared" si="72"/>
        <v>-3.8933412486395452E-2</v>
      </c>
      <c r="N389" s="40">
        <f t="shared" si="73"/>
        <v>-3.6605916055271831E-2</v>
      </c>
      <c r="O389" s="40">
        <f t="shared" si="74"/>
        <v>-1.5098871874061604E-2</v>
      </c>
      <c r="P389" s="40">
        <f t="shared" si="75"/>
        <v>1.0572259941804107E-2</v>
      </c>
      <c r="Q389" s="40">
        <f t="shared" si="76"/>
        <v>1.8877750292930089E-3</v>
      </c>
      <c r="R389" s="40">
        <f t="shared" si="77"/>
        <v>-2.928893590957175E-2</v>
      </c>
      <c r="S389" s="40">
        <f t="shared" si="78"/>
        <v>-2.5048705816865099E-3</v>
      </c>
      <c r="T389" s="41">
        <f t="shared" si="79"/>
        <v>-2.9583909758433554E-2</v>
      </c>
      <c r="V389" s="39">
        <f t="shared" ref="V389:V452" si="81">L389</f>
        <v>-2.2228009151615567E-2</v>
      </c>
      <c r="W389" s="40" cm="1">
        <f t="array" ref="W389">IF(M389="","",SUMPRODUCT(M389:T389,TRANSPOSE('04_Dashboard'!$C$53:$C$60)))</f>
        <v>-1.3865166818946097E-2</v>
      </c>
      <c r="X389" s="42">
        <f t="shared" si="70"/>
        <v>1.2301607732091426</v>
      </c>
      <c r="Y389" s="118">
        <f t="shared" si="71"/>
        <v>1.31962330334365</v>
      </c>
      <c r="AA389" s="43">
        <f>IF(X389="","",X389/MAX($X$4:X389)-1)</f>
        <v>-0.14238167490578024</v>
      </c>
      <c r="AB389" s="44">
        <f>IF(Y389="","",Y389/MAX($Y$4:Y389)-1)</f>
        <v>-9.8512403354986011E-2</v>
      </c>
    </row>
    <row r="390" spans="1:28" x14ac:dyDescent="0.45">
      <c r="A390" s="121">
        <v>45764</v>
      </c>
      <c r="B390" s="124">
        <v>526.41</v>
      </c>
      <c r="C390" s="124">
        <v>196.98</v>
      </c>
      <c r="D390" s="124">
        <v>367.78</v>
      </c>
      <c r="E390" s="124">
        <v>231.96</v>
      </c>
      <c r="F390" s="124">
        <v>106.92</v>
      </c>
      <c r="G390" s="124">
        <v>157.47</v>
      </c>
      <c r="H390" s="124">
        <v>172.61</v>
      </c>
      <c r="I390" s="124">
        <v>73</v>
      </c>
      <c r="J390" s="125">
        <v>93.22</v>
      </c>
      <c r="L390" s="39">
        <f t="shared" si="80"/>
        <v>1.4267777650953089E-3</v>
      </c>
      <c r="M390" s="40">
        <f t="shared" si="72"/>
        <v>1.3949657692901525E-2</v>
      </c>
      <c r="N390" s="40">
        <f t="shared" si="73"/>
        <v>-1.0306504130674741E-2</v>
      </c>
      <c r="O390" s="40">
        <f t="shared" si="74"/>
        <v>1.0234745873437543E-2</v>
      </c>
      <c r="P390" s="40">
        <f t="shared" si="75"/>
        <v>2.620213072271815E-2</v>
      </c>
      <c r="Q390" s="40">
        <f t="shared" si="76"/>
        <v>2.3130400883633308E-2</v>
      </c>
      <c r="R390" s="40">
        <f t="shared" si="77"/>
        <v>-9.8663454368152284E-3</v>
      </c>
      <c r="S390" s="40">
        <f t="shared" si="78"/>
        <v>1.8415178571428475E-2</v>
      </c>
      <c r="T390" s="41">
        <f t="shared" si="79"/>
        <v>2.2261212852286449E-2</v>
      </c>
      <c r="V390" s="39">
        <f t="shared" si="81"/>
        <v>1.4267777650953089E-3</v>
      </c>
      <c r="W390" s="40" cm="1">
        <f t="array" ref="W390">IF(M390="","",SUMPRODUCT(M390:T390,TRANSPOSE('04_Dashboard'!$C$53:$C$60)))</f>
        <v>1.4245554432661031E-2</v>
      </c>
      <c r="X390" s="42">
        <f t="shared" ref="X390:X453" si="82">IF(V390="","",X389*(1+V390))</f>
        <v>1.23191593924785</v>
      </c>
      <c r="Y390" s="118">
        <f t="shared" ref="Y390:Y453" si="83">IF(W390="","",Y389*(1+W390))</f>
        <v>1.3384220689420399</v>
      </c>
      <c r="AA390" s="43">
        <f>IF(X390="","",X390/MAX($X$4:X390)-1)</f>
        <v>-0.14115804414859745</v>
      </c>
      <c r="AB390" s="44">
        <f>IF(Y390="","",Y390/MAX($Y$4:Y390)-1)</f>
        <v>-8.5670212726610795E-2</v>
      </c>
    </row>
    <row r="391" spans="1:28" x14ac:dyDescent="0.45">
      <c r="A391" s="121">
        <v>45768</v>
      </c>
      <c r="B391" s="124">
        <v>513.88</v>
      </c>
      <c r="C391" s="124">
        <v>193.16</v>
      </c>
      <c r="D391" s="124">
        <v>359.12</v>
      </c>
      <c r="E391" s="124">
        <v>228.99</v>
      </c>
      <c r="F391" s="124">
        <v>105.35</v>
      </c>
      <c r="G391" s="124">
        <v>156.91999999999999</v>
      </c>
      <c r="H391" s="124">
        <v>167.32</v>
      </c>
      <c r="I391" s="124">
        <v>72.77</v>
      </c>
      <c r="J391" s="125">
        <v>92.41</v>
      </c>
      <c r="L391" s="39">
        <f t="shared" si="80"/>
        <v>-2.380273930966352E-2</v>
      </c>
      <c r="M391" s="40">
        <f t="shared" si="72"/>
        <v>-1.9392831759569466E-2</v>
      </c>
      <c r="N391" s="40">
        <f t="shared" si="73"/>
        <v>-2.3546685518516419E-2</v>
      </c>
      <c r="O391" s="40">
        <f t="shared" si="74"/>
        <v>-1.2803931712364195E-2</v>
      </c>
      <c r="P391" s="40">
        <f t="shared" si="75"/>
        <v>-1.4683875794986975E-2</v>
      </c>
      <c r="Q391" s="40">
        <f t="shared" si="76"/>
        <v>-3.4927287737347517E-3</v>
      </c>
      <c r="R391" s="40">
        <f t="shared" si="77"/>
        <v>-3.0647123573373618E-2</v>
      </c>
      <c r="S391" s="40">
        <f t="shared" si="78"/>
        <v>-3.1506849315069037E-3</v>
      </c>
      <c r="T391" s="41">
        <f t="shared" si="79"/>
        <v>-8.6891225059000463E-3</v>
      </c>
      <c r="V391" s="39">
        <f t="shared" si="81"/>
        <v>-2.380273930966352E-2</v>
      </c>
      <c r="W391" s="40" cm="1">
        <f t="array" ref="W391">IF(M391="","",SUMPRODUCT(M391:T391,TRANSPOSE('04_Dashboard'!$C$53:$C$60)))</f>
        <v>-1.1174872570222431E-2</v>
      </c>
      <c r="X391" s="42">
        <f t="shared" si="82"/>
        <v>1.2025929652945142</v>
      </c>
      <c r="Y391" s="118">
        <f t="shared" si="83"/>
        <v>1.3234653728764392</v>
      </c>
      <c r="AA391" s="43">
        <f>IF(X391="","",X391/MAX($X$4:X391)-1)</f>
        <v>-0.16160083533192993</v>
      </c>
      <c r="AB391" s="44">
        <f>IF(Y391="","",Y391/MAX($Y$4:Y391)-1)</f>
        <v>-9.5887731586549396E-2</v>
      </c>
    </row>
    <row r="392" spans="1:28" x14ac:dyDescent="0.45">
      <c r="A392" s="121">
        <v>45769</v>
      </c>
      <c r="B392" s="124">
        <v>527.25</v>
      </c>
      <c r="C392" s="124">
        <v>199.74</v>
      </c>
      <c r="D392" s="124">
        <v>366.82</v>
      </c>
      <c r="E392" s="124">
        <v>235.59</v>
      </c>
      <c r="F392" s="124">
        <v>108.3</v>
      </c>
      <c r="G392" s="124">
        <v>157.75</v>
      </c>
      <c r="H392" s="124">
        <v>173.18</v>
      </c>
      <c r="I392" s="124">
        <v>73.900000000000006</v>
      </c>
      <c r="J392" s="125">
        <v>94.85</v>
      </c>
      <c r="L392" s="39">
        <f t="shared" si="80"/>
        <v>2.6017747334007947E-2</v>
      </c>
      <c r="M392" s="40">
        <f t="shared" si="72"/>
        <v>3.4065023814454407E-2</v>
      </c>
      <c r="N392" s="40">
        <f t="shared" si="73"/>
        <v>2.144130095789705E-2</v>
      </c>
      <c r="O392" s="40">
        <f t="shared" si="74"/>
        <v>2.8822219310886913E-2</v>
      </c>
      <c r="P392" s="40">
        <f t="shared" si="75"/>
        <v>2.8001898433792149E-2</v>
      </c>
      <c r="Q392" s="40">
        <f t="shared" si="76"/>
        <v>5.2893193984196573E-3</v>
      </c>
      <c r="R392" s="40">
        <f t="shared" si="77"/>
        <v>3.5022710972985975E-2</v>
      </c>
      <c r="S392" s="40">
        <f t="shared" si="78"/>
        <v>1.5528377078466535E-2</v>
      </c>
      <c r="T392" s="41">
        <f t="shared" si="79"/>
        <v>2.6404068823720352E-2</v>
      </c>
      <c r="V392" s="39">
        <f t="shared" si="81"/>
        <v>2.6017747334007947E-2</v>
      </c>
      <c r="W392" s="40" cm="1">
        <f t="array" ref="W392">IF(M392="","",SUMPRODUCT(M392:T392,TRANSPOSE('04_Dashboard'!$C$53:$C$60)))</f>
        <v>2.1238277179835899E-2</v>
      </c>
      <c r="X392" s="42">
        <f t="shared" si="82"/>
        <v>1.2338817252112022</v>
      </c>
      <c r="Y392" s="118">
        <f t="shared" si="83"/>
        <v>1.3515734973035038</v>
      </c>
      <c r="AA392" s="43">
        <f>IF(X392="","",X392/MAX($X$4:X392)-1)</f>
        <v>-0.13978757770055272</v>
      </c>
      <c r="AB392" s="44">
        <f>IF(Y392="","",Y392/MAX($Y$4:Y392)-1)</f>
        <v>-7.6685944628294367E-2</v>
      </c>
    </row>
    <row r="393" spans="1:28" x14ac:dyDescent="0.45">
      <c r="A393" s="121">
        <v>45770</v>
      </c>
      <c r="B393" s="124">
        <v>535.41999999999996</v>
      </c>
      <c r="C393" s="124">
        <v>204.6</v>
      </c>
      <c r="D393" s="124">
        <v>374.39</v>
      </c>
      <c r="E393" s="124">
        <v>240.84</v>
      </c>
      <c r="F393" s="124">
        <v>107.37</v>
      </c>
      <c r="G393" s="124">
        <v>155.24</v>
      </c>
      <c r="H393" s="124">
        <v>180.6</v>
      </c>
      <c r="I393" s="124">
        <v>73.28</v>
      </c>
      <c r="J393" s="125">
        <v>94.93</v>
      </c>
      <c r="L393" s="39">
        <f t="shared" si="80"/>
        <v>1.5495495495495417E-2</v>
      </c>
      <c r="M393" s="40">
        <f t="shared" si="72"/>
        <v>2.4331631120456519E-2</v>
      </c>
      <c r="N393" s="40">
        <f t="shared" si="73"/>
        <v>2.063682460062154E-2</v>
      </c>
      <c r="O393" s="40">
        <f t="shared" si="74"/>
        <v>2.2284477269833184E-2</v>
      </c>
      <c r="P393" s="40">
        <f t="shared" si="75"/>
        <v>-8.587257617728463E-3</v>
      </c>
      <c r="Q393" s="40">
        <f t="shared" si="76"/>
        <v>-1.5911251980982508E-2</v>
      </c>
      <c r="R393" s="40">
        <f t="shared" si="77"/>
        <v>4.284559417946638E-2</v>
      </c>
      <c r="S393" s="40">
        <f t="shared" si="78"/>
        <v>-8.3897158322057443E-3</v>
      </c>
      <c r="T393" s="41">
        <f t="shared" si="79"/>
        <v>8.4343700579876126E-4</v>
      </c>
      <c r="V393" s="39">
        <f t="shared" si="81"/>
        <v>1.5495495495495417E-2</v>
      </c>
      <c r="W393" s="40" cm="1">
        <f t="array" ref="W393">IF(M393="","",SUMPRODUCT(M393:T393,TRANSPOSE('04_Dashboard'!$C$53:$C$60)))</f>
        <v>5.9136635202856084E-3</v>
      </c>
      <c r="X393" s="42">
        <f t="shared" si="82"/>
        <v>1.2530013339261865</v>
      </c>
      <c r="Y393" s="118">
        <f t="shared" si="83"/>
        <v>1.3595662481894926</v>
      </c>
      <c r="AA393" s="43">
        <f>IF(X393="","",X393/MAX($X$4:X393)-1)</f>
        <v>-0.12645815998564247</v>
      </c>
      <c r="AB393" s="44">
        <f>IF(Y393="","",Y393/MAX($Y$4:Y393)-1)</f>
        <v>-7.1225775981275663E-2</v>
      </c>
    </row>
    <row r="394" spans="1:28" x14ac:dyDescent="0.45">
      <c r="A394" s="121">
        <v>45771</v>
      </c>
      <c r="B394" s="124">
        <v>546.69000000000005</v>
      </c>
      <c r="C394" s="124">
        <v>208.37</v>
      </c>
      <c r="D394" s="124">
        <v>387.3</v>
      </c>
      <c r="E394" s="124">
        <v>244.64</v>
      </c>
      <c r="F394" s="124">
        <v>108.63</v>
      </c>
      <c r="G394" s="124">
        <v>154.93</v>
      </c>
      <c r="H394" s="124">
        <v>186.54</v>
      </c>
      <c r="I394" s="124">
        <v>72.52</v>
      </c>
      <c r="J394" s="125">
        <v>95.84</v>
      </c>
      <c r="L394" s="39">
        <f t="shared" si="80"/>
        <v>2.1048896193642554E-2</v>
      </c>
      <c r="M394" s="40">
        <f t="shared" si="72"/>
        <v>1.8426197458455574E-2</v>
      </c>
      <c r="N394" s="40">
        <f t="shared" si="73"/>
        <v>3.4482758620689724E-2</v>
      </c>
      <c r="O394" s="40">
        <f t="shared" si="74"/>
        <v>1.5778109948513464E-2</v>
      </c>
      <c r="P394" s="40">
        <f t="shared" si="75"/>
        <v>1.1735121542330175E-2</v>
      </c>
      <c r="Q394" s="40">
        <f t="shared" si="76"/>
        <v>-1.9969080133986233E-3</v>
      </c>
      <c r="R394" s="40">
        <f t="shared" si="77"/>
        <v>3.2890365448504974E-2</v>
      </c>
      <c r="S394" s="40">
        <f t="shared" si="78"/>
        <v>-1.0371179039301379E-2</v>
      </c>
      <c r="T394" s="41">
        <f t="shared" si="79"/>
        <v>9.5860107447592602E-3</v>
      </c>
      <c r="V394" s="39">
        <f t="shared" si="81"/>
        <v>2.1048896193642554E-2</v>
      </c>
      <c r="W394" s="40" cm="1">
        <f t="array" ref="W394">IF(M394="","",SUMPRODUCT(M394:T394,TRANSPOSE('04_Dashboard'!$C$53:$C$60)))</f>
        <v>9.5329754755887897E-3</v>
      </c>
      <c r="X394" s="42">
        <f t="shared" si="82"/>
        <v>1.2793756289344944</v>
      </c>
      <c r="Y394" s="118">
        <f t="shared" si="83"/>
        <v>1.3725269598909213</v>
      </c>
      <c r="AA394" s="43">
        <f>IF(X394="","",X394/MAX($X$4:X394)-1)</f>
        <v>-0.10807106847437675</v>
      </c>
      <c r="AB394" s="44">
        <f>IF(Y394="","",Y394/MAX($Y$4:Y394)-1)</f>
        <v>-6.2371794081346077E-2</v>
      </c>
    </row>
    <row r="395" spans="1:28" x14ac:dyDescent="0.45">
      <c r="A395" s="121">
        <v>45772</v>
      </c>
      <c r="B395" s="124">
        <v>550.64</v>
      </c>
      <c r="C395" s="124">
        <v>209.28</v>
      </c>
      <c r="D395" s="124">
        <v>391.85</v>
      </c>
      <c r="E395" s="124">
        <v>243.55</v>
      </c>
      <c r="F395" s="124">
        <v>108.57</v>
      </c>
      <c r="G395" s="124">
        <v>154.58000000000001</v>
      </c>
      <c r="H395" s="124">
        <v>188.99</v>
      </c>
      <c r="I395" s="124">
        <v>71.91</v>
      </c>
      <c r="J395" s="125">
        <v>95.09</v>
      </c>
      <c r="L395" s="39">
        <f t="shared" si="80"/>
        <v>7.2253013590882062E-3</v>
      </c>
      <c r="M395" s="40">
        <f t="shared" si="72"/>
        <v>4.3672313672793424E-3</v>
      </c>
      <c r="N395" s="40">
        <f t="shared" si="73"/>
        <v>1.1747998967208911E-2</v>
      </c>
      <c r="O395" s="40">
        <f t="shared" si="74"/>
        <v>-4.455526487900487E-3</v>
      </c>
      <c r="P395" s="40">
        <f t="shared" si="75"/>
        <v>-5.5233360950015901E-4</v>
      </c>
      <c r="Q395" s="40">
        <f t="shared" si="76"/>
        <v>-2.2590847479506508E-3</v>
      </c>
      <c r="R395" s="40">
        <f t="shared" si="77"/>
        <v>1.3133912297630628E-2</v>
      </c>
      <c r="S395" s="40">
        <f t="shared" si="78"/>
        <v>-8.4114726971869763E-3</v>
      </c>
      <c r="T395" s="41">
        <f t="shared" si="79"/>
        <v>-7.8255425709515859E-3</v>
      </c>
      <c r="V395" s="39">
        <f t="shared" si="81"/>
        <v>7.2253013590882062E-3</v>
      </c>
      <c r="W395" s="40" cm="1">
        <f t="array" ref="W395">IF(M395="","",SUMPRODUCT(M395:T395,TRANSPOSE('04_Dashboard'!$C$53:$C$60)))</f>
        <v>-1.8724533105480539E-3</v>
      </c>
      <c r="X395" s="42">
        <f t="shared" si="82"/>
        <v>1.2886195034050192</v>
      </c>
      <c r="Y395" s="118">
        <f t="shared" si="83"/>
        <v>1.369956967241057</v>
      </c>
      <c r="AA395" s="43">
        <f>IF(X395="","",X395/MAX($X$4:X395)-1)</f>
        <v>-0.10162661315321453</v>
      </c>
      <c r="AB395" s="44">
        <f>IF(Y395="","",Y395/MAX($Y$4:Y395)-1)</f>
        <v>-6.4127459119581731E-2</v>
      </c>
    </row>
    <row r="396" spans="1:28" x14ac:dyDescent="0.45">
      <c r="A396" s="121">
        <v>45775</v>
      </c>
      <c r="B396" s="124">
        <v>550.85</v>
      </c>
      <c r="C396" s="124">
        <v>210.14</v>
      </c>
      <c r="D396" s="124">
        <v>391.16</v>
      </c>
      <c r="E396" s="124">
        <v>243.22</v>
      </c>
      <c r="F396" s="124">
        <v>108.63</v>
      </c>
      <c r="G396" s="124">
        <v>155.35</v>
      </c>
      <c r="H396" s="124">
        <v>187.7</v>
      </c>
      <c r="I396" s="124">
        <v>71.790000000000006</v>
      </c>
      <c r="J396" s="125">
        <v>95.22</v>
      </c>
      <c r="L396" s="39">
        <f t="shared" si="80"/>
        <v>3.8137440069743641E-4</v>
      </c>
      <c r="M396" s="40">
        <f t="shared" si="72"/>
        <v>4.1093272171253119E-3</v>
      </c>
      <c r="N396" s="40">
        <f t="shared" si="73"/>
        <v>-1.7608778869465298E-3</v>
      </c>
      <c r="O396" s="40">
        <f t="shared" si="74"/>
        <v>-1.3549579141860499E-3</v>
      </c>
      <c r="P396" s="40">
        <f t="shared" si="75"/>
        <v>5.5263885051121196E-4</v>
      </c>
      <c r="Q396" s="40">
        <f t="shared" si="76"/>
        <v>4.9812394876438204E-3</v>
      </c>
      <c r="R396" s="40">
        <f t="shared" si="77"/>
        <v>-6.8257579766126267E-3</v>
      </c>
      <c r="S396" s="40">
        <f t="shared" si="78"/>
        <v>-1.6687526074258149E-3</v>
      </c>
      <c r="T396" s="41">
        <f t="shared" si="79"/>
        <v>1.3671258807445099E-3</v>
      </c>
      <c r="V396" s="39">
        <f t="shared" si="81"/>
        <v>3.8137440069743641E-4</v>
      </c>
      <c r="W396" s="40" cm="1">
        <f t="array" ref="W396">IF(M396="","",SUMPRODUCT(M396:T396,TRANSPOSE('04_Dashboard'!$C$53:$C$60)))</f>
        <v>4.5791318586985142E-4</v>
      </c>
      <c r="X396" s="42">
        <f t="shared" si="82"/>
        <v>1.2891109498958575</v>
      </c>
      <c r="Y396" s="118">
        <f t="shared" si="83"/>
        <v>1.3705842886004307</v>
      </c>
      <c r="AA396" s="43">
        <f>IF(X396="","",X396/MAX($X$4:X396)-1)</f>
        <v>-0.10128399654120324</v>
      </c>
      <c r="AB396" s="44">
        <f>IF(Y396="","",Y396/MAX($Y$4:Y396)-1)</f>
        <v>-6.3698910742819304E-2</v>
      </c>
    </row>
    <row r="397" spans="1:28" x14ac:dyDescent="0.45">
      <c r="A397" s="121">
        <v>45776</v>
      </c>
      <c r="B397" s="124">
        <v>554.32000000000005</v>
      </c>
      <c r="C397" s="124">
        <v>211.21</v>
      </c>
      <c r="D397" s="124">
        <v>394.04</v>
      </c>
      <c r="E397" s="124">
        <v>244.62</v>
      </c>
      <c r="F397" s="124">
        <v>108.36</v>
      </c>
      <c r="G397" s="124">
        <v>155.91</v>
      </c>
      <c r="H397" s="124">
        <v>187.39</v>
      </c>
      <c r="I397" s="124">
        <v>72.349999999999994</v>
      </c>
      <c r="J397" s="125">
        <v>96.04</v>
      </c>
      <c r="L397" s="39">
        <f t="shared" si="80"/>
        <v>6.2993555414360119E-3</v>
      </c>
      <c r="M397" s="40">
        <f t="shared" si="72"/>
        <v>5.091843532882943E-3</v>
      </c>
      <c r="N397" s="40">
        <f t="shared" si="73"/>
        <v>7.3627160241333351E-3</v>
      </c>
      <c r="O397" s="40">
        <f t="shared" si="74"/>
        <v>5.7561055834224389E-3</v>
      </c>
      <c r="P397" s="40">
        <f t="shared" si="75"/>
        <v>-2.485501242750585E-3</v>
      </c>
      <c r="Q397" s="40">
        <f t="shared" si="76"/>
        <v>3.6047634373994352E-3</v>
      </c>
      <c r="R397" s="40">
        <f t="shared" si="77"/>
        <v>-1.6515716568993196E-3</v>
      </c>
      <c r="S397" s="40">
        <f t="shared" si="78"/>
        <v>7.8005293216323723E-3</v>
      </c>
      <c r="T397" s="41">
        <f t="shared" si="79"/>
        <v>8.6116362108801456E-3</v>
      </c>
      <c r="V397" s="39">
        <f t="shared" si="81"/>
        <v>6.2993555414360119E-3</v>
      </c>
      <c r="W397" s="40" cm="1">
        <f t="array" ref="W397">IF(M397="","",SUMPRODUCT(M397:T397,TRANSPOSE('04_Dashboard'!$C$53:$C$60)))</f>
        <v>5.0406328675742379E-3</v>
      </c>
      <c r="X397" s="42">
        <f t="shared" si="82"/>
        <v>1.2972315181016096</v>
      </c>
      <c r="Y397" s="118">
        <f t="shared" si="83"/>
        <v>1.377492900813331</v>
      </c>
      <c r="AA397" s="43">
        <f>IF(X397="","",X397/MAX($X$4:X397)-1)</f>
        <v>-9.5622664904637888E-2</v>
      </c>
      <c r="AB397" s="44">
        <f>IF(Y397="","",Y397/MAX($Y$4:Y397)-1)</f>
        <v>-5.8979360698363958E-2</v>
      </c>
    </row>
    <row r="398" spans="1:28" x14ac:dyDescent="0.45">
      <c r="A398" s="121">
        <v>45777</v>
      </c>
      <c r="B398" s="124">
        <v>554.54</v>
      </c>
      <c r="C398" s="124">
        <v>212.5</v>
      </c>
      <c r="D398" s="124">
        <v>395.26</v>
      </c>
      <c r="E398" s="124">
        <v>244.62</v>
      </c>
      <c r="F398" s="124">
        <v>105.63</v>
      </c>
      <c r="G398" s="124">
        <v>156.31</v>
      </c>
      <c r="H398" s="124">
        <v>184.42</v>
      </c>
      <c r="I398" s="124">
        <v>72.55</v>
      </c>
      <c r="J398" s="125">
        <v>97.25</v>
      </c>
      <c r="L398" s="39">
        <f t="shared" si="80"/>
        <v>3.9688266705136666E-4</v>
      </c>
      <c r="M398" s="40">
        <f t="shared" si="72"/>
        <v>6.1076653567539033E-3</v>
      </c>
      <c r="N398" s="40">
        <f t="shared" si="73"/>
        <v>3.0961323723479096E-3</v>
      </c>
      <c r="O398" s="40">
        <f t="shared" si="74"/>
        <v>0</v>
      </c>
      <c r="P398" s="40">
        <f t="shared" si="75"/>
        <v>-2.5193798449612441E-2</v>
      </c>
      <c r="Q398" s="40">
        <f t="shared" si="76"/>
        <v>2.5655827079725849E-3</v>
      </c>
      <c r="R398" s="40">
        <f t="shared" si="77"/>
        <v>-1.5849298254976246E-2</v>
      </c>
      <c r="S398" s="40">
        <f t="shared" si="78"/>
        <v>2.7643400138217394E-3</v>
      </c>
      <c r="T398" s="41">
        <f t="shared" si="79"/>
        <v>1.2598917117867489E-2</v>
      </c>
      <c r="V398" s="39">
        <f t="shared" si="81"/>
        <v>3.9688266705136666E-4</v>
      </c>
      <c r="W398" s="40" cm="1">
        <f t="array" ref="W398">IF(M398="","",SUMPRODUCT(M398:T398,TRANSPOSE('04_Dashboard'!$C$53:$C$60)))</f>
        <v>8.7372270643089453E-4</v>
      </c>
      <c r="X398" s="42">
        <f t="shared" si="82"/>
        <v>1.2977463668062967</v>
      </c>
      <c r="Y398" s="118">
        <f t="shared" si="83"/>
        <v>1.3786964476387189</v>
      </c>
      <c r="AA398" s="43">
        <f>IF(X398="","",X398/MAX($X$4:X398)-1)</f>
        <v>-9.5263733215864566E-2</v>
      </c>
      <c r="AB398" s="44">
        <f>IF(Y398="","",Y398/MAX($Y$4:Y398)-1)</f>
        <v>-5.8157169598585967E-2</v>
      </c>
    </row>
    <row r="399" spans="1:28" x14ac:dyDescent="0.45">
      <c r="A399" s="121">
        <v>45778</v>
      </c>
      <c r="B399" s="124">
        <v>558.47</v>
      </c>
      <c r="C399" s="124">
        <v>213.32</v>
      </c>
      <c r="D399" s="124">
        <v>425.4</v>
      </c>
      <c r="E399" s="124">
        <v>246.89</v>
      </c>
      <c r="F399" s="124">
        <v>105.78</v>
      </c>
      <c r="G399" s="124">
        <v>154.46</v>
      </c>
      <c r="H399" s="124">
        <v>190.2</v>
      </c>
      <c r="I399" s="124">
        <v>71.290000000000006</v>
      </c>
      <c r="J399" s="125">
        <v>97.41</v>
      </c>
      <c r="L399" s="39">
        <f t="shared" si="80"/>
        <v>7.0869549536553972E-3</v>
      </c>
      <c r="M399" s="40">
        <f t="shared" si="72"/>
        <v>3.8588235294117327E-3</v>
      </c>
      <c r="N399" s="40">
        <f t="shared" si="73"/>
        <v>7.6253605221879239E-2</v>
      </c>
      <c r="O399" s="40">
        <f t="shared" si="74"/>
        <v>9.2796991251736637E-3</v>
      </c>
      <c r="P399" s="40">
        <f t="shared" si="75"/>
        <v>1.4200511218404402E-3</v>
      </c>
      <c r="Q399" s="40">
        <f t="shared" si="76"/>
        <v>-1.1835455185208843E-2</v>
      </c>
      <c r="R399" s="40">
        <f t="shared" si="77"/>
        <v>3.1341503090771071E-2</v>
      </c>
      <c r="S399" s="40">
        <f t="shared" si="78"/>
        <v>-1.7367332873879957E-2</v>
      </c>
      <c r="T399" s="41">
        <f t="shared" si="79"/>
        <v>1.6452442159382683E-3</v>
      </c>
      <c r="V399" s="39">
        <f t="shared" si="81"/>
        <v>7.0869549536553972E-3</v>
      </c>
      <c r="W399" s="40" cm="1">
        <f t="array" ref="W399">IF(M399="","",SUMPRODUCT(M399:T399,TRANSPOSE('04_Dashboard'!$C$53:$C$60)))</f>
        <v>4.9806166143339849E-3</v>
      </c>
      <c r="X399" s="42">
        <f t="shared" si="82"/>
        <v>1.3069434368491228</v>
      </c>
      <c r="Y399" s="118">
        <f t="shared" si="83"/>
        <v>1.3855632060719516</v>
      </c>
      <c r="AA399" s="43">
        <f>IF(X399="","",X399/MAX($X$4:X399)-1)</f>
        <v>-8.8851908048227179E-2</v>
      </c>
      <c r="AB399" s="44">
        <f>IF(Y399="","",Y399/MAX($Y$4:Y399)-1)</f>
        <v>-5.3466211549397347E-2</v>
      </c>
    </row>
    <row r="400" spans="1:28" x14ac:dyDescent="0.45">
      <c r="A400" s="121">
        <v>45779</v>
      </c>
      <c r="B400" s="124">
        <v>566.76</v>
      </c>
      <c r="C400" s="124">
        <v>205.35</v>
      </c>
      <c r="D400" s="124">
        <v>435.28</v>
      </c>
      <c r="E400" s="124">
        <v>252.51</v>
      </c>
      <c r="F400" s="124">
        <v>106.21</v>
      </c>
      <c r="G400" s="124">
        <v>156.12</v>
      </c>
      <c r="H400" s="124">
        <v>189.98</v>
      </c>
      <c r="I400" s="124">
        <v>71.650000000000006</v>
      </c>
      <c r="J400" s="125">
        <v>98.75</v>
      </c>
      <c r="L400" s="39">
        <f t="shared" si="80"/>
        <v>1.4844127706053974E-2</v>
      </c>
      <c r="M400" s="40">
        <f t="shared" si="72"/>
        <v>-3.7361710106881676E-2</v>
      </c>
      <c r="N400" s="40">
        <f t="shared" si="73"/>
        <v>2.3225199811941693E-2</v>
      </c>
      <c r="O400" s="40">
        <f t="shared" si="74"/>
        <v>2.2763173883105857E-2</v>
      </c>
      <c r="P400" s="40">
        <f t="shared" si="75"/>
        <v>4.0650406504064342E-3</v>
      </c>
      <c r="Q400" s="40">
        <f t="shared" si="76"/>
        <v>1.0747118995209092E-2</v>
      </c>
      <c r="R400" s="40">
        <f t="shared" si="77"/>
        <v>-1.156677181913769E-3</v>
      </c>
      <c r="S400" s="40">
        <f t="shared" si="78"/>
        <v>5.0497966054144959E-3</v>
      </c>
      <c r="T400" s="41">
        <f t="shared" si="79"/>
        <v>1.3756287855456354E-2</v>
      </c>
      <c r="V400" s="39">
        <f t="shared" si="81"/>
        <v>1.4844127706053974E-2</v>
      </c>
      <c r="W400" s="40" cm="1">
        <f t="array" ref="W400">IF(M400="","",SUMPRODUCT(M400:T400,TRANSPOSE('04_Dashboard'!$C$53:$C$60)))</f>
        <v>1.0213770105950391E-2</v>
      </c>
      <c r="X400" s="42">
        <f t="shared" si="82"/>
        <v>1.3263438721303005</v>
      </c>
      <c r="Y400" s="118">
        <f t="shared" si="83"/>
        <v>1.3997150301260342</v>
      </c>
      <c r="AA400" s="43">
        <f>IF(X400="","",X400/MAX($X$4:X400)-1)</f>
        <v>-7.5326709412167459E-2</v>
      </c>
      <c r="AB400" s="44">
        <f>IF(Y400="","",Y400/MAX($Y$4:Y400)-1)</f>
        <v>-4.379853303664849E-2</v>
      </c>
    </row>
    <row r="401" spans="1:28" x14ac:dyDescent="0.45">
      <c r="A401" s="121">
        <v>45782</v>
      </c>
      <c r="B401" s="124">
        <v>563.51</v>
      </c>
      <c r="C401" s="124">
        <v>198.89</v>
      </c>
      <c r="D401" s="124">
        <v>436.17</v>
      </c>
      <c r="E401" s="124">
        <v>252.56</v>
      </c>
      <c r="F401" s="124">
        <v>103.27</v>
      </c>
      <c r="G401" s="124">
        <v>155</v>
      </c>
      <c r="H401" s="124">
        <v>186.35</v>
      </c>
      <c r="I401" s="124">
        <v>71.7</v>
      </c>
      <c r="J401" s="125">
        <v>99.33</v>
      </c>
      <c r="L401" s="39">
        <f t="shared" si="80"/>
        <v>-5.7343496365304539E-3</v>
      </c>
      <c r="M401" s="40">
        <f t="shared" si="72"/>
        <v>-3.1458485512539609E-2</v>
      </c>
      <c r="N401" s="40">
        <f t="shared" si="73"/>
        <v>2.0446609079214375E-3</v>
      </c>
      <c r="O401" s="40">
        <f t="shared" si="74"/>
        <v>1.9801195992242434E-4</v>
      </c>
      <c r="P401" s="40">
        <f t="shared" si="75"/>
        <v>-2.7681009321156181E-2</v>
      </c>
      <c r="Q401" s="40">
        <f t="shared" si="76"/>
        <v>-7.1739687419933671E-3</v>
      </c>
      <c r="R401" s="40">
        <f t="shared" si="77"/>
        <v>-1.9107274449942077E-2</v>
      </c>
      <c r="S401" s="40">
        <f t="shared" si="78"/>
        <v>6.9783670621070696E-4</v>
      </c>
      <c r="T401" s="41">
        <f t="shared" si="79"/>
        <v>5.8734177215189701E-3</v>
      </c>
      <c r="V401" s="39">
        <f t="shared" si="81"/>
        <v>-5.7343496365304539E-3</v>
      </c>
      <c r="W401" s="40" cm="1">
        <f t="array" ref="W401">IF(M401="","",SUMPRODUCT(M401:T401,TRANSPOSE('04_Dashboard'!$C$53:$C$60)))</f>
        <v>-5.1309834800783126E-3</v>
      </c>
      <c r="X401" s="42">
        <f t="shared" si="82"/>
        <v>1.3187381526292357</v>
      </c>
      <c r="Y401" s="118">
        <f t="shared" si="83"/>
        <v>1.3925331154296401</v>
      </c>
      <c r="AA401" s="43">
        <f>IF(X401="","",X401/MAX($X$4:X401)-1)</f>
        <v>-8.0629109359959261E-2</v>
      </c>
      <c r="AB401" s="44">
        <f>IF(Y401="","",Y401/MAX($Y$4:Y401)-1)</f>
        <v>-4.8704786967264213E-2</v>
      </c>
    </row>
    <row r="402" spans="1:28" x14ac:dyDescent="0.45">
      <c r="A402" s="121">
        <v>45783</v>
      </c>
      <c r="B402" s="124">
        <v>558.79999999999995</v>
      </c>
      <c r="C402" s="124">
        <v>198.51</v>
      </c>
      <c r="D402" s="124">
        <v>433.31</v>
      </c>
      <c r="E402" s="124">
        <v>249.25</v>
      </c>
      <c r="F402" s="124">
        <v>104.71</v>
      </c>
      <c r="G402" s="124">
        <v>154.47</v>
      </c>
      <c r="H402" s="124">
        <v>185.01</v>
      </c>
      <c r="I402" s="124">
        <v>71.72</v>
      </c>
      <c r="J402" s="125">
        <v>98.55</v>
      </c>
      <c r="L402" s="39">
        <f t="shared" si="80"/>
        <v>-8.3583254955547134E-3</v>
      </c>
      <c r="M402" s="40">
        <f t="shared" si="72"/>
        <v>-1.9106038513751092E-3</v>
      </c>
      <c r="N402" s="40">
        <f t="shared" si="73"/>
        <v>-6.5570763693055768E-3</v>
      </c>
      <c r="O402" s="40">
        <f t="shared" si="74"/>
        <v>-1.3105796642382017E-2</v>
      </c>
      <c r="P402" s="40">
        <f t="shared" si="75"/>
        <v>1.3944030212065438E-2</v>
      </c>
      <c r="Q402" s="40">
        <f t="shared" si="76"/>
        <v>-3.4193548387096849E-3</v>
      </c>
      <c r="R402" s="40">
        <f t="shared" si="77"/>
        <v>-7.1907700563456044E-3</v>
      </c>
      <c r="S402" s="40">
        <f t="shared" si="78"/>
        <v>2.7894002789394728E-4</v>
      </c>
      <c r="T402" s="41">
        <f t="shared" si="79"/>
        <v>-7.8526125037753063E-3</v>
      </c>
      <c r="V402" s="39">
        <f t="shared" si="81"/>
        <v>-8.3583254955547134E-3</v>
      </c>
      <c r="W402" s="40" cm="1">
        <f t="array" ref="W402">IF(M402="","",SUMPRODUCT(M402:T402,TRANSPOSE('04_Dashboard'!$C$53:$C$60)))</f>
        <v>-5.3613753991236836E-3</v>
      </c>
      <c r="X402" s="42">
        <f t="shared" si="82"/>
        <v>1.307715709906154</v>
      </c>
      <c r="Y402" s="118">
        <f t="shared" si="83"/>
        <v>1.3850672226421106</v>
      </c>
      <c r="AA402" s="43">
        <f>IF(X402="","",X402/MAX($X$4:X402)-1)</f>
        <v>-8.8313510515066751E-2</v>
      </c>
      <c r="AB402" s="44">
        <f>IF(Y402="","",Y402/MAX($Y$4:Y402)-1)</f>
        <v>-5.3805037719722004E-2</v>
      </c>
    </row>
    <row r="403" spans="1:28" x14ac:dyDescent="0.45">
      <c r="A403" s="121">
        <v>45784</v>
      </c>
      <c r="B403" s="124">
        <v>561.15</v>
      </c>
      <c r="C403" s="124">
        <v>196.25</v>
      </c>
      <c r="D403" s="124">
        <v>433.35</v>
      </c>
      <c r="E403" s="124">
        <v>249.39</v>
      </c>
      <c r="F403" s="124">
        <v>104.61</v>
      </c>
      <c r="G403" s="124">
        <v>157.30000000000001</v>
      </c>
      <c r="H403" s="124">
        <v>188.71</v>
      </c>
      <c r="I403" s="124">
        <v>72.400000000000006</v>
      </c>
      <c r="J403" s="125">
        <v>98.83</v>
      </c>
      <c r="L403" s="39">
        <f t="shared" si="80"/>
        <v>4.2054402290623173E-3</v>
      </c>
      <c r="M403" s="40">
        <f t="shared" si="72"/>
        <v>-1.1384816885799159E-2</v>
      </c>
      <c r="N403" s="40">
        <f t="shared" si="73"/>
        <v>9.2312662989592811E-5</v>
      </c>
      <c r="O403" s="40">
        <f t="shared" si="74"/>
        <v>5.6168505516544179E-4</v>
      </c>
      <c r="P403" s="40">
        <f t="shared" si="75"/>
        <v>-9.5501862286309159E-4</v>
      </c>
      <c r="Q403" s="40">
        <f t="shared" si="76"/>
        <v>1.8320709522884785E-2</v>
      </c>
      <c r="R403" s="40">
        <f t="shared" si="77"/>
        <v>1.9998918977352668E-2</v>
      </c>
      <c r="S403" s="40">
        <f t="shared" si="78"/>
        <v>9.4813162297825819E-3</v>
      </c>
      <c r="T403" s="41">
        <f t="shared" si="79"/>
        <v>2.8411973617453188E-3</v>
      </c>
      <c r="V403" s="39">
        <f t="shared" si="81"/>
        <v>4.2054402290623173E-3</v>
      </c>
      <c r="W403" s="40" cm="1">
        <f t="array" ref="W403">IF(M403="","",SUMPRODUCT(M403:T403,TRANSPOSE('04_Dashboard'!$C$53:$C$60)))</f>
        <v>7.0099301081454407E-3</v>
      </c>
      <c r="X403" s="42">
        <f t="shared" si="82"/>
        <v>1.3132152301607702</v>
      </c>
      <c r="Y403" s="118">
        <f t="shared" si="83"/>
        <v>1.3947764470679149</v>
      </c>
      <c r="AA403" s="43">
        <f>IF(X403="","",X403/MAX($X$4:X403)-1)</f>
        <v>-8.4479467475894188E-2</v>
      </c>
      <c r="AB403" s="44">
        <f>IF(Y403="","",Y403/MAX($Y$4:Y403)-1)</f>
        <v>-4.717227716545791E-2</v>
      </c>
    </row>
    <row r="404" spans="1:28" x14ac:dyDescent="0.45">
      <c r="A404" s="121">
        <v>45785</v>
      </c>
      <c r="B404" s="124">
        <v>565.05999999999995</v>
      </c>
      <c r="C404" s="124">
        <v>197.49</v>
      </c>
      <c r="D404" s="124">
        <v>438.17</v>
      </c>
      <c r="E404" s="124">
        <v>253.47</v>
      </c>
      <c r="F404" s="124">
        <v>106.07</v>
      </c>
      <c r="G404" s="124">
        <v>155.66</v>
      </c>
      <c r="H404" s="124">
        <v>192.08</v>
      </c>
      <c r="I404" s="124">
        <v>71.17</v>
      </c>
      <c r="J404" s="125">
        <v>97.43</v>
      </c>
      <c r="L404" s="39">
        <f t="shared" si="80"/>
        <v>6.967833912501057E-3</v>
      </c>
      <c r="M404" s="40">
        <f t="shared" si="72"/>
        <v>6.3184713375796639E-3</v>
      </c>
      <c r="N404" s="40">
        <f t="shared" si="73"/>
        <v>1.1122649128879641E-2</v>
      </c>
      <c r="O404" s="40">
        <f t="shared" si="74"/>
        <v>1.6359918200409048E-2</v>
      </c>
      <c r="P404" s="40">
        <f t="shared" si="75"/>
        <v>1.3956600707389291E-2</v>
      </c>
      <c r="Q404" s="40">
        <f t="shared" si="76"/>
        <v>-1.0425937698665065E-2</v>
      </c>
      <c r="R404" s="40">
        <f t="shared" si="77"/>
        <v>1.7858089131471595E-2</v>
      </c>
      <c r="S404" s="40">
        <f t="shared" si="78"/>
        <v>-1.6988950276243149E-2</v>
      </c>
      <c r="T404" s="41">
        <f t="shared" si="79"/>
        <v>-1.4165739148031887E-2</v>
      </c>
      <c r="V404" s="39">
        <f t="shared" si="81"/>
        <v>6.967833912501057E-3</v>
      </c>
      <c r="W404" s="40" cm="1">
        <f t="array" ref="W404">IF(M404="","",SUMPRODUCT(M404:T404,TRANSPOSE('04_Dashboard'!$C$53:$C$60)))</f>
        <v>1.8123715645136824E-4</v>
      </c>
      <c r="X404" s="42">
        <f t="shared" si="82"/>
        <v>1.3223654957758972</v>
      </c>
      <c r="Y404" s="118">
        <f t="shared" si="83"/>
        <v>1.3950292323850668</v>
      </c>
      <c r="AA404" s="43">
        <f>IF(X404="","",X404/MAX($X$4:X404)-1)</f>
        <v>-7.810027246178175E-2</v>
      </c>
      <c r="AB404" s="44">
        <f>IF(Y404="","",Y404/MAX($Y$4:Y404)-1)</f>
        <v>-4.6999589378383333E-2</v>
      </c>
    </row>
    <row r="405" spans="1:28" x14ac:dyDescent="0.45">
      <c r="A405" s="121">
        <v>45786</v>
      </c>
      <c r="B405" s="124">
        <v>564.34</v>
      </c>
      <c r="C405" s="124">
        <v>198.53</v>
      </c>
      <c r="D405" s="124">
        <v>438.73</v>
      </c>
      <c r="E405" s="124">
        <v>253.08</v>
      </c>
      <c r="F405" s="124">
        <v>107.31</v>
      </c>
      <c r="G405" s="124">
        <v>154.22</v>
      </c>
      <c r="H405" s="124">
        <v>193.06</v>
      </c>
      <c r="I405" s="124">
        <v>70.52</v>
      </c>
      <c r="J405" s="125">
        <v>96.72</v>
      </c>
      <c r="L405" s="39">
        <f t="shared" si="80"/>
        <v>-1.274200969808363E-3</v>
      </c>
      <c r="M405" s="40">
        <f t="shared" si="72"/>
        <v>5.2660894222491868E-3</v>
      </c>
      <c r="N405" s="40">
        <f t="shared" si="73"/>
        <v>1.278042768788375E-3</v>
      </c>
      <c r="O405" s="40">
        <f t="shared" si="74"/>
        <v>-1.5386436264646166E-3</v>
      </c>
      <c r="P405" s="40">
        <f t="shared" si="75"/>
        <v>1.1690393136607987E-2</v>
      </c>
      <c r="Q405" s="40">
        <f t="shared" si="76"/>
        <v>-9.2509315174097249E-3</v>
      </c>
      <c r="R405" s="40">
        <f t="shared" si="77"/>
        <v>5.1020408163264773E-3</v>
      </c>
      <c r="S405" s="40">
        <f t="shared" si="78"/>
        <v>-9.1330616832936019E-3</v>
      </c>
      <c r="T405" s="41">
        <f t="shared" si="79"/>
        <v>-7.2872831776660974E-3</v>
      </c>
      <c r="V405" s="39">
        <f t="shared" si="81"/>
        <v>-1.274200969808363E-3</v>
      </c>
      <c r="W405" s="40" cm="1">
        <f t="array" ref="W405">IF(M405="","",SUMPRODUCT(M405:T405,TRANSPOSE('04_Dashboard'!$C$53:$C$60)))</f>
        <v>-3.5133586574098061E-3</v>
      </c>
      <c r="X405" s="42">
        <f t="shared" si="82"/>
        <v>1.3206805363787384</v>
      </c>
      <c r="Y405" s="118">
        <f t="shared" si="83"/>
        <v>1.3901279943541271</v>
      </c>
      <c r="AA405" s="43">
        <f>IF(X405="","",X405/MAX($X$4:X405)-1)</f>
        <v>-7.9274957988677008E-2</v>
      </c>
      <c r="AB405" s="44">
        <f>IF(Y405="","",Y405/MAX($Y$4:Y405)-1)</f>
        <v>-5.0347821621555822E-2</v>
      </c>
    </row>
    <row r="406" spans="1:28" x14ac:dyDescent="0.45">
      <c r="A406" s="121">
        <v>45789</v>
      </c>
      <c r="B406" s="124">
        <v>582.99</v>
      </c>
      <c r="C406" s="124">
        <v>210.79</v>
      </c>
      <c r="D406" s="124">
        <v>449.26</v>
      </c>
      <c r="E406" s="124">
        <v>260.05</v>
      </c>
      <c r="F406" s="124">
        <v>109.16</v>
      </c>
      <c r="G406" s="124">
        <v>154.13999999999999</v>
      </c>
      <c r="H406" s="124">
        <v>208.64</v>
      </c>
      <c r="I406" s="124">
        <v>69.53</v>
      </c>
      <c r="J406" s="125">
        <v>96.75</v>
      </c>
      <c r="L406" s="39">
        <f t="shared" si="80"/>
        <v>3.3047453662685571E-2</v>
      </c>
      <c r="M406" s="40">
        <f t="shared" si="72"/>
        <v>6.1753891099581883E-2</v>
      </c>
      <c r="N406" s="40">
        <f t="shared" si="73"/>
        <v>2.4001094066965951E-2</v>
      </c>
      <c r="O406" s="40">
        <f t="shared" si="74"/>
        <v>2.7540698593330165E-2</v>
      </c>
      <c r="P406" s="40">
        <f t="shared" si="75"/>
        <v>1.7239772621377266E-2</v>
      </c>
      <c r="Q406" s="40">
        <f t="shared" si="76"/>
        <v>-5.1873946310473679E-4</v>
      </c>
      <c r="R406" s="40">
        <f t="shared" si="77"/>
        <v>8.0700300424738344E-2</v>
      </c>
      <c r="S406" s="40">
        <f t="shared" si="78"/>
        <v>-1.4038570618264251E-2</v>
      </c>
      <c r="T406" s="41">
        <f t="shared" si="79"/>
        <v>3.1017369727048323E-4</v>
      </c>
      <c r="V406" s="39">
        <f t="shared" si="81"/>
        <v>3.3047453662685571E-2</v>
      </c>
      <c r="W406" s="40" cm="1">
        <f t="array" ref="W406">IF(M406="","",SUMPRODUCT(M406:T406,TRANSPOSE('04_Dashboard'!$C$53:$C$60)))</f>
        <v>1.6338433743530414E-2</v>
      </c>
      <c r="X406" s="42">
        <f t="shared" si="82"/>
        <v>1.3643256652079254</v>
      </c>
      <c r="Y406" s="118">
        <f t="shared" si="83"/>
        <v>1.4128405084849089</v>
      </c>
      <c r="AA406" s="43">
        <f>IF(X406="","",X406/MAX($X$4:X406)-1)</f>
        <v>-4.8847339826733616E-2</v>
      </c>
      <c r="AB406" s="44">
        <f>IF(Y406="","",Y406/MAX($Y$4:Y406)-1)</f>
        <v>-3.4831992425720215E-2</v>
      </c>
    </row>
    <row r="407" spans="1:28" x14ac:dyDescent="0.45">
      <c r="A407" s="121">
        <v>45790</v>
      </c>
      <c r="B407" s="124">
        <v>586.84</v>
      </c>
      <c r="C407" s="124">
        <v>212.93</v>
      </c>
      <c r="D407" s="124">
        <v>449.14</v>
      </c>
      <c r="E407" s="124">
        <v>263.01</v>
      </c>
      <c r="F407" s="124">
        <v>109.46</v>
      </c>
      <c r="G407" s="124">
        <v>148.44</v>
      </c>
      <c r="H407" s="124">
        <v>211.37</v>
      </c>
      <c r="I407" s="124">
        <v>68.959999999999994</v>
      </c>
      <c r="J407" s="125">
        <v>95.88</v>
      </c>
      <c r="L407" s="39">
        <f t="shared" si="80"/>
        <v>6.6038868591228369E-3</v>
      </c>
      <c r="M407" s="40">
        <f t="shared" si="72"/>
        <v>1.0152284263959461E-2</v>
      </c>
      <c r="N407" s="40">
        <f t="shared" si="73"/>
        <v>-2.6710590749233086E-4</v>
      </c>
      <c r="O407" s="40">
        <f t="shared" si="74"/>
        <v>1.1382426456450604E-2</v>
      </c>
      <c r="P407" s="40">
        <f t="shared" si="75"/>
        <v>2.7482594356907034E-3</v>
      </c>
      <c r="Q407" s="40">
        <f t="shared" si="76"/>
        <v>-3.6979369404437454E-2</v>
      </c>
      <c r="R407" s="40">
        <f t="shared" si="77"/>
        <v>1.3084739263803769E-2</v>
      </c>
      <c r="S407" s="40">
        <f t="shared" si="78"/>
        <v>-8.1979001869697601E-3</v>
      </c>
      <c r="T407" s="41">
        <f t="shared" si="79"/>
        <v>-8.9922480620155502E-3</v>
      </c>
      <c r="V407" s="39">
        <f t="shared" si="81"/>
        <v>6.6038868591228369E-3</v>
      </c>
      <c r="W407" s="40" cm="1">
        <f t="array" ref="W407">IF(M407="","",SUMPRODUCT(M407:T407,TRANSPOSE('04_Dashboard'!$C$53:$C$60)))</f>
        <v>-6.862573039724075E-3</v>
      </c>
      <c r="X407" s="42">
        <f t="shared" si="82"/>
        <v>1.3733355175399562</v>
      </c>
      <c r="Y407" s="118">
        <f t="shared" si="83"/>
        <v>1.4031447873019505</v>
      </c>
      <c r="AA407" s="43">
        <f>IF(X407="","",X407/MAX($X$4:X407)-1)</f>
        <v>-4.2566035273195579E-2</v>
      </c>
      <c r="AB407" s="44">
        <f>IF(Y407="","",Y407/MAX($Y$4:Y407)-1)</f>
        <v>-4.1455528373303574E-2</v>
      </c>
    </row>
    <row r="408" spans="1:28" x14ac:dyDescent="0.45">
      <c r="A408" s="121">
        <v>45791</v>
      </c>
      <c r="B408" s="124">
        <v>587.59</v>
      </c>
      <c r="C408" s="124">
        <v>212.33</v>
      </c>
      <c r="D408" s="124">
        <v>452.94</v>
      </c>
      <c r="E408" s="124">
        <v>265.64</v>
      </c>
      <c r="F408" s="124">
        <v>108.48</v>
      </c>
      <c r="G408" s="124">
        <v>146.36000000000001</v>
      </c>
      <c r="H408" s="124">
        <v>210.25</v>
      </c>
      <c r="I408" s="124">
        <v>69.16</v>
      </c>
      <c r="J408" s="125">
        <v>96.83</v>
      </c>
      <c r="L408" s="39">
        <f t="shared" si="80"/>
        <v>1.2780314906959307E-3</v>
      </c>
      <c r="M408" s="40">
        <f t="shared" si="72"/>
        <v>-2.8178274550321432E-3</v>
      </c>
      <c r="N408" s="40">
        <f t="shared" si="73"/>
        <v>8.4606136171349947E-3</v>
      </c>
      <c r="O408" s="40">
        <f t="shared" si="74"/>
        <v>9.9996197863198941E-3</v>
      </c>
      <c r="P408" s="40">
        <f t="shared" si="75"/>
        <v>-8.9530422071988844E-3</v>
      </c>
      <c r="Q408" s="40">
        <f t="shared" si="76"/>
        <v>-1.4012395580705902E-2</v>
      </c>
      <c r="R408" s="40">
        <f t="shared" si="77"/>
        <v>-5.2987651984671641E-3</v>
      </c>
      <c r="S408" s="40">
        <f t="shared" si="78"/>
        <v>2.9002320185615264E-3</v>
      </c>
      <c r="T408" s="41">
        <f t="shared" si="79"/>
        <v>9.9082186065916032E-3</v>
      </c>
      <c r="V408" s="39">
        <f t="shared" si="81"/>
        <v>1.2780314906959307E-3</v>
      </c>
      <c r="W408" s="40" cm="1">
        <f t="array" ref="W408">IF(M408="","",SUMPRODUCT(M408:T408,TRANSPOSE('04_Dashboard'!$C$53:$C$60)))</f>
        <v>3.9776990262807305E-4</v>
      </c>
      <c r="X408" s="42">
        <f t="shared" si="82"/>
        <v>1.3750906835786634</v>
      </c>
      <c r="Y408" s="118">
        <f t="shared" si="83"/>
        <v>1.4037029160673686</v>
      </c>
      <c r="AA408" s="43">
        <f>IF(X408="","",X408/MAX($X$4:X408)-1)</f>
        <v>-4.1342404516012898E-2</v>
      </c>
      <c r="AB408" s="44">
        <f>IF(Y408="","",Y408/MAX($Y$4:Y408)-1)</f>
        <v>-4.1074248232159993E-2</v>
      </c>
    </row>
    <row r="409" spans="1:28" x14ac:dyDescent="0.45">
      <c r="A409" s="121">
        <v>45792</v>
      </c>
      <c r="B409" s="124">
        <v>590.46</v>
      </c>
      <c r="C409" s="124">
        <v>211.45</v>
      </c>
      <c r="D409" s="124">
        <v>453.13</v>
      </c>
      <c r="E409" s="124">
        <v>267.49</v>
      </c>
      <c r="F409" s="124">
        <v>108.58</v>
      </c>
      <c r="G409" s="124">
        <v>149.61000000000001</v>
      </c>
      <c r="H409" s="124">
        <v>205.17</v>
      </c>
      <c r="I409" s="124">
        <v>71.61</v>
      </c>
      <c r="J409" s="125">
        <v>96.35</v>
      </c>
      <c r="L409" s="39">
        <f t="shared" si="80"/>
        <v>4.8843581408805539E-3</v>
      </c>
      <c r="M409" s="40">
        <f t="shared" si="72"/>
        <v>-4.144492064239739E-3</v>
      </c>
      <c r="N409" s="40">
        <f t="shared" si="73"/>
        <v>4.1948160904313535E-4</v>
      </c>
      <c r="O409" s="40">
        <f t="shared" si="74"/>
        <v>6.9643126035236515E-3</v>
      </c>
      <c r="P409" s="40">
        <f t="shared" si="75"/>
        <v>9.2182890855451989E-4</v>
      </c>
      <c r="Q409" s="40">
        <f t="shared" si="76"/>
        <v>2.2205520634053018E-2</v>
      </c>
      <c r="R409" s="40">
        <f t="shared" si="77"/>
        <v>-2.4161712247324673E-2</v>
      </c>
      <c r="S409" s="40">
        <f t="shared" si="78"/>
        <v>3.5425101214574942E-2</v>
      </c>
      <c r="T409" s="41">
        <f t="shared" si="79"/>
        <v>-4.957141381803201E-3</v>
      </c>
      <c r="V409" s="39">
        <f t="shared" si="81"/>
        <v>4.8843581408805539E-3</v>
      </c>
      <c r="W409" s="40" cm="1">
        <f t="array" ref="W409">IF(M409="","",SUMPRODUCT(M409:T409,TRANSPOSE('04_Dashboard'!$C$53:$C$60)))</f>
        <v>9.2244895400182374E-3</v>
      </c>
      <c r="X409" s="42">
        <f t="shared" si="82"/>
        <v>1.38180711895345</v>
      </c>
      <c r="Y409" s="118">
        <f t="shared" si="83"/>
        <v>1.4166513589339251</v>
      </c>
      <c r="AA409" s="43">
        <f>IF(X409="","",X409/MAX($X$4:X409)-1)</f>
        <v>-3.6659977485193673E-2</v>
      </c>
      <c r="AB409" s="44">
        <f>IF(Y409="","",Y409/MAX($Y$4:Y409)-1)</f>
        <v>-3.2228647665323518E-2</v>
      </c>
    </row>
    <row r="410" spans="1:28" x14ac:dyDescent="0.45">
      <c r="A410" s="121">
        <v>45793</v>
      </c>
      <c r="B410" s="124">
        <v>594.20000000000005</v>
      </c>
      <c r="C410" s="124">
        <v>211.26</v>
      </c>
      <c r="D410" s="124">
        <v>454.27</v>
      </c>
      <c r="E410" s="124">
        <v>267.56</v>
      </c>
      <c r="F410" s="124">
        <v>108.19</v>
      </c>
      <c r="G410" s="124">
        <v>151.33000000000001</v>
      </c>
      <c r="H410" s="124">
        <v>205.59</v>
      </c>
      <c r="I410" s="124">
        <v>72</v>
      </c>
      <c r="J410" s="125">
        <v>98.24</v>
      </c>
      <c r="L410" s="39">
        <f t="shared" si="80"/>
        <v>6.3340446431595851E-3</v>
      </c>
      <c r="M410" s="40">
        <f t="shared" si="72"/>
        <v>-8.9855757862377739E-4</v>
      </c>
      <c r="N410" s="40">
        <f t="shared" si="73"/>
        <v>2.5158343080351918E-3</v>
      </c>
      <c r="O410" s="40">
        <f t="shared" si="74"/>
        <v>2.616920258701005E-4</v>
      </c>
      <c r="P410" s="40">
        <f t="shared" si="75"/>
        <v>-3.5918216982869827E-3</v>
      </c>
      <c r="Q410" s="40">
        <f t="shared" si="76"/>
        <v>1.1496557716730157E-2</v>
      </c>
      <c r="R410" s="40">
        <f t="shared" si="77"/>
        <v>2.0470829068578054E-3</v>
      </c>
      <c r="S410" s="40">
        <f t="shared" si="78"/>
        <v>5.4461667364893249E-3</v>
      </c>
      <c r="T410" s="41">
        <f t="shared" si="79"/>
        <v>1.9615983393876497E-2</v>
      </c>
      <c r="V410" s="39">
        <f t="shared" si="81"/>
        <v>6.3340446431595851E-3</v>
      </c>
      <c r="W410" s="40" cm="1">
        <f t="array" ref="W410">IF(M410="","",SUMPRODUCT(M410:T410,TRANSPOSE('04_Dashboard'!$C$53:$C$60)))</f>
        <v>6.3849596780937564E-3</v>
      </c>
      <c r="X410" s="42">
        <f t="shared" si="82"/>
        <v>1.3905595469331369</v>
      </c>
      <c r="Y410" s="118">
        <f t="shared" si="83"/>
        <v>1.425696620738635</v>
      </c>
      <c r="AA410" s="43">
        <f>IF(X410="","",X410/MAX($X$4:X410)-1)</f>
        <v>-3.055813877604252E-2</v>
      </c>
      <c r="AB410" s="44">
        <f>IF(Y410="","",Y410/MAX($Y$4:Y410)-1)</f>
        <v>-2.6049466603052296E-2</v>
      </c>
    </row>
    <row r="411" spans="1:28" x14ac:dyDescent="0.45">
      <c r="A411" s="121">
        <v>45796</v>
      </c>
      <c r="B411" s="124">
        <v>594.85</v>
      </c>
      <c r="C411" s="124">
        <v>208.78</v>
      </c>
      <c r="D411" s="124">
        <v>458.87</v>
      </c>
      <c r="E411" s="124">
        <v>264.88</v>
      </c>
      <c r="F411" s="124">
        <v>106.47</v>
      </c>
      <c r="G411" s="124">
        <v>152.49</v>
      </c>
      <c r="H411" s="124">
        <v>206.16</v>
      </c>
      <c r="I411" s="124">
        <v>71.930000000000007</v>
      </c>
      <c r="J411" s="125">
        <v>98.12</v>
      </c>
      <c r="L411" s="39">
        <f t="shared" si="80"/>
        <v>1.0939077751598405E-3</v>
      </c>
      <c r="M411" s="40">
        <f t="shared" si="72"/>
        <v>-1.1739089273880478E-2</v>
      </c>
      <c r="N411" s="40">
        <f t="shared" si="73"/>
        <v>1.0126136438681892E-2</v>
      </c>
      <c r="O411" s="40">
        <f t="shared" si="74"/>
        <v>-1.0016444909553023E-2</v>
      </c>
      <c r="P411" s="40">
        <f t="shared" si="75"/>
        <v>-1.5897957297347248E-2</v>
      </c>
      <c r="Q411" s="40">
        <f t="shared" si="76"/>
        <v>7.6653670785699892E-3</v>
      </c>
      <c r="R411" s="40">
        <f t="shared" si="77"/>
        <v>2.7725083904858853E-3</v>
      </c>
      <c r="S411" s="40">
        <f t="shared" si="78"/>
        <v>-9.7222222222212744E-4</v>
      </c>
      <c r="T411" s="41">
        <f t="shared" si="79"/>
        <v>-1.2214983713354065E-3</v>
      </c>
      <c r="V411" s="39">
        <f t="shared" si="81"/>
        <v>1.0939077751598405E-3</v>
      </c>
      <c r="W411" s="40" cm="1">
        <f t="array" ref="W411">IF(M411="","",SUMPRODUCT(M411:T411,TRANSPOSE('04_Dashboard'!$C$53:$C$60)))</f>
        <v>-1.4017849786697161E-3</v>
      </c>
      <c r="X411" s="42">
        <f t="shared" si="82"/>
        <v>1.3920806908333498</v>
      </c>
      <c r="Y411" s="118">
        <f t="shared" si="83"/>
        <v>1.4236981006315435</v>
      </c>
      <c r="AA411" s="43">
        <f>IF(X411="","",X411/MAX($X$4:X411)-1)</f>
        <v>-2.9497658786484138E-2</v>
      </c>
      <c r="AB411" s="44">
        <f>IF(Y411="","",Y411/MAX($Y$4:Y411)-1)</f>
        <v>-2.7414735830735393E-2</v>
      </c>
    </row>
    <row r="412" spans="1:28" x14ac:dyDescent="0.45">
      <c r="A412" s="121">
        <v>45797</v>
      </c>
      <c r="B412" s="124">
        <v>592.85</v>
      </c>
      <c r="C412" s="124">
        <v>206.86</v>
      </c>
      <c r="D412" s="124">
        <v>458.17</v>
      </c>
      <c r="E412" s="124">
        <v>265.68</v>
      </c>
      <c r="F412" s="124">
        <v>104.95</v>
      </c>
      <c r="G412" s="124">
        <v>153.66</v>
      </c>
      <c r="H412" s="124">
        <v>204.07</v>
      </c>
      <c r="I412" s="124">
        <v>71.69</v>
      </c>
      <c r="J412" s="125">
        <v>97.8</v>
      </c>
      <c r="L412" s="39">
        <f t="shared" si="80"/>
        <v>-3.3621921492813312E-3</v>
      </c>
      <c r="M412" s="40">
        <f t="shared" si="72"/>
        <v>-9.1962831688858493E-3</v>
      </c>
      <c r="N412" s="40">
        <f t="shared" si="73"/>
        <v>-1.5254865212369268E-3</v>
      </c>
      <c r="O412" s="40">
        <f t="shared" si="74"/>
        <v>3.0202355783751564E-3</v>
      </c>
      <c r="P412" s="40">
        <f t="shared" si="75"/>
        <v>-1.4276321968629624E-2</v>
      </c>
      <c r="Q412" s="40">
        <f t="shared" si="76"/>
        <v>7.672634271099662E-3</v>
      </c>
      <c r="R412" s="40">
        <f t="shared" si="77"/>
        <v>-1.013775708187817E-2</v>
      </c>
      <c r="S412" s="40">
        <f t="shared" si="78"/>
        <v>-3.3365772278605458E-3</v>
      </c>
      <c r="T412" s="41">
        <f t="shared" si="79"/>
        <v>-3.2613126783531121E-3</v>
      </c>
      <c r="V412" s="39">
        <f t="shared" si="81"/>
        <v>-3.3621921492813312E-3</v>
      </c>
      <c r="W412" s="40" cm="1">
        <f t="array" ref="W412">IF(M412="","",SUMPRODUCT(M412:T412,TRANSPOSE('04_Dashboard'!$C$53:$C$60)))</f>
        <v>-4.4273126189470885E-4</v>
      </c>
      <c r="X412" s="42">
        <f t="shared" si="82"/>
        <v>1.3874002480634637</v>
      </c>
      <c r="Y412" s="118">
        <f t="shared" si="83"/>
        <v>1.4230677849748936</v>
      </c>
      <c r="AA412" s="43">
        <f>IF(X412="","",X412/MAX($X$4:X412)-1)</f>
        <v>-3.2760674138971435E-2</v>
      </c>
      <c r="AB412" s="44">
        <f>IF(Y412="","",Y412/MAX($Y$4:Y412)-1)</f>
        <v>-2.7845329732041346E-2</v>
      </c>
    </row>
    <row r="413" spans="1:28" x14ac:dyDescent="0.45">
      <c r="A413" s="121">
        <v>45798</v>
      </c>
      <c r="B413" s="124">
        <v>582.86</v>
      </c>
      <c r="C413" s="124">
        <v>202.09</v>
      </c>
      <c r="D413" s="124">
        <v>452.57</v>
      </c>
      <c r="E413" s="124">
        <v>261.04000000000002</v>
      </c>
      <c r="F413" s="124">
        <v>103.66</v>
      </c>
      <c r="G413" s="124">
        <v>153.18</v>
      </c>
      <c r="H413" s="124">
        <v>201.12</v>
      </c>
      <c r="I413" s="124">
        <v>71.849999999999994</v>
      </c>
      <c r="J413" s="125">
        <v>96.43</v>
      </c>
      <c r="L413" s="39">
        <f t="shared" si="80"/>
        <v>-1.6850805431390753E-2</v>
      </c>
      <c r="M413" s="40">
        <f t="shared" si="72"/>
        <v>-2.3059073769699363E-2</v>
      </c>
      <c r="N413" s="40">
        <f t="shared" si="73"/>
        <v>-1.2222537486086E-2</v>
      </c>
      <c r="O413" s="40">
        <f t="shared" si="74"/>
        <v>-1.7464619090635299E-2</v>
      </c>
      <c r="P413" s="40">
        <f t="shared" si="75"/>
        <v>-1.2291567413053895E-2</v>
      </c>
      <c r="Q413" s="40">
        <f t="shared" si="76"/>
        <v>-3.1237797735258997E-3</v>
      </c>
      <c r="R413" s="40">
        <f t="shared" si="77"/>
        <v>-1.4455823981966917E-2</v>
      </c>
      <c r="S413" s="40">
        <f t="shared" si="78"/>
        <v>2.2318314967219501E-3</v>
      </c>
      <c r="T413" s="41">
        <f t="shared" si="79"/>
        <v>-1.4008179959100106E-2</v>
      </c>
      <c r="V413" s="39">
        <f t="shared" si="81"/>
        <v>-1.6850805431390753E-2</v>
      </c>
      <c r="W413" s="40" cm="1">
        <f t="array" ref="W413">IF(M413="","",SUMPRODUCT(M413:T413,TRANSPOSE('04_Dashboard'!$C$53:$C$60)))</f>
        <v>-1.0309843888699551E-2</v>
      </c>
      <c r="X413" s="42">
        <f t="shared" si="82"/>
        <v>1.3640214364278831</v>
      </c>
      <c r="Y413" s="118">
        <f t="shared" si="83"/>
        <v>1.4083961782687648</v>
      </c>
      <c r="AA413" s="43">
        <f>IF(X413="","",X413/MAX($X$4:X413)-1)</f>
        <v>-4.9059435824645115E-2</v>
      </c>
      <c r="AB413" s="44">
        <f>IF(Y413="","",Y413/MAX($Y$4:Y413)-1)</f>
        <v>-3.7868092618174365E-2</v>
      </c>
    </row>
    <row r="414" spans="1:28" x14ac:dyDescent="0.45">
      <c r="A414" s="121">
        <v>45799</v>
      </c>
      <c r="B414" s="124">
        <v>583.09</v>
      </c>
      <c r="C414" s="124">
        <v>201.36</v>
      </c>
      <c r="D414" s="124">
        <v>454.86</v>
      </c>
      <c r="E414" s="124">
        <v>260.67</v>
      </c>
      <c r="F414" s="124">
        <v>102.97</v>
      </c>
      <c r="G414" s="124">
        <v>152.61000000000001</v>
      </c>
      <c r="H414" s="124">
        <v>203.1</v>
      </c>
      <c r="I414" s="124">
        <v>71.14</v>
      </c>
      <c r="J414" s="125">
        <v>95.93</v>
      </c>
      <c r="L414" s="39">
        <f t="shared" si="80"/>
        <v>3.9460590879459591E-4</v>
      </c>
      <c r="M414" s="40">
        <f t="shared" si="72"/>
        <v>-3.6122519669453696E-3</v>
      </c>
      <c r="N414" s="40">
        <f t="shared" si="73"/>
        <v>5.0599907196677207E-3</v>
      </c>
      <c r="O414" s="40">
        <f t="shared" si="74"/>
        <v>-1.4174072939013352E-3</v>
      </c>
      <c r="P414" s="40">
        <f t="shared" si="75"/>
        <v>-6.6563766158595191E-3</v>
      </c>
      <c r="Q414" s="40">
        <f t="shared" si="76"/>
        <v>-3.721112416764546E-3</v>
      </c>
      <c r="R414" s="40">
        <f t="shared" si="77"/>
        <v>9.8448687350834816E-3</v>
      </c>
      <c r="S414" s="40">
        <f t="shared" si="78"/>
        <v>-9.8816979819066637E-3</v>
      </c>
      <c r="T414" s="41">
        <f t="shared" si="79"/>
        <v>-5.1851083687649065E-3</v>
      </c>
      <c r="V414" s="39">
        <f t="shared" si="81"/>
        <v>3.9460590879459591E-4</v>
      </c>
      <c r="W414" s="40" cm="1">
        <f t="array" ref="W414">IF(M414="","",SUMPRODUCT(M414:T414,TRANSPOSE('04_Dashboard'!$C$53:$C$60)))</f>
        <v>-2.7778362377619977E-3</v>
      </c>
      <c r="X414" s="42">
        <f t="shared" si="82"/>
        <v>1.3645596873464201</v>
      </c>
      <c r="Y414" s="118">
        <f t="shared" si="83"/>
        <v>1.4044838843276444</v>
      </c>
      <c r="AA414" s="43">
        <f>IF(X414="","",X414/MAX($X$4:X414)-1)</f>
        <v>-4.8684189059109095E-2</v>
      </c>
      <c r="AB414" s="44">
        <f>IF(Y414="","",Y414/MAX($Y$4:Y414)-1)</f>
        <v>-4.0540737496006618E-2</v>
      </c>
    </row>
    <row r="415" spans="1:28" x14ac:dyDescent="0.45">
      <c r="A415" s="121">
        <v>45800</v>
      </c>
      <c r="B415" s="124">
        <v>579.11</v>
      </c>
      <c r="C415" s="124">
        <v>195.27</v>
      </c>
      <c r="D415" s="124">
        <v>450.18</v>
      </c>
      <c r="E415" s="124">
        <v>260.70999999999998</v>
      </c>
      <c r="F415" s="124">
        <v>103.03</v>
      </c>
      <c r="G415" s="124">
        <v>152.94</v>
      </c>
      <c r="H415" s="124">
        <v>200.99</v>
      </c>
      <c r="I415" s="124">
        <v>71.77</v>
      </c>
      <c r="J415" s="125">
        <v>96.34</v>
      </c>
      <c r="L415" s="39">
        <f t="shared" si="80"/>
        <v>-6.8257044367079148E-3</v>
      </c>
      <c r="M415" s="40">
        <f t="shared" si="72"/>
        <v>-3.0244338498212172E-2</v>
      </c>
      <c r="N415" s="40">
        <f t="shared" si="73"/>
        <v>-1.0288880094974293E-2</v>
      </c>
      <c r="O415" s="40">
        <f t="shared" si="74"/>
        <v>1.534507231363932E-4</v>
      </c>
      <c r="P415" s="40">
        <f t="shared" si="75"/>
        <v>5.826939885403736E-4</v>
      </c>
      <c r="Q415" s="40">
        <f t="shared" si="76"/>
        <v>2.1623746805581813E-3</v>
      </c>
      <c r="R415" s="40">
        <f t="shared" si="77"/>
        <v>-1.0388970950270729E-2</v>
      </c>
      <c r="S415" s="40">
        <f t="shared" si="78"/>
        <v>8.8557773404553761E-3</v>
      </c>
      <c r="T415" s="41">
        <f t="shared" si="79"/>
        <v>4.2739497550296733E-3</v>
      </c>
      <c r="V415" s="39">
        <f t="shared" si="81"/>
        <v>-6.8257044367079148E-3</v>
      </c>
      <c r="W415" s="40" cm="1">
        <f t="array" ref="W415">IF(M415="","",SUMPRODUCT(M415:T415,TRANSPOSE('04_Dashboard'!$C$53:$C$60)))</f>
        <v>-7.2807996331092644E-4</v>
      </c>
      <c r="X415" s="42">
        <f t="shared" si="82"/>
        <v>1.3552456062343468</v>
      </c>
      <c r="Y415" s="118">
        <f t="shared" si="83"/>
        <v>1.4034613077526723</v>
      </c>
      <c r="AA415" s="43">
        <f>IF(X415="","",X415/MAX($X$4:X415)-1)</f>
        <v>-5.5177589610558742E-2</v>
      </c>
      <c r="AB415" s="44">
        <f>IF(Y415="","",Y415/MAX($Y$4:Y415)-1)</f>
        <v>-4.1239300560648839E-2</v>
      </c>
    </row>
    <row r="416" spans="1:28" x14ac:dyDescent="0.45">
      <c r="A416" s="121">
        <v>45804</v>
      </c>
      <c r="B416" s="124">
        <v>591.15</v>
      </c>
      <c r="C416" s="124">
        <v>200.21</v>
      </c>
      <c r="D416" s="124">
        <v>460.69</v>
      </c>
      <c r="E416" s="124">
        <v>265.29000000000002</v>
      </c>
      <c r="F416" s="124">
        <v>103.52</v>
      </c>
      <c r="G416" s="124">
        <v>153.25</v>
      </c>
      <c r="H416" s="124">
        <v>206.02</v>
      </c>
      <c r="I416" s="124">
        <v>71.78</v>
      </c>
      <c r="J416" s="125">
        <v>97.58</v>
      </c>
      <c r="L416" s="39">
        <f t="shared" si="80"/>
        <v>2.079052338933875E-2</v>
      </c>
      <c r="M416" s="40">
        <f t="shared" si="72"/>
        <v>2.5298304911148654E-2</v>
      </c>
      <c r="N416" s="40">
        <f t="shared" si="73"/>
        <v>2.3346217068728043E-2</v>
      </c>
      <c r="O416" s="40">
        <f t="shared" si="74"/>
        <v>1.7567412067047837E-2</v>
      </c>
      <c r="P416" s="40">
        <f t="shared" si="75"/>
        <v>4.755896340871541E-3</v>
      </c>
      <c r="Q416" s="40">
        <f t="shared" si="76"/>
        <v>2.0269386687590055E-3</v>
      </c>
      <c r="R416" s="40">
        <f t="shared" si="77"/>
        <v>2.5026120702522518E-2</v>
      </c>
      <c r="S416" s="40">
        <f t="shared" si="78"/>
        <v>1.3933398355866122E-4</v>
      </c>
      <c r="T416" s="41">
        <f t="shared" si="79"/>
        <v>1.2871081586049354E-2</v>
      </c>
      <c r="V416" s="39">
        <f t="shared" si="81"/>
        <v>2.079052338933875E-2</v>
      </c>
      <c r="W416" s="40" cm="1">
        <f t="array" ref="W416">IF(M416="","",SUMPRODUCT(M416:T416,TRANSPOSE('04_Dashboard'!$C$53:$C$60)))</f>
        <v>1.152328552220068E-2</v>
      </c>
      <c r="X416" s="42">
        <f t="shared" si="82"/>
        <v>1.3834218717090607</v>
      </c>
      <c r="Y416" s="118">
        <f t="shared" si="83"/>
        <v>1.4196337931212675</v>
      </c>
      <c r="AA416" s="43">
        <f>IF(X416="","",X416/MAX($X$4:X416)-1)</f>
        <v>-3.5534237188585505E-2</v>
      </c>
      <c r="AB416" s="44">
        <f>IF(Y416="","",Y416/MAX($Y$4:Y416)-1)</f>
        <v>-3.0191227273544397E-2</v>
      </c>
    </row>
    <row r="417" spans="1:28" x14ac:dyDescent="0.45">
      <c r="A417" s="121">
        <v>45805</v>
      </c>
      <c r="B417" s="124">
        <v>587.73</v>
      </c>
      <c r="C417" s="124">
        <v>200.42</v>
      </c>
      <c r="D417" s="124">
        <v>457.36</v>
      </c>
      <c r="E417" s="124">
        <v>263.49</v>
      </c>
      <c r="F417" s="124">
        <v>102.11</v>
      </c>
      <c r="G417" s="124">
        <v>152.43</v>
      </c>
      <c r="H417" s="124">
        <v>204.72</v>
      </c>
      <c r="I417" s="124">
        <v>71.150000000000006</v>
      </c>
      <c r="J417" s="125">
        <v>97.24</v>
      </c>
      <c r="L417" s="39">
        <f t="shared" si="80"/>
        <v>-5.7853336716568709E-3</v>
      </c>
      <c r="M417" s="40">
        <f t="shared" si="72"/>
        <v>1.0488986564106664E-3</v>
      </c>
      <c r="N417" s="40">
        <f t="shared" si="73"/>
        <v>-7.2282880027784062E-3</v>
      </c>
      <c r="O417" s="40">
        <f t="shared" si="74"/>
        <v>-6.7850277055298402E-3</v>
      </c>
      <c r="P417" s="40">
        <f t="shared" si="75"/>
        <v>-1.3620556414219442E-2</v>
      </c>
      <c r="Q417" s="40">
        <f t="shared" si="76"/>
        <v>-5.3507340946165952E-3</v>
      </c>
      <c r="R417" s="40">
        <f t="shared" si="77"/>
        <v>-6.3100669837880367E-3</v>
      </c>
      <c r="S417" s="40">
        <f t="shared" si="78"/>
        <v>-8.7768180551685074E-3</v>
      </c>
      <c r="T417" s="41">
        <f t="shared" si="79"/>
        <v>-3.4843205574913243E-3</v>
      </c>
      <c r="V417" s="39">
        <f t="shared" si="81"/>
        <v>-5.7853336716568709E-3</v>
      </c>
      <c r="W417" s="40" cm="1">
        <f t="array" ref="W417">IF(M417="","",SUMPRODUCT(M417:T417,TRANSPOSE('04_Dashboard'!$C$53:$C$60)))</f>
        <v>-6.163666790423409E-3</v>
      </c>
      <c r="X417" s="42">
        <f t="shared" si="82"/>
        <v>1.3754183145725556</v>
      </c>
      <c r="Y417" s="118">
        <f t="shared" si="83"/>
        <v>1.410883643456043</v>
      </c>
      <c r="AA417" s="43">
        <f>IF(X417="","",X417/MAX($X$4:X417)-1)</f>
        <v>-4.1113993441338703E-2</v>
      </c>
      <c r="AB417" s="44">
        <f>IF(Y417="","",Y417/MAX($Y$4:Y417)-1)</f>
        <v>-3.6168805399059867E-2</v>
      </c>
    </row>
    <row r="418" spans="1:28" x14ac:dyDescent="0.45">
      <c r="A418" s="121">
        <v>45806</v>
      </c>
      <c r="B418" s="124">
        <v>590.04999999999995</v>
      </c>
      <c r="C418" s="124">
        <v>199.95</v>
      </c>
      <c r="D418" s="124">
        <v>458.68</v>
      </c>
      <c r="E418" s="124">
        <v>264.37</v>
      </c>
      <c r="F418" s="124">
        <v>102.69</v>
      </c>
      <c r="G418" s="124">
        <v>153.58000000000001</v>
      </c>
      <c r="H418" s="124">
        <v>205.7</v>
      </c>
      <c r="I418" s="124">
        <v>71.489999999999995</v>
      </c>
      <c r="J418" s="125">
        <v>97.1</v>
      </c>
      <c r="L418" s="39">
        <f t="shared" si="80"/>
        <v>3.9473908087045689E-3</v>
      </c>
      <c r="M418" s="40">
        <f t="shared" si="72"/>
        <v>-2.3450753417822517E-3</v>
      </c>
      <c r="N418" s="40">
        <f t="shared" si="73"/>
        <v>2.8861290886828608E-3</v>
      </c>
      <c r="O418" s="40">
        <f t="shared" si="74"/>
        <v>3.3397851910888284E-3</v>
      </c>
      <c r="P418" s="40">
        <f t="shared" si="75"/>
        <v>5.6801488590735314E-3</v>
      </c>
      <c r="Q418" s="40">
        <f t="shared" si="76"/>
        <v>7.5444466312406065E-3</v>
      </c>
      <c r="R418" s="40">
        <f t="shared" si="77"/>
        <v>4.7870261821023339E-3</v>
      </c>
      <c r="S418" s="40">
        <f t="shared" si="78"/>
        <v>4.7786366830637975E-3</v>
      </c>
      <c r="T418" s="41">
        <f t="shared" si="79"/>
        <v>-1.4397367338543868E-3</v>
      </c>
      <c r="V418" s="39">
        <f t="shared" si="81"/>
        <v>3.9473908087045689E-3</v>
      </c>
      <c r="W418" s="40" cm="1">
        <f t="array" ref="W418">IF(M418="","",SUMPRODUCT(M418:T418,TRANSPOSE('04_Dashboard'!$C$53:$C$60)))</f>
        <v>3.753412499105551E-3</v>
      </c>
      <c r="X418" s="42">
        <f t="shared" si="82"/>
        <v>1.3808476281856232</v>
      </c>
      <c r="Y418" s="118">
        <f t="shared" si="83"/>
        <v>1.4161792717581747</v>
      </c>
      <c r="AA418" s="43">
        <f>IF(X418="","",X418/MAX($X$4:X418)-1)</f>
        <v>-3.7328895632453563E-2</v>
      </c>
      <c r="AB418" s="44">
        <f>IF(Y418="","",Y418/MAX($Y$4:Y418)-1)</f>
        <v>-3.2551149346216723E-2</v>
      </c>
    </row>
    <row r="419" spans="1:28" x14ac:dyDescent="0.45">
      <c r="A419" s="121">
        <v>45807</v>
      </c>
      <c r="B419" s="124">
        <v>589.39</v>
      </c>
      <c r="C419" s="124">
        <v>200.85</v>
      </c>
      <c r="D419" s="124">
        <v>460.36</v>
      </c>
      <c r="E419" s="124">
        <v>264</v>
      </c>
      <c r="F419" s="124">
        <v>102.3</v>
      </c>
      <c r="G419" s="124">
        <v>155.21</v>
      </c>
      <c r="H419" s="124">
        <v>205.01</v>
      </c>
      <c r="I419" s="124">
        <v>72.099999999999994</v>
      </c>
      <c r="J419" s="125">
        <v>98.72</v>
      </c>
      <c r="L419" s="39">
        <f t="shared" si="80"/>
        <v>-1.1185492754850746E-3</v>
      </c>
      <c r="M419" s="40">
        <f t="shared" si="72"/>
        <v>4.5011252813203584E-3</v>
      </c>
      <c r="N419" s="40">
        <f t="shared" si="73"/>
        <v>3.66268422429582E-3</v>
      </c>
      <c r="O419" s="40">
        <f t="shared" si="74"/>
        <v>-1.3995536558611208E-3</v>
      </c>
      <c r="P419" s="40">
        <f t="shared" si="75"/>
        <v>-3.79783815366638E-3</v>
      </c>
      <c r="Q419" s="40">
        <f t="shared" si="76"/>
        <v>1.0613361114728449E-2</v>
      </c>
      <c r="R419" s="40">
        <f t="shared" si="77"/>
        <v>-3.3543996110840923E-3</v>
      </c>
      <c r="S419" s="40">
        <f t="shared" si="78"/>
        <v>8.5326619107567413E-3</v>
      </c>
      <c r="T419" s="41">
        <f t="shared" si="79"/>
        <v>1.6683831101956793E-2</v>
      </c>
      <c r="V419" s="39">
        <f t="shared" si="81"/>
        <v>-1.1185492754850746E-3</v>
      </c>
      <c r="W419" s="40" cm="1">
        <f t="array" ref="W419">IF(M419="","",SUMPRODUCT(M419:T419,TRANSPOSE('04_Dashboard'!$C$53:$C$60)))</f>
        <v>5.7670556851811237E-3</v>
      </c>
      <c r="X419" s="42">
        <f t="shared" si="82"/>
        <v>1.379303082071561</v>
      </c>
      <c r="Y419" s="118">
        <f t="shared" si="83"/>
        <v>1.4243464564786035</v>
      </c>
      <c r="AA419" s="43">
        <f>IF(X419="","",X419/MAX($X$4:X419)-1)</f>
        <v>-3.8405690698774198E-2</v>
      </c>
      <c r="AB419" s="44">
        <f>IF(Y419="","",Y419/MAX($Y$4:Y419)-1)</f>
        <v>-2.6971817951931709E-2</v>
      </c>
    </row>
    <row r="420" spans="1:28" x14ac:dyDescent="0.45">
      <c r="A420" s="121">
        <v>45810</v>
      </c>
      <c r="B420" s="124">
        <v>592.71</v>
      </c>
      <c r="C420" s="124">
        <v>201.7</v>
      </c>
      <c r="D420" s="124">
        <v>461.97</v>
      </c>
      <c r="E420" s="124">
        <v>264.66000000000003</v>
      </c>
      <c r="F420" s="124">
        <v>103.05</v>
      </c>
      <c r="G420" s="124">
        <v>155.4</v>
      </c>
      <c r="H420" s="124">
        <v>206.65</v>
      </c>
      <c r="I420" s="124">
        <v>72</v>
      </c>
      <c r="J420" s="125">
        <v>99.77</v>
      </c>
      <c r="L420" s="39">
        <f t="shared" si="80"/>
        <v>5.6329425338062233E-3</v>
      </c>
      <c r="M420" s="40">
        <f t="shared" si="72"/>
        <v>4.2320139407517766E-3</v>
      </c>
      <c r="N420" s="40">
        <f t="shared" si="73"/>
        <v>3.4972630115562031E-3</v>
      </c>
      <c r="O420" s="40">
        <f t="shared" si="74"/>
        <v>2.5000000000000946E-3</v>
      </c>
      <c r="P420" s="40">
        <f t="shared" si="75"/>
        <v>7.331378299120235E-3</v>
      </c>
      <c r="Q420" s="40">
        <f t="shared" si="76"/>
        <v>1.2241479286128323E-3</v>
      </c>
      <c r="R420" s="40">
        <f t="shared" si="77"/>
        <v>7.9996097751329921E-3</v>
      </c>
      <c r="S420" s="40">
        <f t="shared" si="78"/>
        <v>-1.386962552011017E-3</v>
      </c>
      <c r="T420" s="41">
        <f t="shared" si="79"/>
        <v>1.0636142625607751E-2</v>
      </c>
      <c r="V420" s="39">
        <f t="shared" si="81"/>
        <v>5.6329425338062233E-3</v>
      </c>
      <c r="W420" s="40" cm="1">
        <f t="array" ref="W420">IF(M420="","",SUMPRODUCT(M420:T420,TRANSPOSE('04_Dashboard'!$C$53:$C$60)))</f>
        <v>3.6022822359600081E-3</v>
      </c>
      <c r="X420" s="42">
        <f t="shared" si="82"/>
        <v>1.387072617069572</v>
      </c>
      <c r="Y420" s="118">
        <f t="shared" si="83"/>
        <v>1.429477354416629</v>
      </c>
      <c r="AA420" s="43">
        <f>IF(X420="","",X420/MAX($X$4:X420)-1)</f>
        <v>-3.2989085213645408E-2</v>
      </c>
      <c r="AB420" s="44">
        <f>IF(Y420="","",Y420/MAX($Y$4:Y420)-1)</f>
        <v>-2.3466695816651506E-2</v>
      </c>
    </row>
    <row r="421" spans="1:28" x14ac:dyDescent="0.45">
      <c r="A421" s="121">
        <v>45811</v>
      </c>
      <c r="B421" s="124">
        <v>596.09</v>
      </c>
      <c r="C421" s="124">
        <v>203.27</v>
      </c>
      <c r="D421" s="124">
        <v>462.97</v>
      </c>
      <c r="E421" s="124">
        <v>266.27</v>
      </c>
      <c r="F421" s="124">
        <v>103.8</v>
      </c>
      <c r="G421" s="124">
        <v>154.41999999999999</v>
      </c>
      <c r="H421" s="124">
        <v>205.71</v>
      </c>
      <c r="I421" s="124">
        <v>71.16</v>
      </c>
      <c r="J421" s="125">
        <v>99.98</v>
      </c>
      <c r="L421" s="39">
        <f t="shared" si="80"/>
        <v>5.7026201683791321E-3</v>
      </c>
      <c r="M421" s="40">
        <f t="shared" si="72"/>
        <v>7.7838373822509748E-3</v>
      </c>
      <c r="N421" s="40">
        <f t="shared" si="73"/>
        <v>2.1646427257181202E-3</v>
      </c>
      <c r="O421" s="40">
        <f t="shared" si="74"/>
        <v>6.083276656842578E-3</v>
      </c>
      <c r="P421" s="40">
        <f t="shared" si="75"/>
        <v>7.2780203784570596E-3</v>
      </c>
      <c r="Q421" s="40">
        <f t="shared" si="76"/>
        <v>-6.3063063063064232E-3</v>
      </c>
      <c r="R421" s="40">
        <f t="shared" si="77"/>
        <v>-4.5487539317686796E-3</v>
      </c>
      <c r="S421" s="40">
        <f t="shared" si="78"/>
        <v>-1.1666666666666714E-2</v>
      </c>
      <c r="T421" s="41">
        <f t="shared" si="79"/>
        <v>2.104841134609682E-3</v>
      </c>
      <c r="V421" s="39">
        <f t="shared" si="81"/>
        <v>5.7026201683791321E-3</v>
      </c>
      <c r="W421" s="40" cm="1">
        <f t="array" ref="W421">IF(M421="","",SUMPRODUCT(M421:T421,TRANSPOSE('04_Dashboard'!$C$53:$C$60)))</f>
        <v>-7.767403740824067E-4</v>
      </c>
      <c r="X421" s="42">
        <f t="shared" si="82"/>
        <v>1.3949825653506793</v>
      </c>
      <c r="Y421" s="118">
        <f t="shared" si="83"/>
        <v>1.4283670216416171</v>
      </c>
      <c r="AA421" s="43">
        <f>IF(X421="","",X421/MAX($X$4:X421)-1)</f>
        <v>-2.7474589267941996E-2</v>
      </c>
      <c r="AB421" s="44">
        <f>IF(Y421="","",Y421/MAX($Y$4:Y421)-1)</f>
        <v>-2.4225208660646813E-2</v>
      </c>
    </row>
    <row r="422" spans="1:28" x14ac:dyDescent="0.45">
      <c r="A422" s="121">
        <v>45812</v>
      </c>
      <c r="B422" s="124">
        <v>595.92999999999995</v>
      </c>
      <c r="C422" s="124">
        <v>202.82</v>
      </c>
      <c r="D422" s="124">
        <v>463.87</v>
      </c>
      <c r="E422" s="124">
        <v>264.22000000000003</v>
      </c>
      <c r="F422" s="124">
        <v>102.3</v>
      </c>
      <c r="G422" s="124">
        <v>153.22</v>
      </c>
      <c r="H422" s="124">
        <v>207.23</v>
      </c>
      <c r="I422" s="124">
        <v>71.37</v>
      </c>
      <c r="J422" s="125">
        <v>99.35</v>
      </c>
      <c r="L422" s="39">
        <f t="shared" si="80"/>
        <v>-2.6841584324528483E-4</v>
      </c>
      <c r="M422" s="40">
        <f t="shared" si="72"/>
        <v>-2.2138042996999903E-3</v>
      </c>
      <c r="N422" s="40">
        <f t="shared" si="73"/>
        <v>1.9439704516490857E-3</v>
      </c>
      <c r="O422" s="40">
        <f t="shared" si="74"/>
        <v>-7.6989521913845144E-3</v>
      </c>
      <c r="P422" s="40">
        <f t="shared" si="75"/>
        <v>-1.4450867052023121E-2</v>
      </c>
      <c r="Q422" s="40">
        <f t="shared" si="76"/>
        <v>-7.7710141173422398E-3</v>
      </c>
      <c r="R422" s="40">
        <f t="shared" si="77"/>
        <v>7.3890428272810355E-3</v>
      </c>
      <c r="S422" s="40">
        <f t="shared" si="78"/>
        <v>2.9510961214166383E-3</v>
      </c>
      <c r="T422" s="41">
        <f t="shared" si="79"/>
        <v>-6.3012602520505067E-3</v>
      </c>
      <c r="V422" s="39">
        <f t="shared" si="81"/>
        <v>-2.6841584324528483E-4</v>
      </c>
      <c r="W422" s="40" cm="1">
        <f t="array" ref="W422">IF(M422="","",SUMPRODUCT(M422:T422,TRANSPOSE('04_Dashboard'!$C$53:$C$60)))</f>
        <v>-4.3162106174066163E-3</v>
      </c>
      <c r="X422" s="42">
        <f t="shared" si="82"/>
        <v>1.3946081299290882</v>
      </c>
      <c r="Y422" s="118">
        <f t="shared" si="83"/>
        <v>1.4222018887372541</v>
      </c>
      <c r="AA422" s="43">
        <f>IF(X422="","",X422/MAX($X$4:X422)-1)</f>
        <v>-2.7735630496141028E-2</v>
      </c>
      <c r="AB422" s="44">
        <f>IF(Y422="","",Y422/MAX($Y$4:Y422)-1)</f>
        <v>-2.8436858175223456E-2</v>
      </c>
    </row>
    <row r="423" spans="1:28" x14ac:dyDescent="0.45">
      <c r="A423" s="121">
        <v>45813</v>
      </c>
      <c r="B423" s="124">
        <v>593.04999999999995</v>
      </c>
      <c r="C423" s="124">
        <v>200.63</v>
      </c>
      <c r="D423" s="124">
        <v>467.68</v>
      </c>
      <c r="E423" s="124">
        <v>261.95</v>
      </c>
      <c r="F423" s="124">
        <v>101.83</v>
      </c>
      <c r="G423" s="124">
        <v>153.66</v>
      </c>
      <c r="H423" s="124">
        <v>207.91</v>
      </c>
      <c r="I423" s="124">
        <v>70.91</v>
      </c>
      <c r="J423" s="125">
        <v>97.96</v>
      </c>
      <c r="L423" s="39">
        <f t="shared" si="80"/>
        <v>-4.8327823737687242E-3</v>
      </c>
      <c r="M423" s="40">
        <f t="shared" si="72"/>
        <v>-1.0797751701015669E-2</v>
      </c>
      <c r="N423" s="40">
        <f t="shared" si="73"/>
        <v>8.2135080949403971E-3</v>
      </c>
      <c r="O423" s="40">
        <f t="shared" si="74"/>
        <v>-8.591325410642791E-3</v>
      </c>
      <c r="P423" s="40">
        <f t="shared" si="75"/>
        <v>-4.5943304007820028E-3</v>
      </c>
      <c r="Q423" s="40">
        <f t="shared" si="76"/>
        <v>2.8716877692207135E-3</v>
      </c>
      <c r="R423" s="40">
        <f t="shared" si="77"/>
        <v>3.2813781788351439E-3</v>
      </c>
      <c r="S423" s="40">
        <f t="shared" si="78"/>
        <v>-6.445285133809835E-3</v>
      </c>
      <c r="T423" s="41">
        <f t="shared" si="79"/>
        <v>-1.399094111726221E-2</v>
      </c>
      <c r="V423" s="39">
        <f t="shared" si="81"/>
        <v>-4.8327823737687242E-3</v>
      </c>
      <c r="W423" s="40" cm="1">
        <f t="array" ref="W423">IF(M423="","",SUMPRODUCT(M423:T423,TRANSPOSE('04_Dashboard'!$C$53:$C$60)))</f>
        <v>-4.2211628761347816E-3</v>
      </c>
      <c r="X423" s="42">
        <f t="shared" si="82"/>
        <v>1.3878682923404524</v>
      </c>
      <c r="Y423" s="118">
        <f t="shared" si="83"/>
        <v>1.4161985429221475</v>
      </c>
      <c r="AA423" s="43">
        <f>IF(X423="","",X423/MAX($X$4:X423)-1)</f>
        <v>-3.2434372603722617E-2</v>
      </c>
      <c r="AB423" s="44">
        <f>IF(Y423="","",Y423/MAX($Y$4:Y423)-1)</f>
        <v>-3.253798444131506E-2</v>
      </c>
    </row>
    <row r="424" spans="1:28" x14ac:dyDescent="0.45">
      <c r="A424" s="121">
        <v>45814</v>
      </c>
      <c r="B424" s="124">
        <v>599.14</v>
      </c>
      <c r="C424" s="124">
        <v>203.92</v>
      </c>
      <c r="D424" s="124">
        <v>470.38</v>
      </c>
      <c r="E424" s="124">
        <v>265.73</v>
      </c>
      <c r="F424" s="124">
        <v>104.27</v>
      </c>
      <c r="G424" s="124">
        <v>155.03</v>
      </c>
      <c r="H424" s="124">
        <v>213.57</v>
      </c>
      <c r="I424" s="124">
        <v>71.349999999999994</v>
      </c>
      <c r="J424" s="125">
        <v>97.47</v>
      </c>
      <c r="L424" s="39">
        <f t="shared" si="80"/>
        <v>1.0268948655256778E-2</v>
      </c>
      <c r="M424" s="40">
        <f t="shared" si="72"/>
        <v>1.6398345212580333E-2</v>
      </c>
      <c r="N424" s="40">
        <f t="shared" si="73"/>
        <v>5.7731782415326475E-3</v>
      </c>
      <c r="O424" s="40">
        <f t="shared" si="74"/>
        <v>1.4430234777629431E-2</v>
      </c>
      <c r="P424" s="40">
        <f t="shared" si="75"/>
        <v>2.3961504468231344E-2</v>
      </c>
      <c r="Q424" s="40">
        <f t="shared" si="76"/>
        <v>8.9157881036053925E-3</v>
      </c>
      <c r="R424" s="40">
        <f t="shared" si="77"/>
        <v>2.7223317781732464E-2</v>
      </c>
      <c r="S424" s="40">
        <f t="shared" si="78"/>
        <v>6.2050486532223628E-3</v>
      </c>
      <c r="T424" s="41">
        <f t="shared" si="79"/>
        <v>-5.0020416496528676E-3</v>
      </c>
      <c r="V424" s="39">
        <f t="shared" si="81"/>
        <v>1.0268948655256778E-2</v>
      </c>
      <c r="W424" s="40" cm="1">
        <f t="array" ref="W424">IF(M424="","",SUMPRODUCT(M424:T424,TRANSPOSE('04_Dashboard'!$C$53:$C$60)))</f>
        <v>1.0203369793949523E-2</v>
      </c>
      <c r="X424" s="42">
        <f t="shared" si="82"/>
        <v>1.4021202405747553</v>
      </c>
      <c r="Y424" s="118">
        <f t="shared" si="83"/>
        <v>1.4306485403572347</v>
      </c>
      <c r="AA424" s="43">
        <f>IF(X424="","",X424/MAX($X$4:X424)-1)</f>
        <v>-2.2498490855399123E-2</v>
      </c>
      <c r="AB424" s="44">
        <f>IF(Y424="","",Y424/MAX($Y$4:Y424)-1)</f>
        <v>-2.2666611734970088E-2</v>
      </c>
    </row>
    <row r="425" spans="1:28" x14ac:dyDescent="0.45">
      <c r="A425" s="121">
        <v>45817</v>
      </c>
      <c r="B425" s="124">
        <v>599.67999999999995</v>
      </c>
      <c r="C425" s="124">
        <v>201.45</v>
      </c>
      <c r="D425" s="124">
        <v>472.75</v>
      </c>
      <c r="E425" s="124">
        <v>266.74</v>
      </c>
      <c r="F425" s="124">
        <v>104.97</v>
      </c>
      <c r="G425" s="124">
        <v>155.22999999999999</v>
      </c>
      <c r="H425" s="124">
        <v>216.98</v>
      </c>
      <c r="I425" s="124">
        <v>71.77</v>
      </c>
      <c r="J425" s="125">
        <v>97.45</v>
      </c>
      <c r="L425" s="39">
        <f t="shared" si="80"/>
        <v>9.0129185165397675E-4</v>
      </c>
      <c r="M425" s="40">
        <f t="shared" si="72"/>
        <v>-1.2112593173793641E-2</v>
      </c>
      <c r="N425" s="40">
        <f t="shared" si="73"/>
        <v>5.0384795271907912E-3</v>
      </c>
      <c r="O425" s="40">
        <f t="shared" si="74"/>
        <v>3.8008504873367358E-3</v>
      </c>
      <c r="P425" s="40">
        <f t="shared" si="75"/>
        <v>6.7133403663566021E-3</v>
      </c>
      <c r="Q425" s="40">
        <f t="shared" si="76"/>
        <v>1.2900728891181619E-3</v>
      </c>
      <c r="R425" s="40">
        <f t="shared" si="77"/>
        <v>1.5966661984361082E-2</v>
      </c>
      <c r="S425" s="40">
        <f t="shared" si="78"/>
        <v>5.8864751226349226E-3</v>
      </c>
      <c r="T425" s="41">
        <f t="shared" si="79"/>
        <v>-2.0519134092537213E-4</v>
      </c>
      <c r="V425" s="39">
        <f t="shared" si="81"/>
        <v>9.0129185165397675E-4</v>
      </c>
      <c r="W425" s="40" cm="1">
        <f t="array" ref="W425">IF(M425="","",SUMPRODUCT(M425:T425,TRANSPOSE('04_Dashboard'!$C$53:$C$60)))</f>
        <v>3.1797722226841059E-3</v>
      </c>
      <c r="X425" s="42">
        <f t="shared" si="82"/>
        <v>1.4033839601226243</v>
      </c>
      <c r="Y425" s="118">
        <f t="shared" si="83"/>
        <v>1.4351976768462862</v>
      </c>
      <c r="AA425" s="43">
        <f>IF(X425="","",X425/MAX($X$4:X425)-1)</f>
        <v>-2.1617476710227623E-2</v>
      </c>
      <c r="AB425" s="44">
        <f>IF(Y425="","",Y425/MAX($Y$4:Y425)-1)</f>
        <v>-1.9558914174663267E-2</v>
      </c>
    </row>
    <row r="426" spans="1:28" x14ac:dyDescent="0.45">
      <c r="A426" s="121">
        <v>45818</v>
      </c>
      <c r="B426" s="124">
        <v>603.08000000000004</v>
      </c>
      <c r="C426" s="124">
        <v>202.67</v>
      </c>
      <c r="D426" s="124">
        <v>470.92</v>
      </c>
      <c r="E426" s="124">
        <v>268.60000000000002</v>
      </c>
      <c r="F426" s="124">
        <v>107.22</v>
      </c>
      <c r="G426" s="124">
        <v>156.44999999999999</v>
      </c>
      <c r="H426" s="124">
        <v>217.61</v>
      </c>
      <c r="I426" s="124">
        <v>72.349999999999994</v>
      </c>
      <c r="J426" s="125">
        <v>97.32</v>
      </c>
      <c r="L426" s="39">
        <f t="shared" si="80"/>
        <v>5.6696905016010062E-3</v>
      </c>
      <c r="M426" s="40">
        <f t="shared" si="72"/>
        <v>6.0560933234053062E-3</v>
      </c>
      <c r="N426" s="40">
        <f t="shared" si="73"/>
        <v>-3.87096774193545E-3</v>
      </c>
      <c r="O426" s="40">
        <f t="shared" si="74"/>
        <v>6.9730824023394077E-3</v>
      </c>
      <c r="P426" s="40">
        <f t="shared" si="75"/>
        <v>2.1434695627322094E-2</v>
      </c>
      <c r="Q426" s="40">
        <f t="shared" si="76"/>
        <v>7.8593055466082522E-3</v>
      </c>
      <c r="R426" s="40">
        <f t="shared" si="77"/>
        <v>2.9034934095309426E-3</v>
      </c>
      <c r="S426" s="40">
        <f t="shared" si="78"/>
        <v>8.081371046398193E-3</v>
      </c>
      <c r="T426" s="41">
        <f t="shared" si="79"/>
        <v>-1.3340174448436086E-3</v>
      </c>
      <c r="V426" s="39">
        <f t="shared" si="81"/>
        <v>5.6696905016010062E-3</v>
      </c>
      <c r="W426" s="40" cm="1">
        <f t="array" ref="W426">IF(M426="","",SUMPRODUCT(M426:T426,TRANSPOSE('04_Dashboard'!$C$53:$C$60)))</f>
        <v>5.8142810308959543E-3</v>
      </c>
      <c r="X426" s="42">
        <f t="shared" si="82"/>
        <v>1.4113407128314306</v>
      </c>
      <c r="Y426" s="118">
        <f t="shared" si="83"/>
        <v>1.4435423194743593</v>
      </c>
      <c r="AA426" s="43">
        <f>IF(X426="","",X426/MAX($X$4:X426)-1)</f>
        <v>-1.6070350610999373E-2</v>
      </c>
      <c r="AB426" s="44">
        <f>IF(Y426="","",Y426/MAX($Y$4:Y426)-1)</f>
        <v>-1.3858354167438081E-2</v>
      </c>
    </row>
    <row r="427" spans="1:28" x14ac:dyDescent="0.45">
      <c r="A427" s="121">
        <v>45819</v>
      </c>
      <c r="B427" s="124">
        <v>601.36</v>
      </c>
      <c r="C427" s="124">
        <v>198.78</v>
      </c>
      <c r="D427" s="124">
        <v>472.62</v>
      </c>
      <c r="E427" s="124">
        <v>268.14999999999998</v>
      </c>
      <c r="F427" s="124">
        <v>109.31</v>
      </c>
      <c r="G427" s="124">
        <v>155.26</v>
      </c>
      <c r="H427" s="124">
        <v>213.2</v>
      </c>
      <c r="I427" s="124">
        <v>72.069999999999993</v>
      </c>
      <c r="J427" s="125">
        <v>95.8</v>
      </c>
      <c r="L427" s="39">
        <f t="shared" si="80"/>
        <v>-2.8520262651721617E-3</v>
      </c>
      <c r="M427" s="40">
        <f t="shared" si="72"/>
        <v>-1.9193763260472622E-2</v>
      </c>
      <c r="N427" s="40">
        <f t="shared" si="73"/>
        <v>3.6099549817378506E-3</v>
      </c>
      <c r="O427" s="40">
        <f t="shared" si="74"/>
        <v>-1.6753536857782778E-3</v>
      </c>
      <c r="P427" s="40">
        <f t="shared" si="75"/>
        <v>1.9492631971647113E-2</v>
      </c>
      <c r="Q427" s="40">
        <f t="shared" si="76"/>
        <v>-7.6062639821028941E-3</v>
      </c>
      <c r="R427" s="40">
        <f t="shared" si="77"/>
        <v>-2.0265612793529824E-2</v>
      </c>
      <c r="S427" s="40">
        <f t="shared" si="78"/>
        <v>-3.8700760193503959E-3</v>
      </c>
      <c r="T427" s="41">
        <f t="shared" si="79"/>
        <v>-1.5618577887381793E-2</v>
      </c>
      <c r="V427" s="39">
        <f t="shared" si="81"/>
        <v>-2.8520262651721617E-3</v>
      </c>
      <c r="W427" s="40" cm="1">
        <f t="array" ref="W427">IF(M427="","",SUMPRODUCT(M427:T427,TRANSPOSE('04_Dashboard'!$C$53:$C$60)))</f>
        <v>-6.2528016453931232E-3</v>
      </c>
      <c r="X427" s="42">
        <f t="shared" si="82"/>
        <v>1.4073155320493287</v>
      </c>
      <c r="Y427" s="118">
        <f t="shared" si="83"/>
        <v>1.4345161356839555</v>
      </c>
      <c r="AA427" s="43">
        <f>IF(X427="","",X427/MAX($X$4:X427)-1)</f>
        <v>-1.887654381413828E-2</v>
      </c>
      <c r="AB427" s="44">
        <f>IF(Y427="","",Y427/MAX($Y$4:Y427)-1)</f>
        <v>-2.0024502273090494E-2</v>
      </c>
    </row>
    <row r="428" spans="1:28" x14ac:dyDescent="0.45">
      <c r="A428" s="121">
        <v>45820</v>
      </c>
      <c r="B428" s="124">
        <v>603.75</v>
      </c>
      <c r="C428" s="124">
        <v>199.2</v>
      </c>
      <c r="D428" s="124">
        <v>478.87</v>
      </c>
      <c r="E428" s="124">
        <v>268.24</v>
      </c>
      <c r="F428" s="124">
        <v>109.73</v>
      </c>
      <c r="G428" s="124">
        <v>156.66</v>
      </c>
      <c r="H428" s="124">
        <v>213.24</v>
      </c>
      <c r="I428" s="124">
        <v>72.239999999999995</v>
      </c>
      <c r="J428" s="125">
        <v>94.83</v>
      </c>
      <c r="L428" s="39">
        <f t="shared" si="80"/>
        <v>3.9743248636423881E-3</v>
      </c>
      <c r="M428" s="40">
        <f t="shared" si="72"/>
        <v>2.112888620585509E-3</v>
      </c>
      <c r="N428" s="40">
        <f t="shared" si="73"/>
        <v>1.3224154712030808E-2</v>
      </c>
      <c r="O428" s="40">
        <f t="shared" si="74"/>
        <v>3.356330412083977E-4</v>
      </c>
      <c r="P428" s="40">
        <f t="shared" si="75"/>
        <v>3.842283414143278E-3</v>
      </c>
      <c r="Q428" s="40">
        <f t="shared" si="76"/>
        <v>9.0171325518485501E-3</v>
      </c>
      <c r="R428" s="40">
        <f t="shared" si="77"/>
        <v>1.876172607880885E-4</v>
      </c>
      <c r="S428" s="40">
        <f t="shared" si="78"/>
        <v>2.3588178160122344E-3</v>
      </c>
      <c r="T428" s="41">
        <f t="shared" si="79"/>
        <v>-1.0125260960334018E-2</v>
      </c>
      <c r="V428" s="39">
        <f t="shared" si="81"/>
        <v>3.9743248636423881E-3</v>
      </c>
      <c r="W428" s="40" cm="1">
        <f t="array" ref="W428">IF(M428="","",SUMPRODUCT(M428:T428,TRANSPOSE('04_Dashboard'!$C$53:$C$60)))</f>
        <v>2.3643818261810398E-3</v>
      </c>
      <c r="X428" s="42">
        <f t="shared" si="82"/>
        <v>1.4129086611593424</v>
      </c>
      <c r="Y428" s="118">
        <f t="shared" si="83"/>
        <v>1.4379078795645304</v>
      </c>
      <c r="AA428" s="43">
        <f>IF(X428="","",X428/MAX($X$4:X428)-1)</f>
        <v>-1.4977240467916042E-2</v>
      </c>
      <c r="AB428" s="44">
        <f>IF(Y428="","",Y428/MAX($Y$4:Y428)-1)</f>
        <v>-1.7707466016162132E-2</v>
      </c>
    </row>
    <row r="429" spans="1:28" x14ac:dyDescent="0.45">
      <c r="A429" s="121">
        <v>45821</v>
      </c>
      <c r="B429" s="124">
        <v>597</v>
      </c>
      <c r="C429" s="124">
        <v>196.45</v>
      </c>
      <c r="D429" s="124">
        <v>474.96</v>
      </c>
      <c r="E429" s="124">
        <v>264.95</v>
      </c>
      <c r="F429" s="124">
        <v>112.12</v>
      </c>
      <c r="G429" s="124">
        <v>157.1</v>
      </c>
      <c r="H429" s="124">
        <v>212.1</v>
      </c>
      <c r="I429" s="124">
        <v>71.02</v>
      </c>
      <c r="J429" s="125">
        <v>94.44</v>
      </c>
      <c r="L429" s="39">
        <f t="shared" si="80"/>
        <v>-1.1180124223602485E-2</v>
      </c>
      <c r="M429" s="40">
        <f t="shared" si="72"/>
        <v>-1.3805220883534136E-2</v>
      </c>
      <c r="N429" s="40">
        <f t="shared" si="73"/>
        <v>-8.165055234197225E-3</v>
      </c>
      <c r="O429" s="40">
        <f t="shared" si="74"/>
        <v>-1.2265135699373771E-2</v>
      </c>
      <c r="P429" s="40">
        <f t="shared" si="75"/>
        <v>2.1780734530210521E-2</v>
      </c>
      <c r="Q429" s="40">
        <f t="shared" si="76"/>
        <v>2.8086301544746439E-3</v>
      </c>
      <c r="R429" s="40">
        <f t="shared" si="77"/>
        <v>-5.3460889138998999E-3</v>
      </c>
      <c r="S429" s="40">
        <f t="shared" si="78"/>
        <v>-1.6888150609080829E-2</v>
      </c>
      <c r="T429" s="41">
        <f t="shared" si="79"/>
        <v>-4.1126225877886804E-3</v>
      </c>
      <c r="V429" s="39">
        <f t="shared" si="81"/>
        <v>-1.1180124223602485E-2</v>
      </c>
      <c r="W429" s="40" cm="1">
        <f t="array" ref="W429">IF(M429="","",SUMPRODUCT(M429:T429,TRANSPOSE('04_Dashboard'!$C$53:$C$60)))</f>
        <v>-5.7704458360478689E-3</v>
      </c>
      <c r="X429" s="42">
        <f t="shared" si="82"/>
        <v>1.3971121668109772</v>
      </c>
      <c r="Y429" s="118">
        <f t="shared" si="83"/>
        <v>1.4296105100282768</v>
      </c>
      <c r="AA429" s="43">
        <f>IF(X429="","",X429/MAX($X$4:X429)-1)</f>
        <v>-2.5989917282560504E-2</v>
      </c>
      <c r="AB429" s="44">
        <f>IF(Y429="","",Y429/MAX($Y$4:Y429)-1)</f>
        <v>-2.3375731878670147E-2</v>
      </c>
    </row>
    <row r="430" spans="1:28" x14ac:dyDescent="0.45">
      <c r="A430" s="121">
        <v>45824</v>
      </c>
      <c r="B430" s="124">
        <v>602.67999999999995</v>
      </c>
      <c r="C430" s="124">
        <v>198.42</v>
      </c>
      <c r="D430" s="124">
        <v>479.14</v>
      </c>
      <c r="E430" s="124">
        <v>270.36</v>
      </c>
      <c r="F430" s="124">
        <v>112.48</v>
      </c>
      <c r="G430" s="124">
        <v>155.22</v>
      </c>
      <c r="H430" s="124">
        <v>216.1</v>
      </c>
      <c r="I430" s="124">
        <v>70.52</v>
      </c>
      <c r="J430" s="125">
        <v>94.29</v>
      </c>
      <c r="L430" s="39">
        <f t="shared" si="80"/>
        <v>9.5142378559463156E-3</v>
      </c>
      <c r="M430" s="40">
        <f t="shared" si="72"/>
        <v>1.0027996945787727E-2</v>
      </c>
      <c r="N430" s="40">
        <f t="shared" si="73"/>
        <v>8.8007411150412811E-3</v>
      </c>
      <c r="O430" s="40">
        <f t="shared" si="74"/>
        <v>2.0418946971126724E-2</v>
      </c>
      <c r="P430" s="40">
        <f t="shared" si="75"/>
        <v>3.2108455226542939E-3</v>
      </c>
      <c r="Q430" s="40">
        <f t="shared" si="76"/>
        <v>-1.1966900063653696E-2</v>
      </c>
      <c r="R430" s="40">
        <f t="shared" si="77"/>
        <v>1.885902876001886E-2</v>
      </c>
      <c r="S430" s="40">
        <f t="shared" si="78"/>
        <v>-7.0402703463813016E-3</v>
      </c>
      <c r="T430" s="41">
        <f t="shared" si="79"/>
        <v>-1.5883100381193507E-3</v>
      </c>
      <c r="V430" s="39">
        <f t="shared" si="81"/>
        <v>9.5142378559463156E-3</v>
      </c>
      <c r="W430" s="40" cm="1">
        <f t="array" ref="W430">IF(M430="","",SUMPRODUCT(M430:T430,TRANSPOSE('04_Dashboard'!$C$53:$C$60)))</f>
        <v>3.4910596711390076E-3</v>
      </c>
      <c r="X430" s="42">
        <f t="shared" si="82"/>
        <v>1.4104046242774533</v>
      </c>
      <c r="Y430" s="118">
        <f t="shared" si="83"/>
        <v>1.434601365625273</v>
      </c>
      <c r="AA430" s="43">
        <f>IF(X430="","",X430/MAX($X$4:X430)-1)</f>
        <v>-1.6722953681496788E-2</v>
      </c>
      <c r="AB430" s="44">
        <f>IF(Y430="","",Y430/MAX($Y$4:Y430)-1)</f>
        <v>-1.9966278282376071E-2</v>
      </c>
    </row>
    <row r="431" spans="1:28" x14ac:dyDescent="0.45">
      <c r="A431" s="121">
        <v>45825</v>
      </c>
      <c r="B431" s="124">
        <v>597.53</v>
      </c>
      <c r="C431" s="124">
        <v>195.64</v>
      </c>
      <c r="D431" s="124">
        <v>478.04</v>
      </c>
      <c r="E431" s="124">
        <v>269.52</v>
      </c>
      <c r="F431" s="124">
        <v>114</v>
      </c>
      <c r="G431" s="124">
        <v>152.38</v>
      </c>
      <c r="H431" s="124">
        <v>214.82</v>
      </c>
      <c r="I431" s="124">
        <v>69.62</v>
      </c>
      <c r="J431" s="125">
        <v>94.25</v>
      </c>
      <c r="L431" s="39">
        <f t="shared" si="80"/>
        <v>-8.5451649299793878E-3</v>
      </c>
      <c r="M431" s="40">
        <f t="shared" si="72"/>
        <v>-1.4010684406813835E-2</v>
      </c>
      <c r="N431" s="40">
        <f t="shared" si="73"/>
        <v>-2.2957799390574069E-3</v>
      </c>
      <c r="O431" s="40">
        <f t="shared" si="74"/>
        <v>-3.1069684864626118E-3</v>
      </c>
      <c r="P431" s="40">
        <f t="shared" si="75"/>
        <v>1.3513513513513478E-2</v>
      </c>
      <c r="Q431" s="40">
        <f t="shared" si="76"/>
        <v>-1.8296611261435405E-2</v>
      </c>
      <c r="R431" s="40">
        <f t="shared" si="77"/>
        <v>-5.9231837112447994E-3</v>
      </c>
      <c r="S431" s="40">
        <f t="shared" si="78"/>
        <v>-1.2762336925694718E-2</v>
      </c>
      <c r="T431" s="41">
        <f t="shared" si="79"/>
        <v>-4.2422314137242813E-4</v>
      </c>
      <c r="V431" s="39">
        <f t="shared" si="81"/>
        <v>-8.5451649299793878E-3</v>
      </c>
      <c r="W431" s="40" cm="1">
        <f t="array" ref="W431">IF(M431="","",SUMPRODUCT(M431:T431,TRANSPOSE('04_Dashboard'!$C$53:$C$60)))</f>
        <v>-7.6111746900622886E-3</v>
      </c>
      <c r="X431" s="42">
        <f t="shared" si="82"/>
        <v>1.3983524841449968</v>
      </c>
      <c r="Y431" s="118">
        <f t="shared" si="83"/>
        <v>1.4236823640208971</v>
      </c>
      <c r="AA431" s="43">
        <f>IF(X431="","",X431/MAX($X$4:X431)-1)</f>
        <v>-2.5125218214151479E-2</v>
      </c>
      <c r="AB431" s="44">
        <f>IF(Y431="","",Y431/MAX($Y$4:Y431)-1)</f>
        <v>-2.7425486140520761E-2</v>
      </c>
    </row>
    <row r="432" spans="1:28" x14ac:dyDescent="0.45">
      <c r="A432" s="121">
        <v>45826</v>
      </c>
      <c r="B432" s="124">
        <v>597.44000000000005</v>
      </c>
      <c r="C432" s="124">
        <v>196.58</v>
      </c>
      <c r="D432" s="124">
        <v>480.24</v>
      </c>
      <c r="E432" s="124">
        <v>273.95999999999998</v>
      </c>
      <c r="F432" s="124">
        <v>113.19</v>
      </c>
      <c r="G432" s="124">
        <v>150.72999999999999</v>
      </c>
      <c r="H432" s="124">
        <v>212.52</v>
      </c>
      <c r="I432" s="124">
        <v>69.209999999999994</v>
      </c>
      <c r="J432" s="125">
        <v>95.09</v>
      </c>
      <c r="L432" s="39">
        <f t="shared" si="80"/>
        <v>-1.5062005254952578E-4</v>
      </c>
      <c r="M432" s="40">
        <f t="shared" si="72"/>
        <v>4.8047434062565234E-3</v>
      </c>
      <c r="N432" s="40">
        <f t="shared" si="73"/>
        <v>4.6021253451593771E-3</v>
      </c>
      <c r="O432" s="40">
        <f t="shared" si="74"/>
        <v>1.6473731077471052E-2</v>
      </c>
      <c r="P432" s="40">
        <f t="shared" si="75"/>
        <v>-7.1052631578947568E-3</v>
      </c>
      <c r="Q432" s="40">
        <f t="shared" si="76"/>
        <v>-1.0828192676204263E-2</v>
      </c>
      <c r="R432" s="40">
        <f t="shared" si="77"/>
        <v>-1.0706638115631613E-2</v>
      </c>
      <c r="S432" s="40">
        <f t="shared" si="78"/>
        <v>-5.8891123240449698E-3</v>
      </c>
      <c r="T432" s="41">
        <f t="shared" si="79"/>
        <v>8.9124668435013616E-3</v>
      </c>
      <c r="V432" s="39">
        <f t="shared" si="81"/>
        <v>-1.5062005254952578E-4</v>
      </c>
      <c r="W432" s="40" cm="1">
        <f t="array" ref="W432">IF(M432="","",SUMPRODUCT(M432:T432,TRANSPOSE('04_Dashboard'!$C$53:$C$60)))</f>
        <v>1.1877507946713374E-3</v>
      </c>
      <c r="X432" s="42">
        <f t="shared" si="82"/>
        <v>1.3981418642203522</v>
      </c>
      <c r="Y432" s="118">
        <f t="shared" si="83"/>
        <v>1.4253733438801226</v>
      </c>
      <c r="AA432" s="43">
        <f>IF(X432="","",X432/MAX($X$4:X432)-1)</f>
        <v>-2.5272053905013192E-2</v>
      </c>
      <c r="AB432" s="44">
        <f>IF(Y432="","",Y432/MAX($Y$4:Y432)-1)</f>
        <v>-2.6270309988807083E-2</v>
      </c>
    </row>
    <row r="433" spans="1:28" x14ac:dyDescent="0.45">
      <c r="A433" s="121">
        <v>45828</v>
      </c>
      <c r="B433" s="124">
        <v>594.28</v>
      </c>
      <c r="C433" s="124">
        <v>201</v>
      </c>
      <c r="D433" s="124">
        <v>477.4</v>
      </c>
      <c r="E433" s="124">
        <v>275</v>
      </c>
      <c r="F433" s="124">
        <v>114.7</v>
      </c>
      <c r="G433" s="124">
        <v>149.79</v>
      </c>
      <c r="H433" s="124">
        <v>209.69</v>
      </c>
      <c r="I433" s="124">
        <v>68.84</v>
      </c>
      <c r="J433" s="125">
        <v>96.12</v>
      </c>
      <c r="L433" s="39">
        <f t="shared" si="80"/>
        <v>-5.2892340653456103E-3</v>
      </c>
      <c r="M433" s="40">
        <f t="shared" si="72"/>
        <v>2.2484484688167602E-2</v>
      </c>
      <c r="N433" s="40">
        <f t="shared" si="73"/>
        <v>-5.9137098117608526E-3</v>
      </c>
      <c r="O433" s="40">
        <f t="shared" si="74"/>
        <v>3.7961746240327806E-3</v>
      </c>
      <c r="P433" s="40">
        <f t="shared" si="75"/>
        <v>1.3340401095503182E-2</v>
      </c>
      <c r="Q433" s="40">
        <f t="shared" si="76"/>
        <v>-6.2363165925827489E-3</v>
      </c>
      <c r="R433" s="40">
        <f t="shared" si="77"/>
        <v>-1.3316393751176417E-2</v>
      </c>
      <c r="S433" s="40">
        <f t="shared" si="78"/>
        <v>-5.3460482589219819E-3</v>
      </c>
      <c r="T433" s="41">
        <f t="shared" si="79"/>
        <v>1.0831843516668431E-2</v>
      </c>
      <c r="V433" s="39">
        <f t="shared" si="81"/>
        <v>-5.2892340653456103E-3</v>
      </c>
      <c r="W433" s="40" cm="1">
        <f t="array" ref="W433">IF(M433="","",SUMPRODUCT(M433:T433,TRANSPOSE('04_Dashboard'!$C$53:$C$60)))</f>
        <v>7.094463087347413E-4</v>
      </c>
      <c r="X433" s="42">
        <f t="shared" si="82"/>
        <v>1.390746764643932</v>
      </c>
      <c r="Y433" s="118">
        <f t="shared" si="83"/>
        <v>1.4263845697375073</v>
      </c>
      <c r="AA433" s="43">
        <f>IF(X433="","",X433/MAX($X$4:X433)-1)</f>
        <v>-3.0427618161943282E-2</v>
      </c>
      <c r="AB433" s="44">
        <f>IF(Y433="","",Y433/MAX($Y$4:Y433)-1)</f>
        <v>-2.5579501054523113E-2</v>
      </c>
    </row>
    <row r="434" spans="1:28" x14ac:dyDescent="0.45">
      <c r="A434" s="121">
        <v>45831</v>
      </c>
      <c r="B434" s="124">
        <v>600.15</v>
      </c>
      <c r="C434" s="124">
        <v>201.5</v>
      </c>
      <c r="D434" s="124">
        <v>486</v>
      </c>
      <c r="E434" s="124">
        <v>278.27</v>
      </c>
      <c r="F434" s="124">
        <v>111.74</v>
      </c>
      <c r="G434" s="124">
        <v>151.32</v>
      </c>
      <c r="H434" s="124">
        <v>208.47</v>
      </c>
      <c r="I434" s="124">
        <v>69.739999999999995</v>
      </c>
      <c r="J434" s="125">
        <v>97.87</v>
      </c>
      <c r="L434" s="39">
        <f t="shared" si="80"/>
        <v>9.8774988221040673E-3</v>
      </c>
      <c r="M434" s="40">
        <f t="shared" si="72"/>
        <v>2.4875621890547263E-3</v>
      </c>
      <c r="N434" s="40">
        <f t="shared" si="73"/>
        <v>1.8014243820695483E-2</v>
      </c>
      <c r="O434" s="40">
        <f t="shared" si="74"/>
        <v>1.1890909090909025E-2</v>
      </c>
      <c r="P434" s="40">
        <f t="shared" si="75"/>
        <v>-2.5806451612903295E-2</v>
      </c>
      <c r="Q434" s="40">
        <f t="shared" si="76"/>
        <v>1.0214300020028048E-2</v>
      </c>
      <c r="R434" s="40">
        <f t="shared" si="77"/>
        <v>-5.81811245171443E-3</v>
      </c>
      <c r="S434" s="40">
        <f t="shared" si="78"/>
        <v>1.3073794305636134E-2</v>
      </c>
      <c r="T434" s="41">
        <f t="shared" si="79"/>
        <v>1.8206408655846856E-2</v>
      </c>
      <c r="V434" s="39">
        <f t="shared" si="81"/>
        <v>9.8774988221040673E-3</v>
      </c>
      <c r="W434" s="40" cm="1">
        <f t="array" ref="W434">IF(M434="","",SUMPRODUCT(M434:T434,TRANSPOSE('04_Dashboard'!$C$53:$C$60)))</f>
        <v>9.2471103201503865E-3</v>
      </c>
      <c r="X434" s="42">
        <f t="shared" si="82"/>
        <v>1.4044838641735473</v>
      </c>
      <c r="Y434" s="118">
        <f t="shared" si="83"/>
        <v>1.4395745052128301</v>
      </c>
      <c r="AA434" s="43">
        <f>IF(X434="","",X434/MAX($X$4:X434)-1)</f>
        <v>-2.0850668102393333E-2</v>
      </c>
      <c r="AB434" s="44">
        <f>IF(Y434="","",Y434/MAX($Y$4:Y434)-1)</f>
        <v>-1.6568927202558426E-2</v>
      </c>
    </row>
    <row r="435" spans="1:28" x14ac:dyDescent="0.45">
      <c r="A435" s="121">
        <v>45832</v>
      </c>
      <c r="B435" s="124">
        <v>606.78</v>
      </c>
      <c r="C435" s="124">
        <v>200.3</v>
      </c>
      <c r="D435" s="124">
        <v>490.11</v>
      </c>
      <c r="E435" s="124">
        <v>281.26</v>
      </c>
      <c r="F435" s="124">
        <v>108.34</v>
      </c>
      <c r="G435" s="124">
        <v>152.19</v>
      </c>
      <c r="H435" s="124">
        <v>212.77</v>
      </c>
      <c r="I435" s="124">
        <v>70.209999999999994</v>
      </c>
      <c r="J435" s="125">
        <v>98</v>
      </c>
      <c r="L435" s="39">
        <f t="shared" si="80"/>
        <v>1.104723819045238E-2</v>
      </c>
      <c r="M435" s="40">
        <f t="shared" si="72"/>
        <v>-5.9553349875929957E-3</v>
      </c>
      <c r="N435" s="40">
        <f t="shared" si="73"/>
        <v>8.4567901234568182E-3</v>
      </c>
      <c r="O435" s="40">
        <f t="shared" si="74"/>
        <v>1.0744959931002298E-2</v>
      </c>
      <c r="P435" s="40">
        <f t="shared" si="75"/>
        <v>-3.0427778772149559E-2</v>
      </c>
      <c r="Q435" s="40">
        <f t="shared" si="76"/>
        <v>5.7494052339413463E-3</v>
      </c>
      <c r="R435" s="40">
        <f t="shared" si="77"/>
        <v>2.0626469036312232E-2</v>
      </c>
      <c r="S435" s="40">
        <f t="shared" si="78"/>
        <v>6.7393174648694995E-3</v>
      </c>
      <c r="T435" s="41">
        <f t="shared" si="79"/>
        <v>1.3282926330846576E-3</v>
      </c>
      <c r="V435" s="39">
        <f t="shared" si="81"/>
        <v>1.104723819045238E-2</v>
      </c>
      <c r="W435" s="40" cm="1">
        <f t="array" ref="W435">IF(M435="","",SUMPRODUCT(M435:T435,TRANSPOSE('04_Dashboard'!$C$53:$C$60)))</f>
        <v>5.2780911772608262E-3</v>
      </c>
      <c r="X435" s="42">
        <f t="shared" si="82"/>
        <v>1.4199995319557193</v>
      </c>
      <c r="Y435" s="118">
        <f t="shared" si="83"/>
        <v>1.4471727107078034</v>
      </c>
      <c r="AA435" s="43">
        <f>IF(X435="","",X435/MAX($X$4:X435)-1)</f>
        <v>-1.0033772208898228E-2</v>
      </c>
      <c r="AB435" s="44">
        <f>IF(Y435="","",Y435/MAX($Y$4:Y435)-1)</f>
        <v>-1.1378288333782183E-2</v>
      </c>
    </row>
    <row r="436" spans="1:28" x14ac:dyDescent="0.45">
      <c r="A436" s="121">
        <v>45833</v>
      </c>
      <c r="B436" s="124">
        <v>607.12</v>
      </c>
      <c r="C436" s="124">
        <v>201.56</v>
      </c>
      <c r="D436" s="124">
        <v>492.27</v>
      </c>
      <c r="E436" s="124">
        <v>284.06</v>
      </c>
      <c r="F436" s="124">
        <v>108.37</v>
      </c>
      <c r="G436" s="124">
        <v>152.28</v>
      </c>
      <c r="H436" s="124">
        <v>211.99</v>
      </c>
      <c r="I436" s="124">
        <v>69.63</v>
      </c>
      <c r="J436" s="125">
        <v>97.26</v>
      </c>
      <c r="L436" s="39">
        <f t="shared" si="80"/>
        <v>5.6033488249453156E-4</v>
      </c>
      <c r="M436" s="40">
        <f t="shared" si="72"/>
        <v>6.2905641537693005E-3</v>
      </c>
      <c r="N436" s="40">
        <f t="shared" si="73"/>
        <v>4.407173899736729E-3</v>
      </c>
      <c r="O436" s="40">
        <f t="shared" si="74"/>
        <v>9.9552015928322957E-3</v>
      </c>
      <c r="P436" s="40">
        <f t="shared" si="75"/>
        <v>2.7690603655160733E-4</v>
      </c>
      <c r="Q436" s="40">
        <f t="shared" si="76"/>
        <v>5.9136605558843161E-4</v>
      </c>
      <c r="R436" s="40">
        <f t="shared" si="77"/>
        <v>-3.6659303473234061E-3</v>
      </c>
      <c r="S436" s="40">
        <f t="shared" si="78"/>
        <v>-8.2609314912405404E-3</v>
      </c>
      <c r="T436" s="41">
        <f t="shared" si="79"/>
        <v>-7.5510204081632127E-3</v>
      </c>
      <c r="V436" s="39">
        <f t="shared" si="81"/>
        <v>5.6033488249453156E-4</v>
      </c>
      <c r="W436" s="40" cm="1">
        <f t="array" ref="W436">IF(M436="","",SUMPRODUCT(M436:T436,TRANSPOSE('04_Dashboard'!$C$53:$C$60)))</f>
        <v>6.9432277452631313E-4</v>
      </c>
      <c r="X436" s="42">
        <f t="shared" si="82"/>
        <v>1.4207952072265999</v>
      </c>
      <c r="Y436" s="118">
        <f t="shared" si="83"/>
        <v>1.4481775156795209</v>
      </c>
      <c r="AA436" s="43">
        <f>IF(X436="","",X436/MAX($X$4:X436)-1)</f>
        <v>-9.4790595989754367E-3</v>
      </c>
      <c r="AB436" s="44">
        <f>IF(Y436="","",Y436/MAX($Y$4:Y436)-1)</f>
        <v>-1.0691865763981068E-2</v>
      </c>
    </row>
    <row r="437" spans="1:28" x14ac:dyDescent="0.45">
      <c r="A437" s="121">
        <v>45834</v>
      </c>
      <c r="B437" s="124">
        <v>611.87</v>
      </c>
      <c r="C437" s="124">
        <v>201</v>
      </c>
      <c r="D437" s="124">
        <v>497.45</v>
      </c>
      <c r="E437" s="124">
        <v>288.75</v>
      </c>
      <c r="F437" s="124">
        <v>109.99</v>
      </c>
      <c r="G437" s="124">
        <v>152.01</v>
      </c>
      <c r="H437" s="124">
        <v>217.12</v>
      </c>
      <c r="I437" s="124">
        <v>69.47</v>
      </c>
      <c r="J437" s="125">
        <v>96.02</v>
      </c>
      <c r="L437" s="39">
        <f t="shared" si="80"/>
        <v>7.8238239557253918E-3</v>
      </c>
      <c r="M437" s="40">
        <f t="shared" si="72"/>
        <v>-2.7783290335384116E-3</v>
      </c>
      <c r="N437" s="40">
        <f t="shared" si="73"/>
        <v>1.0522680642736724E-2</v>
      </c>
      <c r="O437" s="40">
        <f t="shared" si="74"/>
        <v>1.6510596352883187E-2</v>
      </c>
      <c r="P437" s="40">
        <f t="shared" si="75"/>
        <v>1.4948786564547295E-2</v>
      </c>
      <c r="Q437" s="40">
        <f t="shared" si="76"/>
        <v>-1.7730496453901381E-3</v>
      </c>
      <c r="R437" s="40">
        <f t="shared" si="77"/>
        <v>2.4199254681824593E-2</v>
      </c>
      <c r="S437" s="40">
        <f t="shared" si="78"/>
        <v>-2.297860117765282E-3</v>
      </c>
      <c r="T437" s="41">
        <f t="shared" si="79"/>
        <v>-1.274933168825837E-2</v>
      </c>
      <c r="V437" s="39">
        <f t="shared" si="81"/>
        <v>7.8238239557253918E-3</v>
      </c>
      <c r="W437" s="40" cm="1">
        <f t="array" ref="W437">IF(M437="","",SUMPRODUCT(M437:T437,TRANSPOSE('04_Dashboard'!$C$53:$C$60)))</f>
        <v>4.4842376009366254E-3</v>
      </c>
      <c r="X437" s="42">
        <f t="shared" si="82"/>
        <v>1.4319112588050791</v>
      </c>
      <c r="Y437" s="118">
        <f t="shared" si="83"/>
        <v>1.4546714877481621</v>
      </c>
      <c r="AA437" s="43">
        <f>IF(X437="","",X437/MAX($X$4:X437)-1)</f>
        <v>-1.729398136818272E-3</v>
      </c>
      <c r="AB437" s="44">
        <f>IF(Y437="","",Y437/MAX($Y$4:Y437)-1)</f>
        <v>-6.2555730295273948E-3</v>
      </c>
    </row>
    <row r="438" spans="1:28" x14ac:dyDescent="0.45">
      <c r="A438" s="121">
        <v>45835</v>
      </c>
      <c r="B438" s="124">
        <v>614.91</v>
      </c>
      <c r="C438" s="124">
        <v>201.08</v>
      </c>
      <c r="D438" s="124">
        <v>495.94</v>
      </c>
      <c r="E438" s="124">
        <v>287.11</v>
      </c>
      <c r="F438" s="124">
        <v>109.38</v>
      </c>
      <c r="G438" s="124">
        <v>152.41</v>
      </c>
      <c r="H438" s="124">
        <v>223.3</v>
      </c>
      <c r="I438" s="124">
        <v>70.33</v>
      </c>
      <c r="J438" s="125">
        <v>97.27</v>
      </c>
      <c r="L438" s="39">
        <f t="shared" si="80"/>
        <v>4.9683756353473179E-3</v>
      </c>
      <c r="M438" s="40">
        <f t="shared" si="72"/>
        <v>3.9800995024881844E-4</v>
      </c>
      <c r="N438" s="40">
        <f t="shared" si="73"/>
        <v>-3.0354809528595657E-3</v>
      </c>
      <c r="O438" s="40">
        <f t="shared" si="74"/>
        <v>-5.6796536796536326E-3</v>
      </c>
      <c r="P438" s="40">
        <f t="shared" si="75"/>
        <v>-5.545958723520315E-3</v>
      </c>
      <c r="Q438" s="40">
        <f t="shared" si="76"/>
        <v>2.6314058285639478E-3</v>
      </c>
      <c r="R438" s="40">
        <f t="shared" si="77"/>
        <v>2.8463522476050142E-2</v>
      </c>
      <c r="S438" s="40">
        <f t="shared" si="78"/>
        <v>1.2379444364473866E-2</v>
      </c>
      <c r="T438" s="41">
        <f t="shared" si="79"/>
        <v>1.3018121224744845E-2</v>
      </c>
      <c r="V438" s="39">
        <f t="shared" si="81"/>
        <v>4.9683756353473179E-3</v>
      </c>
      <c r="W438" s="40" cm="1">
        <f t="array" ref="W438">IF(M438="","",SUMPRODUCT(M438:T438,TRANSPOSE('04_Dashboard'!$C$53:$C$60)))</f>
        <v>4.4424327464750446E-3</v>
      </c>
      <c r="X438" s="42">
        <f t="shared" si="82"/>
        <v>1.4390255318153058</v>
      </c>
      <c r="Y438" s="118">
        <f t="shared" si="83"/>
        <v>1.4611337680006984</v>
      </c>
      <c r="AA438" s="43">
        <f>IF(X438="","",X438/MAX($X$4:X438)-1)</f>
        <v>0</v>
      </c>
      <c r="AB438" s="44">
        <f>IF(Y438="","",Y438/MAX($Y$4:Y438)-1)</f>
        <v>-1.8409302455265619E-3</v>
      </c>
    </row>
    <row r="439" spans="1:28" x14ac:dyDescent="0.45">
      <c r="A439" s="121">
        <v>45838</v>
      </c>
      <c r="B439" s="124">
        <v>617.85</v>
      </c>
      <c r="C439" s="124">
        <v>205.17</v>
      </c>
      <c r="D439" s="124">
        <v>497.41</v>
      </c>
      <c r="E439" s="124">
        <v>289.91000000000003</v>
      </c>
      <c r="F439" s="124">
        <v>107.8</v>
      </c>
      <c r="G439" s="124">
        <v>152.75</v>
      </c>
      <c r="H439" s="124">
        <v>219.39</v>
      </c>
      <c r="I439" s="124">
        <v>70.75</v>
      </c>
      <c r="J439" s="125">
        <v>97.78</v>
      </c>
      <c r="L439" s="39">
        <f t="shared" si="80"/>
        <v>4.7811874908524092E-3</v>
      </c>
      <c r="M439" s="40">
        <f t="shared" si="72"/>
        <v>2.0340163119156429E-2</v>
      </c>
      <c r="N439" s="40">
        <f t="shared" si="73"/>
        <v>2.964068234060627E-3</v>
      </c>
      <c r="O439" s="40">
        <f t="shared" si="74"/>
        <v>9.7523597227543845E-3</v>
      </c>
      <c r="P439" s="40">
        <f t="shared" si="75"/>
        <v>-1.4445053940391282E-2</v>
      </c>
      <c r="Q439" s="40">
        <f t="shared" si="76"/>
        <v>2.2308247490322383E-3</v>
      </c>
      <c r="R439" s="40">
        <f t="shared" si="77"/>
        <v>-1.7510076130765898E-2</v>
      </c>
      <c r="S439" s="40">
        <f t="shared" si="78"/>
        <v>5.9718470069671792E-3</v>
      </c>
      <c r="T439" s="41">
        <f t="shared" si="79"/>
        <v>5.2431376580652318E-3</v>
      </c>
      <c r="V439" s="39">
        <f t="shared" si="81"/>
        <v>4.7811874908524092E-3</v>
      </c>
      <c r="W439" s="40" cm="1">
        <f t="array" ref="W439">IF(M439="","",SUMPRODUCT(M439:T439,TRANSPOSE('04_Dashboard'!$C$53:$C$60)))</f>
        <v>3.7143119654628946E-3</v>
      </c>
      <c r="X439" s="42">
        <f t="shared" si="82"/>
        <v>1.4459057826870383</v>
      </c>
      <c r="Y439" s="118">
        <f t="shared" si="83"/>
        <v>1.4665608746383252</v>
      </c>
      <c r="AA439" s="43">
        <f>IF(X439="","",X439/MAX($X$4:X439)-1)</f>
        <v>0</v>
      </c>
      <c r="AB439" s="44">
        <f>IF(Y439="","",Y439/MAX($Y$4:Y439)-1)</f>
        <v>0</v>
      </c>
    </row>
    <row r="440" spans="1:28" x14ac:dyDescent="0.45">
      <c r="A440" s="121">
        <v>45839</v>
      </c>
      <c r="B440" s="124">
        <v>617.65</v>
      </c>
      <c r="C440" s="124">
        <v>207.82</v>
      </c>
      <c r="D440" s="124">
        <v>492.05</v>
      </c>
      <c r="E440" s="124">
        <v>290.41000000000003</v>
      </c>
      <c r="F440" s="124">
        <v>109.24</v>
      </c>
      <c r="G440" s="124">
        <v>155.91999999999999</v>
      </c>
      <c r="H440" s="124">
        <v>220.46</v>
      </c>
      <c r="I440" s="124">
        <v>71.67</v>
      </c>
      <c r="J440" s="125">
        <v>98.24</v>
      </c>
      <c r="L440" s="39">
        <f t="shared" si="80"/>
        <v>-3.2370316419850364E-4</v>
      </c>
      <c r="M440" s="40">
        <f t="shared" si="72"/>
        <v>1.2916118340888072E-2</v>
      </c>
      <c r="N440" s="40">
        <f t="shared" si="73"/>
        <v>-1.0775818741078814E-2</v>
      </c>
      <c r="O440" s="40">
        <f t="shared" si="74"/>
        <v>1.7246731744334448E-3</v>
      </c>
      <c r="P440" s="40">
        <f t="shared" si="75"/>
        <v>1.3358070500927624E-2</v>
      </c>
      <c r="Q440" s="40">
        <f t="shared" si="76"/>
        <v>2.0752864157119393E-2</v>
      </c>
      <c r="R440" s="40">
        <f t="shared" si="77"/>
        <v>4.8771593965085992E-3</v>
      </c>
      <c r="S440" s="40">
        <f t="shared" si="78"/>
        <v>1.3003533568904617E-2</v>
      </c>
      <c r="T440" s="41">
        <f t="shared" si="79"/>
        <v>4.7044385354877661E-3</v>
      </c>
      <c r="V440" s="39">
        <f t="shared" si="81"/>
        <v>-3.2370316419850364E-4</v>
      </c>
      <c r="W440" s="40" cm="1">
        <f t="array" ref="W440">IF(M440="","",SUMPRODUCT(M440:T440,TRANSPOSE('04_Dashboard'!$C$53:$C$60)))</f>
        <v>8.8164403787655884E-3</v>
      </c>
      <c r="X440" s="42">
        <f t="shared" si="82"/>
        <v>1.4454377384100496</v>
      </c>
      <c r="Y440" s="118">
        <f t="shared" si="83"/>
        <v>1.4794907211514043</v>
      </c>
      <c r="AA440" s="43">
        <f>IF(X440="","",X440/MAX($X$4:X440)-1)</f>
        <v>-3.2370316419849665E-4</v>
      </c>
      <c r="AB440" s="44">
        <f>IF(Y440="","",Y440/MAX($Y$4:Y440)-1)</f>
        <v>0</v>
      </c>
    </row>
    <row r="441" spans="1:28" x14ac:dyDescent="0.45">
      <c r="A441" s="121">
        <v>45840</v>
      </c>
      <c r="B441" s="124">
        <v>620.45000000000005</v>
      </c>
      <c r="C441" s="124">
        <v>212.44</v>
      </c>
      <c r="D441" s="124">
        <v>491.09</v>
      </c>
      <c r="E441" s="124">
        <v>292</v>
      </c>
      <c r="F441" s="124">
        <v>111.05</v>
      </c>
      <c r="G441" s="124">
        <v>155.56</v>
      </c>
      <c r="H441" s="124">
        <v>219.92</v>
      </c>
      <c r="I441" s="124">
        <v>70.91</v>
      </c>
      <c r="J441" s="125">
        <v>97.61</v>
      </c>
      <c r="L441" s="39">
        <f t="shared" si="80"/>
        <v>4.5333117461346531E-3</v>
      </c>
      <c r="M441" s="40">
        <f t="shared" si="72"/>
        <v>2.2230776633625274E-2</v>
      </c>
      <c r="N441" s="40">
        <f t="shared" si="73"/>
        <v>-1.9510212376791715E-3</v>
      </c>
      <c r="O441" s="40">
        <f t="shared" si="74"/>
        <v>5.4750180778897935E-3</v>
      </c>
      <c r="P441" s="40">
        <f t="shared" si="75"/>
        <v>1.6569022336140628E-2</v>
      </c>
      <c r="Q441" s="40">
        <f t="shared" si="76"/>
        <v>-2.3088763468444413E-3</v>
      </c>
      <c r="R441" s="40">
        <f t="shared" si="77"/>
        <v>-2.4494239317791001E-3</v>
      </c>
      <c r="S441" s="40">
        <f t="shared" si="78"/>
        <v>-1.060415794614211E-2</v>
      </c>
      <c r="T441" s="41">
        <f t="shared" si="79"/>
        <v>-6.4128664495113549E-3</v>
      </c>
      <c r="V441" s="39">
        <f t="shared" si="81"/>
        <v>4.5333117461346531E-3</v>
      </c>
      <c r="W441" s="40" cm="1">
        <f t="array" ref="W441">IF(M441="","",SUMPRODUCT(M441:T441,TRANSPOSE('04_Dashboard'!$C$53:$C$60)))</f>
        <v>1.2579473840291806E-4</v>
      </c>
      <c r="X441" s="42">
        <f t="shared" si="82"/>
        <v>1.4519903582878901</v>
      </c>
      <c r="Y441" s="118">
        <f t="shared" si="83"/>
        <v>1.4796768332996413</v>
      </c>
      <c r="AA441" s="43">
        <f>IF(X441="","",X441/MAX($X$4:X441)-1)</f>
        <v>0</v>
      </c>
      <c r="AB441" s="44">
        <f>IF(Y441="","",Y441/MAX($Y$4:Y441)-1)</f>
        <v>0</v>
      </c>
    </row>
    <row r="442" spans="1:28" x14ac:dyDescent="0.45">
      <c r="A442" s="121">
        <v>45841</v>
      </c>
      <c r="B442" s="124">
        <v>625.34</v>
      </c>
      <c r="C442" s="124">
        <v>213.55</v>
      </c>
      <c r="D442" s="124">
        <v>498.84</v>
      </c>
      <c r="E442" s="124">
        <v>296</v>
      </c>
      <c r="F442" s="124">
        <v>112.2</v>
      </c>
      <c r="G442" s="124">
        <v>156.01</v>
      </c>
      <c r="H442" s="124">
        <v>223.41</v>
      </c>
      <c r="I442" s="124">
        <v>71.349999999999994</v>
      </c>
      <c r="J442" s="125">
        <v>98.36</v>
      </c>
      <c r="L442" s="39">
        <f t="shared" si="80"/>
        <v>7.8813764203400534E-3</v>
      </c>
      <c r="M442" s="40">
        <f t="shared" si="72"/>
        <v>5.2250047072115125E-3</v>
      </c>
      <c r="N442" s="40">
        <f t="shared" si="73"/>
        <v>1.5781221364719298E-2</v>
      </c>
      <c r="O442" s="40">
        <f t="shared" si="74"/>
        <v>1.3698630136986301E-2</v>
      </c>
      <c r="P442" s="40">
        <f t="shared" si="75"/>
        <v>1.0355695632597981E-2</v>
      </c>
      <c r="Q442" s="40">
        <f t="shared" si="76"/>
        <v>2.892774492157294E-3</v>
      </c>
      <c r="R442" s="40">
        <f t="shared" si="77"/>
        <v>1.586940705711172E-2</v>
      </c>
      <c r="S442" s="40">
        <f t="shared" si="78"/>
        <v>6.2050486532223628E-3</v>
      </c>
      <c r="T442" s="41">
        <f t="shared" si="79"/>
        <v>7.6836389714168632E-3</v>
      </c>
      <c r="V442" s="39">
        <f t="shared" si="81"/>
        <v>7.8813764203400534E-3</v>
      </c>
      <c r="W442" s="40" cm="1">
        <f t="array" ref="W442">IF(M442="","",SUMPRODUCT(M442:T442,TRANSPOSE('04_Dashboard'!$C$53:$C$60)))</f>
        <v>8.9140227720850718E-3</v>
      </c>
      <c r="X442" s="42">
        <f t="shared" si="82"/>
        <v>1.4634340408602613</v>
      </c>
      <c r="Y442" s="118">
        <f t="shared" si="83"/>
        <v>1.4928667062870009</v>
      </c>
      <c r="AA442" s="43">
        <f>IF(X442="","",X442/MAX($X$4:X442)-1)</f>
        <v>0</v>
      </c>
      <c r="AB442" s="44">
        <f>IF(Y442="","",Y442/MAX($Y$4:Y442)-1)</f>
        <v>0</v>
      </c>
    </row>
    <row r="443" spans="1:28" x14ac:dyDescent="0.45">
      <c r="A443" s="121">
        <v>45845</v>
      </c>
      <c r="B443" s="124">
        <v>620.67999999999995</v>
      </c>
      <c r="C443" s="124">
        <v>209.95</v>
      </c>
      <c r="D443" s="124">
        <v>497.72</v>
      </c>
      <c r="E443" s="124">
        <v>291.97000000000003</v>
      </c>
      <c r="F443" s="124">
        <v>111.11</v>
      </c>
      <c r="G443" s="124">
        <v>155.27000000000001</v>
      </c>
      <c r="H443" s="124">
        <v>223.47</v>
      </c>
      <c r="I443" s="124">
        <v>71.010000000000005</v>
      </c>
      <c r="J443" s="125">
        <v>99.35</v>
      </c>
      <c r="L443" s="39">
        <f t="shared" si="80"/>
        <v>-7.451946141299264E-3</v>
      </c>
      <c r="M443" s="40">
        <f t="shared" si="72"/>
        <v>-1.6857878716928225E-2</v>
      </c>
      <c r="N443" s="40">
        <f t="shared" si="73"/>
        <v>-2.2452088846121958E-3</v>
      </c>
      <c r="O443" s="40">
        <f t="shared" si="74"/>
        <v>-1.3614864864864773E-2</v>
      </c>
      <c r="P443" s="40">
        <f t="shared" si="75"/>
        <v>-9.7147950089126866E-3</v>
      </c>
      <c r="Q443" s="40">
        <f t="shared" si="76"/>
        <v>-4.7432856868148245E-3</v>
      </c>
      <c r="R443" s="40">
        <f t="shared" si="77"/>
        <v>2.685645226265712E-4</v>
      </c>
      <c r="S443" s="40">
        <f t="shared" si="78"/>
        <v>-4.7652417659423858E-3</v>
      </c>
      <c r="T443" s="41">
        <f t="shared" si="79"/>
        <v>1.0065067100447285E-2</v>
      </c>
      <c r="V443" s="39">
        <f t="shared" si="81"/>
        <v>-7.451946141299264E-3</v>
      </c>
      <c r="W443" s="40" cm="1">
        <f t="array" ref="W443">IF(M443="","",SUMPRODUCT(M443:T443,TRANSPOSE('04_Dashboard'!$C$53:$C$60)))</f>
        <v>-5.1610943620700907E-3</v>
      </c>
      <c r="X443" s="42">
        <f t="shared" si="82"/>
        <v>1.4525286092064267</v>
      </c>
      <c r="Y443" s="118">
        <f t="shared" si="83"/>
        <v>1.4851618803458608</v>
      </c>
      <c r="AA443" s="43">
        <f>IF(X443="","",X443/MAX($X$4:X443)-1)</f>
        <v>-7.4519461412992927E-3</v>
      </c>
      <c r="AB443" s="44">
        <f>IF(Y443="","",Y443/MAX($Y$4:Y443)-1)</f>
        <v>-5.1610943620701288E-3</v>
      </c>
    </row>
    <row r="444" spans="1:28" x14ac:dyDescent="0.45">
      <c r="A444" s="121">
        <v>45846</v>
      </c>
      <c r="B444" s="124">
        <v>620.34</v>
      </c>
      <c r="C444" s="124">
        <v>210.01</v>
      </c>
      <c r="D444" s="124">
        <v>496.62</v>
      </c>
      <c r="E444" s="124">
        <v>282.77999999999997</v>
      </c>
      <c r="F444" s="124">
        <v>114.19</v>
      </c>
      <c r="G444" s="124">
        <v>155.79</v>
      </c>
      <c r="H444" s="124">
        <v>219.36</v>
      </c>
      <c r="I444" s="124">
        <v>70.239999999999995</v>
      </c>
      <c r="J444" s="125">
        <v>97.09</v>
      </c>
      <c r="L444" s="39">
        <f t="shared" si="80"/>
        <v>-5.47786298897851E-4</v>
      </c>
      <c r="M444" s="40">
        <f t="shared" si="72"/>
        <v>2.8578232912599322E-4</v>
      </c>
      <c r="N444" s="40">
        <f t="shared" si="73"/>
        <v>-2.2100779554770204E-3</v>
      </c>
      <c r="O444" s="40">
        <f t="shared" si="74"/>
        <v>-3.147583655855072E-2</v>
      </c>
      <c r="P444" s="40">
        <f t="shared" si="75"/>
        <v>2.7720277202772012E-2</v>
      </c>
      <c r="Q444" s="40">
        <f t="shared" si="76"/>
        <v>3.3490049591033797E-3</v>
      </c>
      <c r="R444" s="40">
        <f t="shared" si="77"/>
        <v>-1.8391730433615184E-2</v>
      </c>
      <c r="S444" s="40">
        <f t="shared" si="78"/>
        <v>-1.084354316293494E-2</v>
      </c>
      <c r="T444" s="41">
        <f t="shared" si="79"/>
        <v>-2.2747861097131263E-2</v>
      </c>
      <c r="V444" s="39">
        <f t="shared" si="81"/>
        <v>-5.47786298897851E-4</v>
      </c>
      <c r="W444" s="40" cm="1">
        <f t="array" ref="W444">IF(M444="","",SUMPRODUCT(M444:T444,TRANSPOSE('04_Dashboard'!$C$53:$C$60)))</f>
        <v>-1.1438937079837397E-2</v>
      </c>
      <c r="X444" s="42">
        <f t="shared" si="82"/>
        <v>1.4517329339355463</v>
      </c>
      <c r="Y444" s="118">
        <f t="shared" si="83"/>
        <v>1.4681732070432116</v>
      </c>
      <c r="AA444" s="43">
        <f>IF(X444="","",X444/MAX($X$4:X444)-1)</f>
        <v>-7.9956503662007572E-3</v>
      </c>
      <c r="AB444" s="44">
        <f>IF(Y444="","",Y444/MAX($Y$4:Y444)-1)</f>
        <v>-1.6540994008236609E-2</v>
      </c>
    </row>
    <row r="445" spans="1:28" x14ac:dyDescent="0.45">
      <c r="A445" s="121">
        <v>45847</v>
      </c>
      <c r="B445" s="124">
        <v>624.05999999999995</v>
      </c>
      <c r="C445" s="124">
        <v>211.14</v>
      </c>
      <c r="D445" s="124">
        <v>503.51</v>
      </c>
      <c r="E445" s="124">
        <v>283.16000000000003</v>
      </c>
      <c r="F445" s="124">
        <v>113.8</v>
      </c>
      <c r="G445" s="124">
        <v>156.28</v>
      </c>
      <c r="H445" s="124">
        <v>222.54</v>
      </c>
      <c r="I445" s="124">
        <v>69.48</v>
      </c>
      <c r="J445" s="125">
        <v>96.81</v>
      </c>
      <c r="L445" s="39">
        <f t="shared" si="80"/>
        <v>5.9967114808007118E-3</v>
      </c>
      <c r="M445" s="40">
        <f t="shared" si="72"/>
        <v>5.3806961573258198E-3</v>
      </c>
      <c r="N445" s="40">
        <f t="shared" si="73"/>
        <v>1.3873786798759587E-2</v>
      </c>
      <c r="O445" s="40">
        <f t="shared" si="74"/>
        <v>1.3438008345712296E-3</v>
      </c>
      <c r="P445" s="40">
        <f t="shared" si="75"/>
        <v>-3.4153603643051105E-3</v>
      </c>
      <c r="Q445" s="40">
        <f t="shared" si="76"/>
        <v>3.1452596443931518E-3</v>
      </c>
      <c r="R445" s="40">
        <f t="shared" si="77"/>
        <v>1.4496717724288741E-2</v>
      </c>
      <c r="S445" s="40">
        <f t="shared" si="78"/>
        <v>-1.0820045558086432E-2</v>
      </c>
      <c r="T445" s="41">
        <f t="shared" si="79"/>
        <v>-2.8839221341023908E-3</v>
      </c>
      <c r="V445" s="39">
        <f t="shared" si="81"/>
        <v>5.9967114808007118E-3</v>
      </c>
      <c r="W445" s="40" cm="1">
        <f t="array" ref="W445">IF(M445="","",SUMPRODUCT(M445:T445,TRANSPOSE('04_Dashboard'!$C$53:$C$60)))</f>
        <v>1.3035990040541716E-3</v>
      </c>
      <c r="X445" s="42">
        <f t="shared" si="82"/>
        <v>1.4604385574875338</v>
      </c>
      <c r="Y445" s="118">
        <f t="shared" si="83"/>
        <v>1.4700871161736921</v>
      </c>
      <c r="AA445" s="43">
        <f>IF(X445="","",X445/MAX($X$4:X445)-1)</f>
        <v>-2.0468864937477349E-3</v>
      </c>
      <c r="AB445" s="44">
        <f>IF(Y445="","",Y445/MAX($Y$4:Y445)-1)</f>
        <v>-1.5258957827497754E-2</v>
      </c>
    </row>
    <row r="446" spans="1:28" x14ac:dyDescent="0.45">
      <c r="A446" s="121">
        <v>45848</v>
      </c>
      <c r="B446" s="124">
        <v>625.82000000000005</v>
      </c>
      <c r="C446" s="124">
        <v>212.41</v>
      </c>
      <c r="D446" s="124">
        <v>501.48</v>
      </c>
      <c r="E446" s="124">
        <v>288.19</v>
      </c>
      <c r="F446" s="124">
        <v>114.93</v>
      </c>
      <c r="G446" s="124">
        <v>157.69</v>
      </c>
      <c r="H446" s="124">
        <v>222.26</v>
      </c>
      <c r="I446" s="124">
        <v>69.77</v>
      </c>
      <c r="J446" s="125">
        <v>94.86</v>
      </c>
      <c r="L446" s="39">
        <f t="shared" si="80"/>
        <v>2.8202416434318892E-3</v>
      </c>
      <c r="M446" s="40">
        <f t="shared" si="72"/>
        <v>6.0149663730226875E-3</v>
      </c>
      <c r="N446" s="40">
        <f t="shared" si="73"/>
        <v>-4.0316974836646195E-3</v>
      </c>
      <c r="O446" s="40">
        <f t="shared" si="74"/>
        <v>1.7763808447520738E-2</v>
      </c>
      <c r="P446" s="40">
        <f t="shared" si="75"/>
        <v>9.9297012302285558E-3</v>
      </c>
      <c r="Q446" s="40">
        <f t="shared" si="76"/>
        <v>9.0222677245968552E-3</v>
      </c>
      <c r="R446" s="40">
        <f t="shared" si="77"/>
        <v>-1.2582007728947657E-3</v>
      </c>
      <c r="S446" s="40">
        <f t="shared" si="78"/>
        <v>4.1738629821530225E-3</v>
      </c>
      <c r="T446" s="41">
        <f t="shared" si="79"/>
        <v>-2.0142547257514749E-2</v>
      </c>
      <c r="V446" s="39">
        <f t="shared" si="81"/>
        <v>2.8202416434318892E-3</v>
      </c>
      <c r="W446" s="40" cm="1">
        <f t="array" ref="W446">IF(M446="","",SUMPRODUCT(M446:T446,TRANSPOSE('04_Dashboard'!$C$53:$C$60)))</f>
        <v>4.5896962217557855E-3</v>
      </c>
      <c r="X446" s="42">
        <f t="shared" si="82"/>
        <v>1.4645573471250339</v>
      </c>
      <c r="Y446" s="118">
        <f t="shared" si="83"/>
        <v>1.4768343694564463</v>
      </c>
      <c r="AA446" s="43">
        <f>IF(X446="","",X446/MAX($X$4:X446)-1)</f>
        <v>0</v>
      </c>
      <c r="AB446" s="44">
        <f>IF(Y446="","",Y446/MAX($Y$4:Y446)-1)</f>
        <v>-1.0739295586830844E-2</v>
      </c>
    </row>
    <row r="447" spans="1:28" x14ac:dyDescent="0.45">
      <c r="A447" s="121">
        <v>45849</v>
      </c>
      <c r="B447" s="124">
        <v>623.62</v>
      </c>
      <c r="C447" s="124">
        <v>211.16</v>
      </c>
      <c r="D447" s="124">
        <v>503.32</v>
      </c>
      <c r="E447" s="124">
        <v>286.86</v>
      </c>
      <c r="F447" s="124">
        <v>115.43</v>
      </c>
      <c r="G447" s="124">
        <v>156.9</v>
      </c>
      <c r="H447" s="124">
        <v>225.02</v>
      </c>
      <c r="I447" s="124">
        <v>69.87</v>
      </c>
      <c r="J447" s="125">
        <v>94.4</v>
      </c>
      <c r="L447" s="39">
        <f t="shared" si="80"/>
        <v>-3.5153878111917887E-3</v>
      </c>
      <c r="M447" s="40">
        <f t="shared" si="72"/>
        <v>-5.8848453462642999E-3</v>
      </c>
      <c r="N447" s="40">
        <f t="shared" si="73"/>
        <v>3.6691393475312573E-3</v>
      </c>
      <c r="O447" s="40">
        <f t="shared" si="74"/>
        <v>-4.6150109302889901E-3</v>
      </c>
      <c r="P447" s="40">
        <f t="shared" si="75"/>
        <v>4.350474201687984E-3</v>
      </c>
      <c r="Q447" s="40">
        <f t="shared" si="76"/>
        <v>-5.0098294121376881E-3</v>
      </c>
      <c r="R447" s="40">
        <f t="shared" si="77"/>
        <v>1.2417888958877079E-2</v>
      </c>
      <c r="S447" s="40">
        <f t="shared" si="78"/>
        <v>1.4332807797048665E-3</v>
      </c>
      <c r="T447" s="41">
        <f t="shared" si="79"/>
        <v>-4.8492515285683511E-3</v>
      </c>
      <c r="V447" s="39">
        <f t="shared" si="81"/>
        <v>-3.5153878111917887E-3</v>
      </c>
      <c r="W447" s="40" cm="1">
        <f t="array" ref="W447">IF(M447="","",SUMPRODUCT(M447:T447,TRANSPOSE('04_Dashboard'!$C$53:$C$60)))</f>
        <v>-1.7098307818446774E-3</v>
      </c>
      <c r="X447" s="42">
        <f t="shared" si="82"/>
        <v>1.4594088600781592</v>
      </c>
      <c r="Y447" s="118">
        <f t="shared" si="83"/>
        <v>1.4743092325918634</v>
      </c>
      <c r="AA447" s="43">
        <f>IF(X447="","",X447/MAX($X$4:X447)-1)</f>
        <v>-3.5153878111917614E-3</v>
      </c>
      <c r="AB447" s="44">
        <f>IF(Y447="","",Y447/MAX($Y$4:Y447)-1)</f>
        <v>-1.24307639905058E-2</v>
      </c>
    </row>
    <row r="448" spans="1:28" x14ac:dyDescent="0.45">
      <c r="A448" s="121">
        <v>45852</v>
      </c>
      <c r="B448" s="124">
        <v>624.80999999999995</v>
      </c>
      <c r="C448" s="124">
        <v>208.62</v>
      </c>
      <c r="D448" s="124">
        <v>503.02</v>
      </c>
      <c r="E448" s="124">
        <v>288.7</v>
      </c>
      <c r="F448" s="124">
        <v>113.92</v>
      </c>
      <c r="G448" s="124">
        <v>156.82</v>
      </c>
      <c r="H448" s="124">
        <v>225.69</v>
      </c>
      <c r="I448" s="124">
        <v>69.47</v>
      </c>
      <c r="J448" s="125">
        <v>95.78</v>
      </c>
      <c r="L448" s="39">
        <f t="shared" si="80"/>
        <v>1.9082133350436818E-3</v>
      </c>
      <c r="M448" s="40">
        <f t="shared" si="72"/>
        <v>-1.202879333207043E-2</v>
      </c>
      <c r="N448" s="40">
        <f t="shared" si="73"/>
        <v>-5.9604227926569853E-4</v>
      </c>
      <c r="O448" s="40">
        <f t="shared" si="74"/>
        <v>6.4142787422435156E-3</v>
      </c>
      <c r="P448" s="40">
        <f t="shared" si="75"/>
        <v>-1.3081521268301179E-2</v>
      </c>
      <c r="Q448" s="40">
        <f t="shared" si="76"/>
        <v>-5.0987890376043656E-4</v>
      </c>
      <c r="R448" s="40">
        <f t="shared" si="77"/>
        <v>2.9775131099457268E-3</v>
      </c>
      <c r="S448" s="40">
        <f t="shared" si="78"/>
        <v>-5.7249177043080818E-3</v>
      </c>
      <c r="T448" s="41">
        <f t="shared" si="79"/>
        <v>1.4618644067796562E-2</v>
      </c>
      <c r="V448" s="39">
        <f t="shared" si="81"/>
        <v>1.9082133350436818E-3</v>
      </c>
      <c r="W448" s="40" cm="1">
        <f t="array" ref="W448">IF(M448="","",SUMPRODUCT(M448:T448,TRANSPOSE('04_Dashboard'!$C$53:$C$60)))</f>
        <v>1.5070886788796905E-3</v>
      </c>
      <c r="X448" s="42">
        <f t="shared" si="82"/>
        <v>1.4621937235262412</v>
      </c>
      <c r="Y448" s="118">
        <f t="shared" si="83"/>
        <v>1.4765311473454705</v>
      </c>
      <c r="AA448" s="43">
        <f>IF(X448="","",X448/MAX($X$4:X448)-1)</f>
        <v>-1.6138825860473327E-3</v>
      </c>
      <c r="AB448" s="44">
        <f>IF(Y448="","",Y448/MAX($Y$4:Y448)-1)</f>
        <v>-1.0942409575306011E-2</v>
      </c>
    </row>
    <row r="449" spans="1:28" x14ac:dyDescent="0.45">
      <c r="A449" s="121">
        <v>45853</v>
      </c>
      <c r="B449" s="124">
        <v>622.14</v>
      </c>
      <c r="C449" s="124">
        <v>209.11</v>
      </c>
      <c r="D449" s="124">
        <v>505.82</v>
      </c>
      <c r="E449" s="124">
        <v>286.55</v>
      </c>
      <c r="F449" s="124">
        <v>112.91</v>
      </c>
      <c r="G449" s="124">
        <v>155.16999999999999</v>
      </c>
      <c r="H449" s="124">
        <v>226.35</v>
      </c>
      <c r="I449" s="124">
        <v>69.36</v>
      </c>
      <c r="J449" s="125">
        <v>95.39</v>
      </c>
      <c r="L449" s="39">
        <f t="shared" si="80"/>
        <v>-4.2732990829211425E-3</v>
      </c>
      <c r="M449" s="40">
        <f t="shared" si="72"/>
        <v>2.3487680951011845E-3</v>
      </c>
      <c r="N449" s="40">
        <f t="shared" si="73"/>
        <v>5.5663790704147181E-3</v>
      </c>
      <c r="O449" s="40">
        <f t="shared" si="74"/>
        <v>-7.4471770003463021E-3</v>
      </c>
      <c r="P449" s="40">
        <f t="shared" si="75"/>
        <v>-8.8658707865168981E-3</v>
      </c>
      <c r="Q449" s="40">
        <f t="shared" si="76"/>
        <v>-1.052161714067087E-2</v>
      </c>
      <c r="R449" s="40">
        <f t="shared" si="77"/>
        <v>2.9243652798085721E-3</v>
      </c>
      <c r="S449" s="40">
        <f t="shared" si="78"/>
        <v>-1.5834173024326967E-3</v>
      </c>
      <c r="T449" s="41">
        <f t="shared" si="79"/>
        <v>-4.0718312800167109E-3</v>
      </c>
      <c r="V449" s="39">
        <f t="shared" si="81"/>
        <v>-4.2732990829211425E-3</v>
      </c>
      <c r="W449" s="40" cm="1">
        <f t="array" ref="W449">IF(M449="","",SUMPRODUCT(M449:T449,TRANSPOSE('04_Dashboard'!$C$53:$C$60)))</f>
        <v>-4.7799511268595603E-3</v>
      </c>
      <c r="X449" s="42">
        <f t="shared" si="82"/>
        <v>1.4559453324284435</v>
      </c>
      <c r="Y449" s="118">
        <f t="shared" si="83"/>
        <v>1.4694734006238732</v>
      </c>
      <c r="AA449" s="43">
        <f>IF(X449="","",X449/MAX($X$4:X449)-1)</f>
        <v>-5.8802850659935846E-3</v>
      </c>
      <c r="AB449" s="44">
        <f>IF(Y449="","",Y449/MAX($Y$4:Y449)-1)</f>
        <v>-1.5670056519185516E-2</v>
      </c>
    </row>
    <row r="450" spans="1:28" x14ac:dyDescent="0.45">
      <c r="A450" s="121">
        <v>45854</v>
      </c>
      <c r="B450" s="124">
        <v>624.22</v>
      </c>
      <c r="C450" s="124">
        <v>210.16</v>
      </c>
      <c r="D450" s="124">
        <v>505.62</v>
      </c>
      <c r="E450" s="124">
        <v>285.82</v>
      </c>
      <c r="F450" s="124">
        <v>112.23</v>
      </c>
      <c r="G450" s="124">
        <v>164.78</v>
      </c>
      <c r="H450" s="124">
        <v>223.19</v>
      </c>
      <c r="I450" s="124">
        <v>69.27</v>
      </c>
      <c r="J450" s="125">
        <v>95.15</v>
      </c>
      <c r="L450" s="39">
        <f t="shared" si="80"/>
        <v>3.3432989359308855E-3</v>
      </c>
      <c r="M450" s="40">
        <f t="shared" si="72"/>
        <v>5.0212806656782689E-3</v>
      </c>
      <c r="N450" s="40">
        <f t="shared" si="73"/>
        <v>-3.9539757225888386E-4</v>
      </c>
      <c r="O450" s="40">
        <f t="shared" si="74"/>
        <v>-2.5475484208690217E-3</v>
      </c>
      <c r="P450" s="40">
        <f t="shared" si="75"/>
        <v>-6.0224957931094914E-3</v>
      </c>
      <c r="Q450" s="40">
        <f t="shared" si="76"/>
        <v>6.1932074498936743E-2</v>
      </c>
      <c r="R450" s="40">
        <f t="shared" si="77"/>
        <v>-1.3960680362270805E-2</v>
      </c>
      <c r="S450" s="40">
        <f t="shared" si="78"/>
        <v>-1.2975778546713294E-3</v>
      </c>
      <c r="T450" s="41">
        <f t="shared" si="79"/>
        <v>-2.5159870007337758E-3</v>
      </c>
      <c r="V450" s="39">
        <f t="shared" si="81"/>
        <v>3.3432989359308855E-3</v>
      </c>
      <c r="W450" s="40" cm="1">
        <f t="array" ref="W450">IF(M450="","",SUMPRODUCT(M450:T450,TRANSPOSE('04_Dashboard'!$C$53:$C$60)))</f>
        <v>1.2546179597487784E-2</v>
      </c>
      <c r="X450" s="42">
        <f t="shared" si="82"/>
        <v>1.4608129929091251</v>
      </c>
      <c r="Y450" s="118">
        <f t="shared" si="83"/>
        <v>1.4879096778218313</v>
      </c>
      <c r="AA450" s="43">
        <f>IF(X450="","",X450/MAX($X$4:X450)-1)</f>
        <v>-2.5566456808666649E-3</v>
      </c>
      <c r="AB450" s="44">
        <f>IF(Y450="","",Y450/MAX($Y$4:Y450)-1)</f>
        <v>-3.3204762650903552E-3</v>
      </c>
    </row>
    <row r="451" spans="1:28" x14ac:dyDescent="0.45">
      <c r="A451" s="121">
        <v>45855</v>
      </c>
      <c r="B451" s="124">
        <v>628.04</v>
      </c>
      <c r="C451" s="124">
        <v>210.02</v>
      </c>
      <c r="D451" s="124">
        <v>511.7</v>
      </c>
      <c r="E451" s="124">
        <v>289.89999999999998</v>
      </c>
      <c r="F451" s="124">
        <v>111.66</v>
      </c>
      <c r="G451" s="124">
        <v>162.97999999999999</v>
      </c>
      <c r="H451" s="124">
        <v>223.88</v>
      </c>
      <c r="I451" s="124">
        <v>70.59</v>
      </c>
      <c r="J451" s="125">
        <v>95.09</v>
      </c>
      <c r="L451" s="39">
        <f t="shared" si="80"/>
        <v>6.1196373073594823E-3</v>
      </c>
      <c r="M451" s="40">
        <f t="shared" si="72"/>
        <v>-6.6615911686327735E-4</v>
      </c>
      <c r="N451" s="40">
        <f t="shared" si="73"/>
        <v>1.2024840789525698E-2</v>
      </c>
      <c r="O451" s="40">
        <f t="shared" si="74"/>
        <v>1.4274718354208887E-2</v>
      </c>
      <c r="P451" s="40">
        <f t="shared" si="75"/>
        <v>-5.0788559208768368E-3</v>
      </c>
      <c r="Q451" s="40">
        <f t="shared" si="76"/>
        <v>-1.0923655783468936E-2</v>
      </c>
      <c r="R451" s="40">
        <f t="shared" si="77"/>
        <v>3.0915363591558658E-3</v>
      </c>
      <c r="S451" s="40">
        <f t="shared" si="78"/>
        <v>1.9055868341273385E-2</v>
      </c>
      <c r="T451" s="41">
        <f t="shared" si="79"/>
        <v>-6.3058328954285095E-4</v>
      </c>
      <c r="V451" s="39">
        <f t="shared" si="81"/>
        <v>6.1196373073594823E-3</v>
      </c>
      <c r="W451" s="40" cm="1">
        <f t="array" ref="W451">IF(M451="","",SUMPRODUCT(M451:T451,TRANSPOSE('04_Dashboard'!$C$53:$C$60)))</f>
        <v>4.0854685645174155E-3</v>
      </c>
      <c r="X451" s="42">
        <f t="shared" si="82"/>
        <v>1.4697526385996074</v>
      </c>
      <c r="Y451" s="118">
        <f t="shared" si="83"/>
        <v>1.4939884860374137</v>
      </c>
      <c r="AA451" s="43">
        <f>IF(X451="","",X451/MAX($X$4:X451)-1)</f>
        <v>0</v>
      </c>
      <c r="AB451" s="44">
        <f>IF(Y451="","",Y451/MAX($Y$4:Y451)-1)</f>
        <v>0</v>
      </c>
    </row>
    <row r="452" spans="1:28" x14ac:dyDescent="0.45">
      <c r="A452" s="121">
        <v>45856</v>
      </c>
      <c r="B452" s="124">
        <v>627.58000000000004</v>
      </c>
      <c r="C452" s="124">
        <v>211.18</v>
      </c>
      <c r="D452" s="124">
        <v>510.05</v>
      </c>
      <c r="E452" s="124">
        <v>291.27</v>
      </c>
      <c r="F452" s="124">
        <v>107.77</v>
      </c>
      <c r="G452" s="124">
        <v>163.69999999999999</v>
      </c>
      <c r="H452" s="124">
        <v>226.13</v>
      </c>
      <c r="I452" s="124">
        <v>69.849999999999994</v>
      </c>
      <c r="J452" s="125">
        <v>95.05</v>
      </c>
      <c r="L452" s="39">
        <f t="shared" si="80"/>
        <v>-7.3243742436775161E-4</v>
      </c>
      <c r="M452" s="40">
        <f t="shared" ref="M452:M515" si="84">IF(C452="","",(C452-C451)/C451)</f>
        <v>5.5232834968098115E-3</v>
      </c>
      <c r="N452" s="40">
        <f t="shared" ref="N452:N515" si="85">IF(D452="","",(D452-D451)/D451)</f>
        <v>-3.2245456322063265E-3</v>
      </c>
      <c r="O452" s="40">
        <f t="shared" ref="O452:O515" si="86">IF(E452="","",(E452-E451)/E451)</f>
        <v>4.7257675060365803E-3</v>
      </c>
      <c r="P452" s="40">
        <f t="shared" ref="P452:P515" si="87">IF(F452="","",(F452-F451)/F451)</f>
        <v>-3.4837900770195239E-2</v>
      </c>
      <c r="Q452" s="40">
        <f t="shared" ref="Q452:Q515" si="88">IF(G452="","",(G452-G451)/G451)</f>
        <v>4.4177199656399487E-3</v>
      </c>
      <c r="R452" s="40">
        <f t="shared" ref="R452:R515" si="89">IF(H452="","",(H452-H451)/H451)</f>
        <v>1.0050026800071468E-2</v>
      </c>
      <c r="S452" s="40">
        <f t="shared" ref="S452:S515" si="90">IF(I452="","",(I452-I451)/I451)</f>
        <v>-1.0483071256552047E-2</v>
      </c>
      <c r="T452" s="41">
        <f t="shared" ref="T452:T515" si="91">IF(J452="","",(J452-J451)/J451)</f>
        <v>-4.2065411715223736E-4</v>
      </c>
      <c r="V452" s="39">
        <f t="shared" si="81"/>
        <v>-7.3243742436775161E-4</v>
      </c>
      <c r="W452" s="40" cm="1">
        <f t="array" ref="W452">IF(M452="","",SUMPRODUCT(M452:T452,TRANSPOSE('04_Dashboard'!$C$53:$C$60)))</f>
        <v>-2.5472059722111344E-4</v>
      </c>
      <c r="X452" s="42">
        <f t="shared" si="82"/>
        <v>1.4686761367625336</v>
      </c>
      <c r="Y452" s="118">
        <f t="shared" si="83"/>
        <v>1.4936079363980088</v>
      </c>
      <c r="AA452" s="43">
        <f>IF(X452="","",X452/MAX($X$4:X452)-1)</f>
        <v>-7.3243742436790438E-4</v>
      </c>
      <c r="AB452" s="44">
        <f>IF(Y452="","",Y452/MAX($Y$4:Y452)-1)</f>
        <v>-2.5472059722109197E-4</v>
      </c>
    </row>
    <row r="453" spans="1:28" x14ac:dyDescent="0.45">
      <c r="A453" s="121">
        <v>45859</v>
      </c>
      <c r="B453" s="124">
        <v>628.77</v>
      </c>
      <c r="C453" s="124">
        <v>212.48</v>
      </c>
      <c r="D453" s="124">
        <v>510.06</v>
      </c>
      <c r="E453" s="124">
        <v>290.97000000000003</v>
      </c>
      <c r="F453" s="124">
        <v>108.05</v>
      </c>
      <c r="G453" s="124">
        <v>164.36</v>
      </c>
      <c r="H453" s="124">
        <v>229.3</v>
      </c>
      <c r="I453" s="124">
        <v>70.069999999999993</v>
      </c>
      <c r="J453" s="125">
        <v>95.67</v>
      </c>
      <c r="L453" s="39">
        <f t="shared" ref="L453:L516" si="92">IF(B453="","",(B453-B452)/B452)</f>
        <v>1.8961725995091316E-3</v>
      </c>
      <c r="M453" s="40">
        <f t="shared" si="84"/>
        <v>6.155885974050492E-3</v>
      </c>
      <c r="N453" s="40">
        <f t="shared" si="85"/>
        <v>1.9605920988120585E-5</v>
      </c>
      <c r="O453" s="40">
        <f t="shared" si="86"/>
        <v>-1.0299721907506938E-3</v>
      </c>
      <c r="P453" s="40">
        <f t="shared" si="87"/>
        <v>2.5981256379326448E-3</v>
      </c>
      <c r="Q453" s="40">
        <f t="shared" si="88"/>
        <v>4.0317654245572701E-3</v>
      </c>
      <c r="R453" s="40">
        <f t="shared" si="89"/>
        <v>1.4018484942289904E-2</v>
      </c>
      <c r="S453" s="40">
        <f t="shared" si="90"/>
        <v>3.1496062992125823E-3</v>
      </c>
      <c r="T453" s="41">
        <f t="shared" si="91"/>
        <v>6.522882693319354E-3</v>
      </c>
      <c r="V453" s="39">
        <f t="shared" ref="V453:V516" si="93">L453</f>
        <v>1.8961725995091316E-3</v>
      </c>
      <c r="W453" s="40" cm="1">
        <f t="array" ref="W453">IF(M453="","",SUMPRODUCT(M453:T453,TRANSPOSE('04_Dashboard'!$C$53:$C$60)))</f>
        <v>3.5643220257536592E-3</v>
      </c>
      <c r="X453" s="42">
        <f t="shared" si="82"/>
        <v>1.4714610002106154</v>
      </c>
      <c r="Y453" s="118">
        <f t="shared" si="83"/>
        <v>1.4989316360635527</v>
      </c>
      <c r="AA453" s="43">
        <f>IF(X453="","",X453/MAX($X$4:X453)-1)</f>
        <v>0</v>
      </c>
      <c r="AB453" s="44">
        <f>IF(Y453="","",Y453/MAX($Y$4:Y453)-1)</f>
        <v>0</v>
      </c>
    </row>
    <row r="454" spans="1:28" x14ac:dyDescent="0.45">
      <c r="A454" s="121">
        <v>45860</v>
      </c>
      <c r="B454" s="124">
        <v>628.86</v>
      </c>
      <c r="C454" s="124">
        <v>214.4</v>
      </c>
      <c r="D454" s="124">
        <v>505.27</v>
      </c>
      <c r="E454" s="124">
        <v>291.43</v>
      </c>
      <c r="F454" s="124">
        <v>108.54</v>
      </c>
      <c r="G454" s="124">
        <v>167.93</v>
      </c>
      <c r="H454" s="124">
        <v>227.47</v>
      </c>
      <c r="I454" s="124">
        <v>69.66</v>
      </c>
      <c r="J454" s="125">
        <v>95.85</v>
      </c>
      <c r="L454" s="39">
        <f t="shared" si="92"/>
        <v>1.4313660002867795E-4</v>
      </c>
      <c r="M454" s="40">
        <f t="shared" si="84"/>
        <v>9.0361445783133289E-3</v>
      </c>
      <c r="N454" s="40">
        <f t="shared" si="85"/>
        <v>-9.3910520330941858E-3</v>
      </c>
      <c r="O454" s="40">
        <f t="shared" si="86"/>
        <v>1.5809189950853335E-3</v>
      </c>
      <c r="P454" s="40">
        <f t="shared" si="87"/>
        <v>4.5349375289218796E-3</v>
      </c>
      <c r="Q454" s="40">
        <f t="shared" si="88"/>
        <v>2.1720613287904558E-2</v>
      </c>
      <c r="R454" s="40">
        <f t="shared" si="89"/>
        <v>-7.9808111644134871E-3</v>
      </c>
      <c r="S454" s="40">
        <f t="shared" si="90"/>
        <v>-5.8512915655772315E-3</v>
      </c>
      <c r="T454" s="41">
        <f t="shared" si="91"/>
        <v>1.8814675446847768E-3</v>
      </c>
      <c r="V454" s="39">
        <f t="shared" si="93"/>
        <v>1.4313660002867795E-4</v>
      </c>
      <c r="W454" s="40" cm="1">
        <f t="array" ref="W454">IF(M454="","",SUMPRODUCT(M454:T454,TRANSPOSE('04_Dashboard'!$C$53:$C$60)))</f>
        <v>4.5022628396163928E-3</v>
      </c>
      <c r="X454" s="42">
        <f t="shared" ref="X454:X517" si="94">IF(V454="","",X453*(1+V454))</f>
        <v>1.4716716201352602</v>
      </c>
      <c r="Y454" s="118">
        <f t="shared" ref="Y454:Y517" si="95">IF(W454="","",Y453*(1+W454))</f>
        <v>1.5056802202677269</v>
      </c>
      <c r="AA454" s="43">
        <f>IF(X454="","",X454/MAX($X$4:X454)-1)</f>
        <v>0</v>
      </c>
      <c r="AB454" s="44">
        <f>IF(Y454="","",Y454/MAX($Y$4:Y454)-1)</f>
        <v>0</v>
      </c>
    </row>
    <row r="455" spans="1:28" x14ac:dyDescent="0.45">
      <c r="A455" s="121">
        <v>45861</v>
      </c>
      <c r="B455" s="124">
        <v>634.21</v>
      </c>
      <c r="C455" s="124">
        <v>214.15</v>
      </c>
      <c r="D455" s="124">
        <v>505.87</v>
      </c>
      <c r="E455" s="124">
        <v>296.76</v>
      </c>
      <c r="F455" s="124">
        <v>109.93</v>
      </c>
      <c r="G455" s="124">
        <v>169.1</v>
      </c>
      <c r="H455" s="124">
        <v>228.29</v>
      </c>
      <c r="I455" s="124">
        <v>69.16</v>
      </c>
      <c r="J455" s="125">
        <v>95.68</v>
      </c>
      <c r="L455" s="39">
        <f t="shared" si="92"/>
        <v>8.5074579397640526E-3</v>
      </c>
      <c r="M455" s="40">
        <f t="shared" si="84"/>
        <v>-1.1660447761194029E-3</v>
      </c>
      <c r="N455" s="40">
        <f t="shared" si="85"/>
        <v>1.1874839194886352E-3</v>
      </c>
      <c r="O455" s="40">
        <f t="shared" si="86"/>
        <v>1.8289126033695858E-2</v>
      </c>
      <c r="P455" s="40">
        <f t="shared" si="87"/>
        <v>1.2806338676985447E-2</v>
      </c>
      <c r="Q455" s="40">
        <f t="shared" si="88"/>
        <v>6.9671887095812983E-3</v>
      </c>
      <c r="R455" s="40">
        <f t="shared" si="89"/>
        <v>3.6048709719962773E-3</v>
      </c>
      <c r="S455" s="40">
        <f t="shared" si="90"/>
        <v>-7.1777203560149296E-3</v>
      </c>
      <c r="T455" s="41">
        <f t="shared" si="91"/>
        <v>-1.7736045905058686E-3</v>
      </c>
      <c r="V455" s="39">
        <f t="shared" si="93"/>
        <v>8.5074579397640526E-3</v>
      </c>
      <c r="W455" s="40" cm="1">
        <f t="array" ref="W455">IF(M455="","",SUMPRODUCT(M455:T455,TRANSPOSE('04_Dashboard'!$C$53:$C$60)))</f>
        <v>5.6762980710982937E-3</v>
      </c>
      <c r="X455" s="42">
        <f t="shared" si="94"/>
        <v>1.4841918045447056</v>
      </c>
      <c r="Y455" s="118">
        <f t="shared" si="95"/>
        <v>1.5142269099977235</v>
      </c>
      <c r="AA455" s="43">
        <f>IF(X455="","",X455/MAX($X$4:X455)-1)</f>
        <v>0</v>
      </c>
      <c r="AB455" s="44">
        <f>IF(Y455="","",Y455/MAX($Y$4:Y455)-1)</f>
        <v>0</v>
      </c>
    </row>
    <row r="456" spans="1:28" x14ac:dyDescent="0.45">
      <c r="A456" s="121">
        <v>45862</v>
      </c>
      <c r="B456" s="124">
        <v>634.41999999999996</v>
      </c>
      <c r="C456" s="124">
        <v>213.76</v>
      </c>
      <c r="D456" s="124">
        <v>510.88</v>
      </c>
      <c r="E456" s="124">
        <v>296.55</v>
      </c>
      <c r="F456" s="124">
        <v>110.79</v>
      </c>
      <c r="G456" s="124">
        <v>169.56</v>
      </c>
      <c r="H456" s="124">
        <v>232.23</v>
      </c>
      <c r="I456" s="124">
        <v>69.099999999999994</v>
      </c>
      <c r="J456" s="125">
        <v>96.6</v>
      </c>
      <c r="L456" s="39">
        <f t="shared" si="92"/>
        <v>3.3112060673897082E-4</v>
      </c>
      <c r="M456" s="40">
        <f t="shared" si="84"/>
        <v>-1.8211533971515983E-3</v>
      </c>
      <c r="N456" s="40">
        <f t="shared" si="85"/>
        <v>9.9037302073655114E-3</v>
      </c>
      <c r="O456" s="40">
        <f t="shared" si="86"/>
        <v>-7.0764253942572964E-4</v>
      </c>
      <c r="P456" s="40">
        <f t="shared" si="87"/>
        <v>7.8231601928499903E-3</v>
      </c>
      <c r="Q456" s="40">
        <f t="shared" si="88"/>
        <v>2.7202838557067294E-3</v>
      </c>
      <c r="R456" s="40">
        <f t="shared" si="89"/>
        <v>1.7258749835735238E-2</v>
      </c>
      <c r="S456" s="40">
        <f t="shared" si="90"/>
        <v>-8.6755349913247945E-4</v>
      </c>
      <c r="T456" s="41">
        <f t="shared" si="91"/>
        <v>9.6153846153844841E-3</v>
      </c>
      <c r="V456" s="39">
        <f t="shared" si="93"/>
        <v>3.3112060673897082E-4</v>
      </c>
      <c r="W456" s="40" cm="1">
        <f t="array" ref="W456">IF(M456="","",SUMPRODUCT(M456:T456,TRANSPOSE('04_Dashboard'!$C$53:$C$60)))</f>
        <v>3.9357356843909485E-3</v>
      </c>
      <c r="X456" s="42">
        <f t="shared" si="94"/>
        <v>1.4846832510355432</v>
      </c>
      <c r="Y456" s="118">
        <f t="shared" si="95"/>
        <v>1.5201865068816667</v>
      </c>
      <c r="AA456" s="43">
        <f>IF(X456="","",X456/MAX($X$4:X456)-1)</f>
        <v>0</v>
      </c>
      <c r="AB456" s="44">
        <f>IF(Y456="","",Y456/MAX($Y$4:Y456)-1)</f>
        <v>0</v>
      </c>
    </row>
    <row r="457" spans="1:28" x14ac:dyDescent="0.45">
      <c r="A457" s="121">
        <v>45863</v>
      </c>
      <c r="B457" s="124">
        <v>637.1</v>
      </c>
      <c r="C457" s="124">
        <v>213.88</v>
      </c>
      <c r="D457" s="124">
        <v>513.71</v>
      </c>
      <c r="E457" s="124">
        <v>298.62</v>
      </c>
      <c r="F457" s="124">
        <v>110.4</v>
      </c>
      <c r="G457" s="124">
        <v>168.3</v>
      </c>
      <c r="H457" s="124">
        <v>231.44</v>
      </c>
      <c r="I457" s="124">
        <v>69.17</v>
      </c>
      <c r="J457" s="125">
        <v>97.47</v>
      </c>
      <c r="L457" s="39">
        <f t="shared" si="92"/>
        <v>4.2243308849028464E-3</v>
      </c>
      <c r="M457" s="40">
        <f t="shared" si="84"/>
        <v>5.6137724550900337E-4</v>
      </c>
      <c r="N457" s="40">
        <f t="shared" si="85"/>
        <v>5.5394613216411702E-3</v>
      </c>
      <c r="O457" s="40">
        <f t="shared" si="86"/>
        <v>6.9802731411228907E-3</v>
      </c>
      <c r="P457" s="40">
        <f t="shared" si="87"/>
        <v>-3.5201733008394308E-3</v>
      </c>
      <c r="Q457" s="40">
        <f t="shared" si="88"/>
        <v>-7.4309978768576958E-3</v>
      </c>
      <c r="R457" s="40">
        <f t="shared" si="89"/>
        <v>-3.4017999397149036E-3</v>
      </c>
      <c r="S457" s="40">
        <f t="shared" si="90"/>
        <v>1.0130246020261563E-3</v>
      </c>
      <c r="T457" s="41">
        <f t="shared" si="91"/>
        <v>9.0062111801242715E-3</v>
      </c>
      <c r="V457" s="39">
        <f t="shared" si="93"/>
        <v>4.2243308849028464E-3</v>
      </c>
      <c r="W457" s="40" cm="1">
        <f t="array" ref="W457">IF(M457="","",SUMPRODUCT(M457:T457,TRANSPOSE('04_Dashboard'!$C$53:$C$60)))</f>
        <v>1.2620451464493256E-3</v>
      </c>
      <c r="X457" s="42">
        <f t="shared" si="94"/>
        <v>1.4909550443471906</v>
      </c>
      <c r="Y457" s="118">
        <f t="shared" si="95"/>
        <v>1.5221050508843745</v>
      </c>
      <c r="AA457" s="43">
        <f>IF(X457="","",X457/MAX($X$4:X457)-1)</f>
        <v>0</v>
      </c>
      <c r="AB457" s="44">
        <f>IF(Y457="","",Y457/MAX($Y$4:Y457)-1)</f>
        <v>0</v>
      </c>
    </row>
    <row r="458" spans="1:28" x14ac:dyDescent="0.45">
      <c r="A458" s="121">
        <v>45866</v>
      </c>
      <c r="B458" s="124">
        <v>636.94000000000005</v>
      </c>
      <c r="C458" s="124">
        <v>214.05</v>
      </c>
      <c r="D458" s="124">
        <v>512.5</v>
      </c>
      <c r="E458" s="124">
        <v>298.27999999999997</v>
      </c>
      <c r="F458" s="124">
        <v>111.44</v>
      </c>
      <c r="G458" s="124">
        <v>166.22</v>
      </c>
      <c r="H458" s="124">
        <v>232.79</v>
      </c>
      <c r="I458" s="124">
        <v>68.09</v>
      </c>
      <c r="J458" s="125">
        <v>97.61</v>
      </c>
      <c r="L458" s="39">
        <f t="shared" si="92"/>
        <v>-2.5113796892162638E-4</v>
      </c>
      <c r="M458" s="40">
        <f t="shared" si="84"/>
        <v>7.9483822704327618E-4</v>
      </c>
      <c r="N458" s="40">
        <f t="shared" si="85"/>
        <v>-2.3554145334917292E-3</v>
      </c>
      <c r="O458" s="40">
        <f t="shared" si="86"/>
        <v>-1.1385707588240299E-3</v>
      </c>
      <c r="P458" s="40">
        <f t="shared" si="87"/>
        <v>9.4202898550723915E-3</v>
      </c>
      <c r="Q458" s="40">
        <f t="shared" si="88"/>
        <v>-1.2358882947118314E-2</v>
      </c>
      <c r="R458" s="40">
        <f t="shared" si="89"/>
        <v>5.8330452817144584E-3</v>
      </c>
      <c r="S458" s="40">
        <f t="shared" si="90"/>
        <v>-1.561370536359691E-2</v>
      </c>
      <c r="T458" s="41">
        <f t="shared" si="91"/>
        <v>1.4363393864778966E-3</v>
      </c>
      <c r="V458" s="39">
        <f t="shared" si="93"/>
        <v>-2.5113796892162638E-4</v>
      </c>
      <c r="W458" s="40" cm="1">
        <f t="array" ref="W458">IF(M458="","",SUMPRODUCT(M458:T458,TRANSPOSE('04_Dashboard'!$C$53:$C$60)))</f>
        <v>-4.3927351842629357E-3</v>
      </c>
      <c r="X458" s="42">
        <f t="shared" si="94"/>
        <v>1.4905806089255997</v>
      </c>
      <c r="Y458" s="118">
        <f t="shared" si="95"/>
        <v>1.5154188464732103</v>
      </c>
      <c r="AA458" s="43">
        <f>IF(X458="","",X458/MAX($X$4:X458)-1)</f>
        <v>-2.5113796892162199E-4</v>
      </c>
      <c r="AB458" s="44">
        <f>IF(Y458="","",Y458/MAX($Y$4:Y458)-1)</f>
        <v>-4.3927351842629747E-3</v>
      </c>
    </row>
    <row r="459" spans="1:28" x14ac:dyDescent="0.45">
      <c r="A459" s="121">
        <v>45867</v>
      </c>
      <c r="B459" s="124">
        <v>635.26</v>
      </c>
      <c r="C459" s="124">
        <v>211.27</v>
      </c>
      <c r="D459" s="124">
        <v>512.57000000000005</v>
      </c>
      <c r="E459" s="124">
        <v>297.04000000000002</v>
      </c>
      <c r="F459" s="124">
        <v>112.88</v>
      </c>
      <c r="G459" s="124">
        <v>168.11</v>
      </c>
      <c r="H459" s="124">
        <v>231.01</v>
      </c>
      <c r="I459" s="124">
        <v>69.38</v>
      </c>
      <c r="J459" s="125">
        <v>98.33</v>
      </c>
      <c r="L459" s="39">
        <f t="shared" si="92"/>
        <v>-2.6376110779666273E-3</v>
      </c>
      <c r="M459" s="40">
        <f t="shared" si="84"/>
        <v>-1.298761971501986E-2</v>
      </c>
      <c r="N459" s="40">
        <f t="shared" si="85"/>
        <v>1.3658536585375614E-4</v>
      </c>
      <c r="O459" s="40">
        <f t="shared" si="86"/>
        <v>-4.1571677618343584E-3</v>
      </c>
      <c r="P459" s="40">
        <f t="shared" si="87"/>
        <v>1.2921751615218932E-2</v>
      </c>
      <c r="Q459" s="40">
        <f t="shared" si="88"/>
        <v>1.137047286728441E-2</v>
      </c>
      <c r="R459" s="40">
        <f t="shared" si="89"/>
        <v>-7.6463765625671256E-3</v>
      </c>
      <c r="S459" s="40">
        <f t="shared" si="90"/>
        <v>1.8945513291232074E-2</v>
      </c>
      <c r="T459" s="41">
        <f t="shared" si="91"/>
        <v>7.3762934125601769E-3</v>
      </c>
      <c r="V459" s="39">
        <f t="shared" si="93"/>
        <v>-2.6376110779666273E-3</v>
      </c>
      <c r="W459" s="40" cm="1">
        <f t="array" ref="W459">IF(M459="","",SUMPRODUCT(M459:T459,TRANSPOSE('04_Dashboard'!$C$53:$C$60)))</f>
        <v>4.7533309094342597E-3</v>
      </c>
      <c r="X459" s="42">
        <f t="shared" si="94"/>
        <v>1.4866490369988952</v>
      </c>
      <c r="Y459" s="118">
        <f t="shared" si="95"/>
        <v>1.5226221337168908</v>
      </c>
      <c r="AA459" s="43">
        <f>IF(X459="","",X459/MAX($X$4:X459)-1)</f>
        <v>-2.8880866425995411E-3</v>
      </c>
      <c r="AB459" s="44">
        <f>IF(Y459="","",Y459/MAX($Y$4:Y459)-1)</f>
        <v>0</v>
      </c>
    </row>
    <row r="460" spans="1:28" x14ac:dyDescent="0.45">
      <c r="A460" s="121">
        <v>45868</v>
      </c>
      <c r="B460" s="124">
        <v>634.46</v>
      </c>
      <c r="C460" s="124">
        <v>209.05</v>
      </c>
      <c r="D460" s="124">
        <v>513.24</v>
      </c>
      <c r="E460" s="124">
        <v>299.63</v>
      </c>
      <c r="F460" s="124">
        <v>111.9</v>
      </c>
      <c r="G460" s="124">
        <v>167.26</v>
      </c>
      <c r="H460" s="124">
        <v>230.19</v>
      </c>
      <c r="I460" s="124">
        <v>68.75</v>
      </c>
      <c r="J460" s="125">
        <v>97.59</v>
      </c>
      <c r="L460" s="39">
        <f t="shared" si="92"/>
        <v>-1.2593268897773424E-3</v>
      </c>
      <c r="M460" s="40">
        <f t="shared" si="84"/>
        <v>-1.0507880910683007E-2</v>
      </c>
      <c r="N460" s="40">
        <f t="shared" si="85"/>
        <v>1.3071385371753303E-3</v>
      </c>
      <c r="O460" s="40">
        <f t="shared" si="86"/>
        <v>8.7193643953675428E-3</v>
      </c>
      <c r="P460" s="40">
        <f t="shared" si="87"/>
        <v>-8.6817859673989171E-3</v>
      </c>
      <c r="Q460" s="40">
        <f t="shared" si="88"/>
        <v>-5.0562131937423272E-3</v>
      </c>
      <c r="R460" s="40">
        <f t="shared" si="89"/>
        <v>-3.5496298861520852E-3</v>
      </c>
      <c r="S460" s="40">
        <f t="shared" si="90"/>
        <v>-9.0804266359180673E-3</v>
      </c>
      <c r="T460" s="41">
        <f t="shared" si="91"/>
        <v>-7.5256788365706791E-3</v>
      </c>
      <c r="V460" s="39">
        <f t="shared" si="93"/>
        <v>-1.2593268897773424E-3</v>
      </c>
      <c r="W460" s="40" cm="1">
        <f t="array" ref="W460">IF(M460="","",SUMPRODUCT(M460:T460,TRANSPOSE('04_Dashboard'!$C$53:$C$60)))</f>
        <v>-2.6306414877174172E-3</v>
      </c>
      <c r="X460" s="42">
        <f t="shared" si="94"/>
        <v>1.4847768598909408</v>
      </c>
      <c r="Y460" s="118">
        <f t="shared" si="95"/>
        <v>1.5186166607618183</v>
      </c>
      <c r="AA460" s="43">
        <f>IF(X460="","",X460/MAX($X$4:X460)-1)</f>
        <v>-4.1437764872078731E-3</v>
      </c>
      <c r="AB460" s="44">
        <f>IF(Y460="","",Y460/MAX($Y$4:Y460)-1)</f>
        <v>-2.6306414877174111E-3</v>
      </c>
    </row>
    <row r="461" spans="1:28" x14ac:dyDescent="0.45">
      <c r="A461" s="121">
        <v>45869</v>
      </c>
      <c r="B461" s="124">
        <v>632.08000000000004</v>
      </c>
      <c r="C461" s="124">
        <v>207.57</v>
      </c>
      <c r="D461" s="124">
        <v>533.5</v>
      </c>
      <c r="E461" s="124">
        <v>296.24</v>
      </c>
      <c r="F461" s="124">
        <v>111.64</v>
      </c>
      <c r="G461" s="124">
        <v>164.74</v>
      </c>
      <c r="H461" s="124">
        <v>234.11</v>
      </c>
      <c r="I461" s="124">
        <v>67.89</v>
      </c>
      <c r="J461" s="125">
        <v>97.98</v>
      </c>
      <c r="L461" s="39">
        <f t="shared" si="92"/>
        <v>-3.7512215112063727E-3</v>
      </c>
      <c r="M461" s="40">
        <f t="shared" si="84"/>
        <v>-7.0796460176992017E-3</v>
      </c>
      <c r="N461" s="40">
        <f t="shared" si="85"/>
        <v>3.9474709687475629E-2</v>
      </c>
      <c r="O461" s="40">
        <f t="shared" si="86"/>
        <v>-1.1313953876447574E-2</v>
      </c>
      <c r="P461" s="40">
        <f t="shared" si="87"/>
        <v>-2.3235031277927176E-3</v>
      </c>
      <c r="Q461" s="40">
        <f t="shared" si="88"/>
        <v>-1.5066363745067451E-2</v>
      </c>
      <c r="R461" s="40">
        <f t="shared" si="89"/>
        <v>1.7029410486989079E-2</v>
      </c>
      <c r="S461" s="40">
        <f t="shared" si="90"/>
        <v>-1.25090909090909E-2</v>
      </c>
      <c r="T461" s="41">
        <f t="shared" si="91"/>
        <v>3.9963110974485143E-3</v>
      </c>
      <c r="V461" s="39">
        <f t="shared" si="93"/>
        <v>-3.7512215112063727E-3</v>
      </c>
      <c r="W461" s="40" cm="1">
        <f t="array" ref="W461">IF(M461="","",SUMPRODUCT(M461:T461,TRANSPOSE('04_Dashboard'!$C$53:$C$60)))</f>
        <v>-4.0149997421366265E-3</v>
      </c>
      <c r="X461" s="42">
        <f t="shared" si="94"/>
        <v>1.4792071329947765</v>
      </c>
      <c r="Y461" s="118">
        <f t="shared" si="95"/>
        <v>1.5125194152604553</v>
      </c>
      <c r="AA461" s="43">
        <f>IF(X461="","",X461/MAX($X$4:X461)-1)</f>
        <v>-7.8794537749177218E-3</v>
      </c>
      <c r="AB461" s="44">
        <f>IF(Y461="","",Y461/MAX($Y$4:Y461)-1)</f>
        <v>-6.6350792049592044E-3</v>
      </c>
    </row>
    <row r="462" spans="1:28" x14ac:dyDescent="0.45">
      <c r="A462" s="121">
        <v>45870</v>
      </c>
      <c r="B462" s="124">
        <v>621.72</v>
      </c>
      <c r="C462" s="124">
        <v>202.38</v>
      </c>
      <c r="D462" s="124">
        <v>524.11</v>
      </c>
      <c r="E462" s="124">
        <v>289.37</v>
      </c>
      <c r="F462" s="124">
        <v>109.64</v>
      </c>
      <c r="G462" s="124">
        <v>167.33</v>
      </c>
      <c r="H462" s="124">
        <v>214.75</v>
      </c>
      <c r="I462" s="124">
        <v>68.86</v>
      </c>
      <c r="J462" s="125">
        <v>98.49</v>
      </c>
      <c r="L462" s="39">
        <f t="shared" si="92"/>
        <v>-1.6390330337931927E-2</v>
      </c>
      <c r="M462" s="40">
        <f t="shared" si="84"/>
        <v>-2.5003613238907346E-2</v>
      </c>
      <c r="N462" s="40">
        <f t="shared" si="85"/>
        <v>-1.7600749765698195E-2</v>
      </c>
      <c r="O462" s="40">
        <f t="shared" si="86"/>
        <v>-2.3190656224682703E-2</v>
      </c>
      <c r="P462" s="40">
        <f t="shared" si="87"/>
        <v>-1.791472590469366E-2</v>
      </c>
      <c r="Q462" s="40">
        <f t="shared" si="88"/>
        <v>1.5721743353162579E-2</v>
      </c>
      <c r="R462" s="40">
        <f t="shared" si="89"/>
        <v>-8.2696168467814329E-2</v>
      </c>
      <c r="S462" s="40">
        <f t="shared" si="90"/>
        <v>1.4287818529974943E-2</v>
      </c>
      <c r="T462" s="41">
        <f t="shared" si="91"/>
        <v>5.2051439069196867E-3</v>
      </c>
      <c r="V462" s="39">
        <f t="shared" si="93"/>
        <v>-1.6390330337931927E-2</v>
      </c>
      <c r="W462" s="40" cm="1">
        <f t="array" ref="W462">IF(M462="","",SUMPRODUCT(M462:T462,TRANSPOSE('04_Dashboard'!$C$53:$C$60)))</f>
        <v>-8.5997408484467536E-3</v>
      </c>
      <c r="X462" s="42">
        <f t="shared" si="94"/>
        <v>1.4549624394467668</v>
      </c>
      <c r="Y462" s="118">
        <f t="shared" si="95"/>
        <v>1.4995121402609712</v>
      </c>
      <c r="AA462" s="43">
        <f>IF(X462="","",X462/MAX($X$4:X462)-1)</f>
        <v>-2.4140637262596298E-2</v>
      </c>
      <c r="AB462" s="44">
        <f>IF(Y462="","",Y462/MAX($Y$4:Y462)-1)</f>
        <v>-1.5177760091734327E-2</v>
      </c>
    </row>
    <row r="463" spans="1:28" x14ac:dyDescent="0.45">
      <c r="A463" s="121">
        <v>45873</v>
      </c>
      <c r="B463" s="124">
        <v>631.16999999999996</v>
      </c>
      <c r="C463" s="124">
        <v>203.35</v>
      </c>
      <c r="D463" s="124">
        <v>535.64</v>
      </c>
      <c r="E463" s="124">
        <v>294.26</v>
      </c>
      <c r="F463" s="124">
        <v>107.37</v>
      </c>
      <c r="G463" s="124">
        <v>171.04</v>
      </c>
      <c r="H463" s="124">
        <v>211.65</v>
      </c>
      <c r="I463" s="124">
        <v>68.959999999999994</v>
      </c>
      <c r="J463" s="125">
        <v>99.59</v>
      </c>
      <c r="L463" s="39">
        <f t="shared" si="92"/>
        <v>1.519976838448165E-2</v>
      </c>
      <c r="M463" s="40">
        <f t="shared" si="84"/>
        <v>4.7929637315940257E-3</v>
      </c>
      <c r="N463" s="40">
        <f t="shared" si="85"/>
        <v>2.1999198641506502E-2</v>
      </c>
      <c r="O463" s="40">
        <f t="shared" si="86"/>
        <v>1.6898780108511546E-2</v>
      </c>
      <c r="P463" s="40">
        <f t="shared" si="87"/>
        <v>-2.070412258299887E-2</v>
      </c>
      <c r="Q463" s="40">
        <f t="shared" si="88"/>
        <v>2.2171756409490106E-2</v>
      </c>
      <c r="R463" s="40">
        <f t="shared" si="89"/>
        <v>-1.443538998835853E-2</v>
      </c>
      <c r="S463" s="40">
        <f t="shared" si="90"/>
        <v>1.4522218995061621E-3</v>
      </c>
      <c r="T463" s="41">
        <f t="shared" si="91"/>
        <v>1.116864656310294E-2</v>
      </c>
      <c r="V463" s="39">
        <f t="shared" si="93"/>
        <v>1.519976838448165E-2</v>
      </c>
      <c r="W463" s="40" cm="1">
        <f t="array" ref="W463">IF(M463="","",SUMPRODUCT(M463:T463,TRANSPOSE('04_Dashboard'!$C$53:$C$60)))</f>
        <v>1.0712377002543403E-2</v>
      </c>
      <c r="X463" s="42">
        <f t="shared" si="94"/>
        <v>1.477077531534478</v>
      </c>
      <c r="Y463" s="118">
        <f t="shared" si="95"/>
        <v>1.5155754796273375</v>
      </c>
      <c r="AA463" s="43">
        <f>IF(X463="","",X463/MAX($X$4:X463)-1)</f>
        <v>-9.3078009731600853E-3</v>
      </c>
      <c r="AB463" s="44">
        <f>IF(Y463="","",Y463/MAX($Y$4:Y463)-1)</f>
        <v>-4.6279729773477385E-3</v>
      </c>
    </row>
    <row r="464" spans="1:28" x14ac:dyDescent="0.45">
      <c r="A464" s="121">
        <v>45874</v>
      </c>
      <c r="B464" s="124">
        <v>627.97</v>
      </c>
      <c r="C464" s="124">
        <v>202.92</v>
      </c>
      <c r="D464" s="124">
        <v>527.75</v>
      </c>
      <c r="E464" s="124">
        <v>291.37</v>
      </c>
      <c r="F464" s="124">
        <v>107.24</v>
      </c>
      <c r="G464" s="124">
        <v>170.74</v>
      </c>
      <c r="H464" s="124">
        <v>213.75</v>
      </c>
      <c r="I464" s="124">
        <v>69.05</v>
      </c>
      <c r="J464" s="125">
        <v>99.31</v>
      </c>
      <c r="L464" s="39">
        <f t="shared" si="92"/>
        <v>-5.0699494589412234E-3</v>
      </c>
      <c r="M464" s="40">
        <f t="shared" si="84"/>
        <v>-2.114580772067897E-3</v>
      </c>
      <c r="N464" s="40">
        <f t="shared" si="85"/>
        <v>-1.4730042565902447E-2</v>
      </c>
      <c r="O464" s="40">
        <f t="shared" si="86"/>
        <v>-9.8212465166858786E-3</v>
      </c>
      <c r="P464" s="40">
        <f t="shared" si="87"/>
        <v>-1.2107665083357516E-3</v>
      </c>
      <c r="Q464" s="40">
        <f t="shared" si="88"/>
        <v>-1.7539756782038293E-3</v>
      </c>
      <c r="R464" s="40">
        <f t="shared" si="89"/>
        <v>9.9220411055988382E-3</v>
      </c>
      <c r="S464" s="40">
        <f t="shared" si="90"/>
        <v>1.3051044083527178E-3</v>
      </c>
      <c r="T464" s="41">
        <f t="shared" si="91"/>
        <v>-2.8115272617732817E-3</v>
      </c>
      <c r="V464" s="39">
        <f t="shared" si="93"/>
        <v>-5.0699494589412234E-3</v>
      </c>
      <c r="W464" s="40" cm="1">
        <f t="array" ref="W464">IF(M464="","",SUMPRODUCT(M464:T464,TRANSPOSE('04_Dashboard'!$C$53:$C$60)))</f>
        <v>-3.4069642814761095E-3</v>
      </c>
      <c r="X464" s="42">
        <f t="shared" si="94"/>
        <v>1.4695888231026604</v>
      </c>
      <c r="Y464" s="118">
        <f t="shared" si="95"/>
        <v>1.5104119681023662</v>
      </c>
      <c r="AA464" s="43">
        <f>IF(X464="","",X464/MAX($X$4:X464)-1)</f>
        <v>-1.4330560351593524E-2</v>
      </c>
      <c r="AB464" s="44">
        <f>IF(Y464="","",Y464/MAX($Y$4:Y464)-1)</f>
        <v>-8.0191699201943578E-3</v>
      </c>
    </row>
    <row r="465" spans="1:28" x14ac:dyDescent="0.45">
      <c r="A465" s="121">
        <v>45875</v>
      </c>
      <c r="B465" s="124">
        <v>632.78</v>
      </c>
      <c r="C465" s="124">
        <v>213.25</v>
      </c>
      <c r="D465" s="124">
        <v>524.94000000000005</v>
      </c>
      <c r="E465" s="124">
        <v>291.35000000000002</v>
      </c>
      <c r="F465" s="124">
        <v>106.51</v>
      </c>
      <c r="G465" s="124">
        <v>170.59</v>
      </c>
      <c r="H465" s="124">
        <v>222.31</v>
      </c>
      <c r="I465" s="124">
        <v>69.510000000000005</v>
      </c>
      <c r="J465" s="125">
        <v>103.36</v>
      </c>
      <c r="L465" s="39">
        <f t="shared" si="92"/>
        <v>7.6596015733234792E-3</v>
      </c>
      <c r="M465" s="40">
        <f t="shared" si="84"/>
        <v>5.0906761285235629E-2</v>
      </c>
      <c r="N465" s="40">
        <f t="shared" si="85"/>
        <v>-5.3244907626716163E-3</v>
      </c>
      <c r="O465" s="40">
        <f t="shared" si="86"/>
        <v>-6.8641246524974461E-5</v>
      </c>
      <c r="P465" s="40">
        <f t="shared" si="87"/>
        <v>-6.8071615069003151E-3</v>
      </c>
      <c r="Q465" s="40">
        <f t="shared" si="88"/>
        <v>-8.7852875717468477E-4</v>
      </c>
      <c r="R465" s="40">
        <f t="shared" si="89"/>
        <v>4.0046783625731004E-2</v>
      </c>
      <c r="S465" s="40">
        <f t="shared" si="90"/>
        <v>6.6618392469226352E-3</v>
      </c>
      <c r="T465" s="41">
        <f t="shared" si="91"/>
        <v>4.0781391602054143E-2</v>
      </c>
      <c r="V465" s="39">
        <f t="shared" si="93"/>
        <v>7.6596015733234792E-3</v>
      </c>
      <c r="W465" s="40" cm="1">
        <f t="array" ref="W465">IF(M465="","",SUMPRODUCT(M465:T465,TRANSPOSE('04_Dashboard'!$C$53:$C$60)))</f>
        <v>1.1435078753442761E-2</v>
      </c>
      <c r="X465" s="42">
        <f t="shared" si="94"/>
        <v>1.480845287964236</v>
      </c>
      <c r="Y465" s="118">
        <f t="shared" si="95"/>
        <v>1.5276836479077591</v>
      </c>
      <c r="AA465" s="43">
        <f>IF(X465="","",X465/MAX($X$4:X465)-1)</f>
        <v>-6.7807251608857921E-3</v>
      </c>
      <c r="AB465" s="44">
        <f>IF(Y465="","",Y465/MAX($Y$4:Y465)-1)</f>
        <v>0</v>
      </c>
    </row>
    <row r="466" spans="1:28" x14ac:dyDescent="0.45">
      <c r="A466" s="121">
        <v>45876</v>
      </c>
      <c r="B466" s="124">
        <v>632.25</v>
      </c>
      <c r="C466" s="124">
        <v>220.03</v>
      </c>
      <c r="D466" s="124">
        <v>520.84</v>
      </c>
      <c r="E466" s="124">
        <v>286.94</v>
      </c>
      <c r="F466" s="124">
        <v>105.95</v>
      </c>
      <c r="G466" s="124">
        <v>171.53</v>
      </c>
      <c r="H466" s="124">
        <v>223.13</v>
      </c>
      <c r="I466" s="124">
        <v>70.430000000000007</v>
      </c>
      <c r="J466" s="125">
        <v>103.12</v>
      </c>
      <c r="L466" s="39">
        <f t="shared" si="92"/>
        <v>-8.37573880337515E-4</v>
      </c>
      <c r="M466" s="40">
        <f t="shared" si="84"/>
        <v>3.1793669402110203E-2</v>
      </c>
      <c r="N466" s="40">
        <f t="shared" si="85"/>
        <v>-7.8104164285442571E-3</v>
      </c>
      <c r="O466" s="40">
        <f t="shared" si="86"/>
        <v>-1.513643384245761E-2</v>
      </c>
      <c r="P466" s="40">
        <f t="shared" si="87"/>
        <v>-5.2577222795981808E-3</v>
      </c>
      <c r="Q466" s="40">
        <f t="shared" si="88"/>
        <v>5.5102878246086973E-3</v>
      </c>
      <c r="R466" s="40">
        <f t="shared" si="89"/>
        <v>3.6885430255048949E-3</v>
      </c>
      <c r="S466" s="40">
        <f t="shared" si="90"/>
        <v>1.3235505682635616E-2</v>
      </c>
      <c r="T466" s="41">
        <f t="shared" si="91"/>
        <v>-2.3219814241485573E-3</v>
      </c>
      <c r="V466" s="39">
        <f t="shared" si="93"/>
        <v>-8.37573880337515E-4</v>
      </c>
      <c r="W466" s="40" cm="1">
        <f t="array" ref="W466">IF(M466="","",SUMPRODUCT(M466:T466,TRANSPOSE('04_Dashboard'!$C$53:$C$60)))</f>
        <v>4.6332746372153348E-4</v>
      </c>
      <c r="X466" s="42">
        <f t="shared" si="94"/>
        <v>1.4796049706302161</v>
      </c>
      <c r="Y466" s="118">
        <f t="shared" si="95"/>
        <v>1.5283914656977131</v>
      </c>
      <c r="AA466" s="43">
        <f>IF(X466="","",X466/MAX($X$4:X466)-1)</f>
        <v>-7.6126196829389148E-3</v>
      </c>
      <c r="AB466" s="44">
        <f>IF(Y466="","",Y466/MAX($Y$4:Y466)-1)</f>
        <v>0</v>
      </c>
    </row>
    <row r="467" spans="1:28" x14ac:dyDescent="0.45">
      <c r="A467" s="121">
        <v>45877</v>
      </c>
      <c r="B467" s="124">
        <v>637.17999999999995</v>
      </c>
      <c r="C467" s="124">
        <v>229.35</v>
      </c>
      <c r="D467" s="124">
        <v>522.04</v>
      </c>
      <c r="E467" s="124">
        <v>288.76</v>
      </c>
      <c r="F467" s="124">
        <v>106.8</v>
      </c>
      <c r="G467" s="124">
        <v>173.33</v>
      </c>
      <c r="H467" s="124">
        <v>222.69</v>
      </c>
      <c r="I467" s="124">
        <v>70.34</v>
      </c>
      <c r="J467" s="125">
        <v>103.73</v>
      </c>
      <c r="L467" s="39">
        <f t="shared" si="92"/>
        <v>7.7975484381177544E-3</v>
      </c>
      <c r="M467" s="40">
        <f t="shared" si="84"/>
        <v>4.2357860291778363E-2</v>
      </c>
      <c r="N467" s="40">
        <f t="shared" si="85"/>
        <v>2.3039705091773516E-3</v>
      </c>
      <c r="O467" s="40">
        <f t="shared" si="86"/>
        <v>6.3427894333309863E-3</v>
      </c>
      <c r="P467" s="40">
        <f t="shared" si="87"/>
        <v>8.0226521944312817E-3</v>
      </c>
      <c r="Q467" s="40">
        <f t="shared" si="88"/>
        <v>1.0493791173555712E-2</v>
      </c>
      <c r="R467" s="40">
        <f t="shared" si="89"/>
        <v>-1.9719446062833224E-3</v>
      </c>
      <c r="S467" s="40">
        <f t="shared" si="90"/>
        <v>-1.2778645463581344E-3</v>
      </c>
      <c r="T467" s="41">
        <f t="shared" si="91"/>
        <v>5.9154383242823834E-3</v>
      </c>
      <c r="V467" s="39">
        <f t="shared" si="93"/>
        <v>7.7975484381177544E-3</v>
      </c>
      <c r="W467" s="40" cm="1">
        <f t="array" ref="W467">IF(M467="","",SUMPRODUCT(M467:T467,TRANSPOSE('04_Dashboard'!$C$53:$C$60)))</f>
        <v>7.4002894351965411E-3</v>
      </c>
      <c r="X467" s="42">
        <f t="shared" si="94"/>
        <v>1.4911422620579853</v>
      </c>
      <c r="Y467" s="118">
        <f t="shared" si="95"/>
        <v>1.5397020049141605</v>
      </c>
      <c r="AA467" s="43">
        <f>IF(X467="","",X467/MAX($X$4:X467)-1)</f>
        <v>0</v>
      </c>
      <c r="AB467" s="44">
        <f>IF(Y467="","",Y467/MAX($Y$4:Y467)-1)</f>
        <v>0</v>
      </c>
    </row>
    <row r="468" spans="1:28" x14ac:dyDescent="0.45">
      <c r="A468" s="121">
        <v>45880</v>
      </c>
      <c r="B468" s="124">
        <v>635.91999999999996</v>
      </c>
      <c r="C468" s="124">
        <v>227.18</v>
      </c>
      <c r="D468" s="124">
        <v>521.77</v>
      </c>
      <c r="E468" s="124">
        <v>289.56</v>
      </c>
      <c r="F468" s="124">
        <v>105.83</v>
      </c>
      <c r="G468" s="124">
        <v>173.82</v>
      </c>
      <c r="H468" s="124">
        <v>221.3</v>
      </c>
      <c r="I468" s="124">
        <v>70.75</v>
      </c>
      <c r="J468" s="125">
        <v>103.94</v>
      </c>
      <c r="L468" s="39">
        <f t="shared" si="92"/>
        <v>-1.9774631972127046E-3</v>
      </c>
      <c r="M468" s="40">
        <f t="shared" si="84"/>
        <v>-9.4615216917374647E-3</v>
      </c>
      <c r="N468" s="40">
        <f t="shared" si="85"/>
        <v>-5.1720174699253284E-4</v>
      </c>
      <c r="O468" s="40">
        <f t="shared" si="86"/>
        <v>2.7704668236598262E-3</v>
      </c>
      <c r="P468" s="40">
        <f t="shared" si="87"/>
        <v>-9.0823970037453086E-3</v>
      </c>
      <c r="Q468" s="40">
        <f t="shared" si="88"/>
        <v>2.8269774418737707E-3</v>
      </c>
      <c r="R468" s="40">
        <f t="shared" si="89"/>
        <v>-6.2418608828415569E-3</v>
      </c>
      <c r="S468" s="40">
        <f t="shared" si="90"/>
        <v>5.8288313903894877E-3</v>
      </c>
      <c r="T468" s="41">
        <f t="shared" si="91"/>
        <v>2.0244866480284753E-3</v>
      </c>
      <c r="V468" s="39">
        <f t="shared" si="93"/>
        <v>-1.9774631972127046E-3</v>
      </c>
      <c r="W468" s="40" cm="1">
        <f t="array" ref="W468">IF(M468="","",SUMPRODUCT(M468:T468,TRANSPOSE('04_Dashboard'!$C$53:$C$60)))</f>
        <v>9.4987060947844038E-4</v>
      </c>
      <c r="X468" s="42">
        <f t="shared" si="94"/>
        <v>1.4881935831129571</v>
      </c>
      <c r="Y468" s="118">
        <f t="shared" si="95"/>
        <v>1.5411645225959834</v>
      </c>
      <c r="AA468" s="43">
        <f>IF(X468="","",X468/MAX($X$4:X468)-1)</f>
        <v>-1.9774631972127032E-3</v>
      </c>
      <c r="AB468" s="44">
        <f>IF(Y468="","",Y468/MAX($Y$4:Y468)-1)</f>
        <v>0</v>
      </c>
    </row>
    <row r="469" spans="1:28" x14ac:dyDescent="0.45">
      <c r="A469" s="121">
        <v>45881</v>
      </c>
      <c r="B469" s="124">
        <v>642.69000000000005</v>
      </c>
      <c r="C469" s="124">
        <v>229.65</v>
      </c>
      <c r="D469" s="124">
        <v>529.24</v>
      </c>
      <c r="E469" s="124">
        <v>292.85000000000002</v>
      </c>
      <c r="F469" s="124">
        <v>106.13</v>
      </c>
      <c r="G469" s="124">
        <v>172.78</v>
      </c>
      <c r="H469" s="124">
        <v>221.47</v>
      </c>
      <c r="I469" s="124">
        <v>70.709999999999994</v>
      </c>
      <c r="J469" s="125">
        <v>103.62</v>
      </c>
      <c r="L469" s="39">
        <f t="shared" si="92"/>
        <v>1.0645993206692817E-2</v>
      </c>
      <c r="M469" s="40">
        <f t="shared" si="84"/>
        <v>1.0872435953869173E-2</v>
      </c>
      <c r="N469" s="40">
        <f t="shared" si="85"/>
        <v>1.431665293136828E-2</v>
      </c>
      <c r="O469" s="40">
        <f t="shared" si="86"/>
        <v>1.1362066583782362E-2</v>
      </c>
      <c r="P469" s="40">
        <f t="shared" si="87"/>
        <v>2.8347349522819349E-3</v>
      </c>
      <c r="Q469" s="40">
        <f t="shared" si="88"/>
        <v>-5.9832010125416644E-3</v>
      </c>
      <c r="R469" s="40">
        <f t="shared" si="89"/>
        <v>7.6818798011743105E-4</v>
      </c>
      <c r="S469" s="40">
        <f t="shared" si="90"/>
        <v>-5.6537102473507071E-4</v>
      </c>
      <c r="T469" s="41">
        <f t="shared" si="91"/>
        <v>-3.0786992495669924E-3</v>
      </c>
      <c r="V469" s="39">
        <f t="shared" si="93"/>
        <v>1.0645993206692817E-2</v>
      </c>
      <c r="W469" s="40" cm="1">
        <f t="array" ref="W469">IF(M469="","",SUMPRODUCT(M469:T469,TRANSPOSE('04_Dashboard'!$C$53:$C$60)))</f>
        <v>2.5311308953915842E-3</v>
      </c>
      <c r="X469" s="42">
        <f t="shared" si="94"/>
        <v>1.5040368818890217</v>
      </c>
      <c r="Y469" s="118">
        <f t="shared" si="95"/>
        <v>1.5450654117340072</v>
      </c>
      <c r="AA469" s="43">
        <f>IF(X469="","",X469/MAX($X$4:X469)-1)</f>
        <v>0</v>
      </c>
      <c r="AB469" s="44">
        <f>IF(Y469="","",Y469/MAX($Y$4:Y469)-1)</f>
        <v>0</v>
      </c>
    </row>
    <row r="470" spans="1:28" x14ac:dyDescent="0.45">
      <c r="A470" s="121">
        <v>45882</v>
      </c>
      <c r="B470" s="124">
        <v>644.89</v>
      </c>
      <c r="C470" s="124">
        <v>233.33</v>
      </c>
      <c r="D470" s="124">
        <v>520.58000000000004</v>
      </c>
      <c r="E470" s="124">
        <v>290.52999999999997</v>
      </c>
      <c r="F470" s="124">
        <v>107.6</v>
      </c>
      <c r="G470" s="124">
        <v>174.42</v>
      </c>
      <c r="H470" s="124">
        <v>224.56</v>
      </c>
      <c r="I470" s="124">
        <v>70.459999999999994</v>
      </c>
      <c r="J470" s="125">
        <v>100.99</v>
      </c>
      <c r="L470" s="39">
        <f t="shared" si="92"/>
        <v>3.4231122314022804E-3</v>
      </c>
      <c r="M470" s="40">
        <f t="shared" si="84"/>
        <v>1.6024384933594631E-2</v>
      </c>
      <c r="N470" s="40">
        <f t="shared" si="85"/>
        <v>-1.6363086690348364E-2</v>
      </c>
      <c r="O470" s="40">
        <f t="shared" si="86"/>
        <v>-7.9221444425475497E-3</v>
      </c>
      <c r="P470" s="40">
        <f t="shared" si="87"/>
        <v>1.3850937529445009E-2</v>
      </c>
      <c r="Q470" s="40">
        <f t="shared" si="88"/>
        <v>9.4918393332560844E-3</v>
      </c>
      <c r="R470" s="40">
        <f t="shared" si="89"/>
        <v>1.3952228292771046E-2</v>
      </c>
      <c r="S470" s="40">
        <f t="shared" si="90"/>
        <v>-3.535567812190638E-3</v>
      </c>
      <c r="T470" s="41">
        <f t="shared" si="91"/>
        <v>-2.5381200540436303E-2</v>
      </c>
      <c r="V470" s="39">
        <f t="shared" si="93"/>
        <v>3.4231122314022804E-3</v>
      </c>
      <c r="W470" s="40" cm="1">
        <f t="array" ref="W470">IF(M470="","",SUMPRODUCT(M470:T470,TRANSPOSE('04_Dashboard'!$C$53:$C$60)))</f>
        <v>-2.1574959218171076E-3</v>
      </c>
      <c r="X470" s="42">
        <f t="shared" si="94"/>
        <v>1.5091853689358963</v>
      </c>
      <c r="Y470" s="118">
        <f t="shared" si="95"/>
        <v>1.5417319394092504</v>
      </c>
      <c r="AA470" s="43">
        <f>IF(X470="","",X470/MAX($X$4:X470)-1)</f>
        <v>0</v>
      </c>
      <c r="AB470" s="44">
        <f>IF(Y470="","",Y470/MAX($Y$4:Y470)-1)</f>
        <v>-2.1574959218171319E-3</v>
      </c>
    </row>
    <row r="471" spans="1:28" x14ac:dyDescent="0.45">
      <c r="A471" s="121">
        <v>45883</v>
      </c>
      <c r="B471" s="124">
        <v>644.95000000000005</v>
      </c>
      <c r="C471" s="124">
        <v>232.78</v>
      </c>
      <c r="D471" s="124">
        <v>522.48</v>
      </c>
      <c r="E471" s="124">
        <v>294.16000000000003</v>
      </c>
      <c r="F471" s="124">
        <v>107.38</v>
      </c>
      <c r="G471" s="124">
        <v>174.72</v>
      </c>
      <c r="H471" s="124">
        <v>230.98</v>
      </c>
      <c r="I471" s="124">
        <v>69.55</v>
      </c>
      <c r="J471" s="125">
        <v>100.85</v>
      </c>
      <c r="L471" s="39">
        <f t="shared" si="92"/>
        <v>9.3039122951292649E-5</v>
      </c>
      <c r="M471" s="40">
        <f t="shared" si="84"/>
        <v>-2.3571765310933497E-3</v>
      </c>
      <c r="N471" s="40">
        <f t="shared" si="85"/>
        <v>3.6497752506818876E-3</v>
      </c>
      <c r="O471" s="40">
        <f t="shared" si="86"/>
        <v>1.2494406773827325E-2</v>
      </c>
      <c r="P471" s="40">
        <f t="shared" si="87"/>
        <v>-2.0446096654274989E-3</v>
      </c>
      <c r="Q471" s="40">
        <f t="shared" si="88"/>
        <v>1.7199862401101444E-3</v>
      </c>
      <c r="R471" s="40">
        <f t="shared" si="89"/>
        <v>2.8589241182757335E-2</v>
      </c>
      <c r="S471" s="40">
        <f t="shared" si="90"/>
        <v>-1.2915129151291466E-2</v>
      </c>
      <c r="T471" s="41">
        <f t="shared" si="91"/>
        <v>-1.3862758688979165E-3</v>
      </c>
      <c r="V471" s="39">
        <f t="shared" si="93"/>
        <v>9.3039122951292649E-5</v>
      </c>
      <c r="W471" s="40" cm="1">
        <f t="array" ref="W471">IF(M471="","",SUMPRODUCT(M471:T471,TRANSPOSE('04_Dashboard'!$C$53:$C$60)))</f>
        <v>3.5088767459402269E-3</v>
      </c>
      <c r="X471" s="42">
        <f t="shared" si="94"/>
        <v>1.5093257822189929</v>
      </c>
      <c r="Y471" s="118">
        <f t="shared" si="95"/>
        <v>1.5471416867599166</v>
      </c>
      <c r="AA471" s="43">
        <f>IF(X471="","",X471/MAX($X$4:X471)-1)</f>
        <v>0</v>
      </c>
      <c r="AB471" s="44">
        <f>IF(Y471="","",Y471/MAX($Y$4:Y471)-1)</f>
        <v>0</v>
      </c>
    </row>
    <row r="472" spans="1:28" x14ac:dyDescent="0.45">
      <c r="A472" s="121">
        <v>45884</v>
      </c>
      <c r="B472" s="124">
        <v>643.44000000000005</v>
      </c>
      <c r="C472" s="124">
        <v>231.59</v>
      </c>
      <c r="D472" s="124">
        <v>520.16999999999996</v>
      </c>
      <c r="E472" s="124">
        <v>290.49</v>
      </c>
      <c r="F472" s="124">
        <v>106.49</v>
      </c>
      <c r="G472" s="124">
        <v>176.64</v>
      </c>
      <c r="H472" s="124">
        <v>231.03</v>
      </c>
      <c r="I472" s="124">
        <v>69.92</v>
      </c>
      <c r="J472" s="125">
        <v>100</v>
      </c>
      <c r="L472" s="39">
        <f t="shared" si="92"/>
        <v>-2.3412667648654794E-3</v>
      </c>
      <c r="M472" s="40">
        <f t="shared" si="84"/>
        <v>-5.1121230346249579E-3</v>
      </c>
      <c r="N472" s="40">
        <f t="shared" si="85"/>
        <v>-4.4212218649518813E-3</v>
      </c>
      <c r="O472" s="40">
        <f t="shared" si="86"/>
        <v>-1.2476203426706607E-2</v>
      </c>
      <c r="P472" s="40">
        <f t="shared" si="87"/>
        <v>-8.2883218476438869E-3</v>
      </c>
      <c r="Q472" s="40">
        <f t="shared" si="88"/>
        <v>1.0989010989010917E-2</v>
      </c>
      <c r="R472" s="40">
        <f t="shared" si="89"/>
        <v>2.1646895835142165E-4</v>
      </c>
      <c r="S472" s="40">
        <f t="shared" si="90"/>
        <v>5.3199137311287503E-3</v>
      </c>
      <c r="T472" s="41">
        <f t="shared" si="91"/>
        <v>-8.4283589489340047E-3</v>
      </c>
      <c r="V472" s="39">
        <f t="shared" si="93"/>
        <v>-2.3412667648654794E-3</v>
      </c>
      <c r="W472" s="40" cm="1">
        <f t="array" ref="W472">IF(M472="","",SUMPRODUCT(M472:T472,TRANSPOSE('04_Dashboard'!$C$53:$C$60)))</f>
        <v>-1.7589804653898107E-3</v>
      </c>
      <c r="X472" s="42">
        <f t="shared" si="94"/>
        <v>1.5057920479277291</v>
      </c>
      <c r="Y472" s="118">
        <f t="shared" si="95"/>
        <v>1.5444202947557157</v>
      </c>
      <c r="AA472" s="43">
        <f>IF(X472="","",X472/MAX($X$4:X472)-1)</f>
        <v>-2.3412667648653462E-3</v>
      </c>
      <c r="AB472" s="44">
        <f>IF(Y472="","",Y472/MAX($Y$4:Y472)-1)</f>
        <v>-1.7589804653898033E-3</v>
      </c>
    </row>
    <row r="473" spans="1:28" x14ac:dyDescent="0.45">
      <c r="A473" s="121">
        <v>45887</v>
      </c>
      <c r="B473" s="124">
        <v>643.29999999999995</v>
      </c>
      <c r="C473" s="124">
        <v>230.89</v>
      </c>
      <c r="D473" s="124">
        <v>517.1</v>
      </c>
      <c r="E473" s="124">
        <v>291.52999999999997</v>
      </c>
      <c r="F473" s="124">
        <v>106.72</v>
      </c>
      <c r="G473" s="124">
        <v>176.25</v>
      </c>
      <c r="H473" s="124">
        <v>231.49</v>
      </c>
      <c r="I473" s="124">
        <v>69.13</v>
      </c>
      <c r="J473" s="125">
        <v>100.7</v>
      </c>
      <c r="L473" s="39">
        <f t="shared" si="92"/>
        <v>-2.1758050478692657E-4</v>
      </c>
      <c r="M473" s="40">
        <f t="shared" si="84"/>
        <v>-3.02258301308354E-3</v>
      </c>
      <c r="N473" s="40">
        <f t="shared" si="85"/>
        <v>-5.9019166810849082E-3</v>
      </c>
      <c r="O473" s="40">
        <f t="shared" si="86"/>
        <v>3.5801576646354904E-3</v>
      </c>
      <c r="P473" s="40">
        <f t="shared" si="87"/>
        <v>2.1598272138229316E-3</v>
      </c>
      <c r="Q473" s="40">
        <f t="shared" si="88"/>
        <v>-2.2078804347825318E-3</v>
      </c>
      <c r="R473" s="40">
        <f t="shared" si="89"/>
        <v>1.9910834090811061E-3</v>
      </c>
      <c r="S473" s="40">
        <f t="shared" si="90"/>
        <v>-1.1298627002288418E-2</v>
      </c>
      <c r="T473" s="41">
        <f t="shared" si="91"/>
        <v>7.0000000000000288E-3</v>
      </c>
      <c r="V473" s="39">
        <f t="shared" si="93"/>
        <v>-2.1758050478692657E-4</v>
      </c>
      <c r="W473" s="40" cm="1">
        <f t="array" ref="W473">IF(M473="","",SUMPRODUCT(M473:T473,TRANSPOSE('04_Dashboard'!$C$53:$C$60)))</f>
        <v>-5.7887954723398753E-4</v>
      </c>
      <c r="X473" s="42">
        <f t="shared" si="94"/>
        <v>1.5054644169338369</v>
      </c>
      <c r="Y473" s="118">
        <f t="shared" si="95"/>
        <v>1.5435262614347485</v>
      </c>
      <c r="AA473" s="43">
        <f>IF(X473="","",X473/MAX($X$4:X473)-1)</f>
        <v>-2.558337855647741E-3</v>
      </c>
      <c r="AB473" s="44">
        <f>IF(Y473="","",Y473/MAX($Y$4:Y473)-1)</f>
        <v>-2.336841774808418E-3</v>
      </c>
    </row>
    <row r="474" spans="1:28" x14ac:dyDescent="0.45">
      <c r="A474" s="121">
        <v>45888</v>
      </c>
      <c r="B474" s="124">
        <v>639.80999999999995</v>
      </c>
      <c r="C474" s="124">
        <v>230.56</v>
      </c>
      <c r="D474" s="124">
        <v>509.77</v>
      </c>
      <c r="E474" s="124">
        <v>290.66000000000003</v>
      </c>
      <c r="F474" s="124">
        <v>107.42</v>
      </c>
      <c r="G474" s="124">
        <v>177.8</v>
      </c>
      <c r="H474" s="124">
        <v>228.01</v>
      </c>
      <c r="I474" s="124">
        <v>70.13</v>
      </c>
      <c r="J474" s="125">
        <v>101.29</v>
      </c>
      <c r="L474" s="39">
        <f t="shared" si="92"/>
        <v>-5.4251515622571259E-3</v>
      </c>
      <c r="M474" s="40">
        <f t="shared" si="84"/>
        <v>-1.429252024773633E-3</v>
      </c>
      <c r="N474" s="40">
        <f t="shared" si="85"/>
        <v>-1.4175207890156721E-2</v>
      </c>
      <c r="O474" s="40">
        <f t="shared" si="86"/>
        <v>-2.9842554797103139E-3</v>
      </c>
      <c r="P474" s="40">
        <f t="shared" si="87"/>
        <v>6.5592203898051241E-3</v>
      </c>
      <c r="Q474" s="40">
        <f t="shared" si="88"/>
        <v>8.7943262411348169E-3</v>
      </c>
      <c r="R474" s="40">
        <f t="shared" si="89"/>
        <v>-1.503304678387843E-2</v>
      </c>
      <c r="S474" s="40">
        <f t="shared" si="90"/>
        <v>1.4465499783017505E-2</v>
      </c>
      <c r="T474" s="41">
        <f t="shared" si="91"/>
        <v>5.8589870903674613E-3</v>
      </c>
      <c r="V474" s="39">
        <f t="shared" si="93"/>
        <v>-5.4251515622571259E-3</v>
      </c>
      <c r="W474" s="40" cm="1">
        <f t="array" ref="W474">IF(M474="","",SUMPRODUCT(M474:T474,TRANSPOSE('04_Dashboard'!$C$53:$C$60)))</f>
        <v>2.387626412394225E-3</v>
      </c>
      <c r="X474" s="42">
        <f t="shared" si="94"/>
        <v>1.4972970443003859</v>
      </c>
      <c r="Y474" s="118">
        <f t="shared" si="95"/>
        <v>1.5472116255047743</v>
      </c>
      <c r="AA474" s="43">
        <f>IF(X474="","",X474/MAX($X$4:X474)-1)</f>
        <v>-7.9696100472904652E-3</v>
      </c>
      <c r="AB474" s="44">
        <f>IF(Y474="","",Y474/MAX($Y$4:Y474)-1)</f>
        <v>0</v>
      </c>
    </row>
    <row r="475" spans="1:28" x14ac:dyDescent="0.45">
      <c r="A475" s="121">
        <v>45889</v>
      </c>
      <c r="B475" s="124">
        <v>638.11</v>
      </c>
      <c r="C475" s="124">
        <v>226.01</v>
      </c>
      <c r="D475" s="124">
        <v>505.72</v>
      </c>
      <c r="E475" s="124">
        <v>292.24</v>
      </c>
      <c r="F475" s="124">
        <v>108.53</v>
      </c>
      <c r="G475" s="124">
        <v>178.84</v>
      </c>
      <c r="H475" s="124">
        <v>223.81</v>
      </c>
      <c r="I475" s="124">
        <v>70.7</v>
      </c>
      <c r="J475" s="125">
        <v>102.57</v>
      </c>
      <c r="L475" s="39">
        <f t="shared" si="92"/>
        <v>-2.6570388083961361E-3</v>
      </c>
      <c r="M475" s="40">
        <f t="shared" si="84"/>
        <v>-1.9734559333796024E-2</v>
      </c>
      <c r="N475" s="40">
        <f t="shared" si="85"/>
        <v>-7.9447594012985352E-3</v>
      </c>
      <c r="O475" s="40">
        <f t="shared" si="86"/>
        <v>5.4359044932222661E-3</v>
      </c>
      <c r="P475" s="40">
        <f t="shared" si="87"/>
        <v>1.0333271271644009E-2</v>
      </c>
      <c r="Q475" s="40">
        <f t="shared" si="88"/>
        <v>5.8492688413947806E-3</v>
      </c>
      <c r="R475" s="40">
        <f t="shared" si="89"/>
        <v>-1.8420244726108453E-2</v>
      </c>
      <c r="S475" s="40">
        <f t="shared" si="90"/>
        <v>8.1277627263654281E-3</v>
      </c>
      <c r="T475" s="41">
        <f t="shared" si="91"/>
        <v>1.2636982920327642E-2</v>
      </c>
      <c r="V475" s="39">
        <f t="shared" si="93"/>
        <v>-2.6570388083961361E-3</v>
      </c>
      <c r="W475" s="40" cm="1">
        <f t="array" ref="W475">IF(M475="","",SUMPRODUCT(M475:T475,TRANSPOSE('04_Dashboard'!$C$53:$C$60)))</f>
        <v>3.1042538532450184E-3</v>
      </c>
      <c r="X475" s="42">
        <f t="shared" si="94"/>
        <v>1.4933186679459829</v>
      </c>
      <c r="Y475" s="118">
        <f t="shared" si="95"/>
        <v>1.5520145631550331</v>
      </c>
      <c r="AA475" s="43">
        <f>IF(X475="","",X475/MAX($X$4:X475)-1)</f>
        <v>-1.0605473292503165E-2</v>
      </c>
      <c r="AB475" s="44">
        <f>IF(Y475="","",Y475/MAX($Y$4:Y475)-1)</f>
        <v>0</v>
      </c>
    </row>
    <row r="476" spans="1:28" x14ac:dyDescent="0.45">
      <c r="A476" s="121">
        <v>45890</v>
      </c>
      <c r="B476" s="124">
        <v>635.54999999999995</v>
      </c>
      <c r="C476" s="124">
        <v>224.9</v>
      </c>
      <c r="D476" s="124">
        <v>504.24</v>
      </c>
      <c r="E476" s="124">
        <v>291.47000000000003</v>
      </c>
      <c r="F476" s="124">
        <v>109.23</v>
      </c>
      <c r="G476" s="124">
        <v>178.93</v>
      </c>
      <c r="H476" s="124">
        <v>221.95</v>
      </c>
      <c r="I476" s="124">
        <v>70.66</v>
      </c>
      <c r="J476" s="125">
        <v>97.96</v>
      </c>
      <c r="L476" s="39">
        <f t="shared" si="92"/>
        <v>-4.0118474871104655E-3</v>
      </c>
      <c r="M476" s="40">
        <f t="shared" si="84"/>
        <v>-4.9112871111897053E-3</v>
      </c>
      <c r="N476" s="40">
        <f t="shared" si="85"/>
        <v>-2.926520604286993E-3</v>
      </c>
      <c r="O476" s="40">
        <f t="shared" si="86"/>
        <v>-2.6348206953188537E-3</v>
      </c>
      <c r="P476" s="40">
        <f t="shared" si="87"/>
        <v>6.4498295402193205E-3</v>
      </c>
      <c r="Q476" s="40">
        <f t="shared" si="88"/>
        <v>5.0324312234401372E-4</v>
      </c>
      <c r="R476" s="40">
        <f t="shared" si="89"/>
        <v>-8.3106206157008786E-3</v>
      </c>
      <c r="S476" s="40">
        <f t="shared" si="90"/>
        <v>-5.6577086280065422E-4</v>
      </c>
      <c r="T476" s="41">
        <f t="shared" si="91"/>
        <v>-4.4944915667349122E-2</v>
      </c>
      <c r="V476" s="39">
        <f t="shared" si="93"/>
        <v>-4.0118474871104655E-3</v>
      </c>
      <c r="W476" s="40" cm="1">
        <f t="array" ref="W476">IF(M476="","",SUMPRODUCT(M476:T476,TRANSPOSE('04_Dashboard'!$C$53:$C$60)))</f>
        <v>-7.6118399527967343E-3</v>
      </c>
      <c r="X476" s="42">
        <f t="shared" si="94"/>
        <v>1.4873277012005286</v>
      </c>
      <c r="Y476" s="118">
        <f t="shared" si="95"/>
        <v>1.5402008766958872</v>
      </c>
      <c r="AA476" s="43">
        <f>IF(X476="","",X476/MAX($X$4:X476)-1)</f>
        <v>-1.4574773238235528E-2</v>
      </c>
      <c r="AB476" s="44">
        <f>IF(Y476="","",Y476/MAX($Y$4:Y476)-1)</f>
        <v>-7.611839952796684E-3</v>
      </c>
    </row>
    <row r="477" spans="1:28" x14ac:dyDescent="0.45">
      <c r="A477" s="121">
        <v>45891</v>
      </c>
      <c r="B477" s="124">
        <v>645.30999999999995</v>
      </c>
      <c r="C477" s="124">
        <v>227.76</v>
      </c>
      <c r="D477" s="124">
        <v>507.23</v>
      </c>
      <c r="E477" s="124">
        <v>296.24</v>
      </c>
      <c r="F477" s="124">
        <v>111.28</v>
      </c>
      <c r="G477" s="124">
        <v>179.29</v>
      </c>
      <c r="H477" s="124">
        <v>228.84</v>
      </c>
      <c r="I477" s="124">
        <v>70.13</v>
      </c>
      <c r="J477" s="125">
        <v>96.83</v>
      </c>
      <c r="L477" s="39">
        <f t="shared" si="92"/>
        <v>1.5356777594209727E-2</v>
      </c>
      <c r="M477" s="40">
        <f t="shared" si="84"/>
        <v>1.2716763005780281E-2</v>
      </c>
      <c r="N477" s="40">
        <f t="shared" si="85"/>
        <v>5.9297160082500576E-3</v>
      </c>
      <c r="O477" s="40">
        <f t="shared" si="86"/>
        <v>1.6365320616186851E-2</v>
      </c>
      <c r="P477" s="40">
        <f t="shared" si="87"/>
        <v>1.8767737800970404E-2</v>
      </c>
      <c r="Q477" s="40">
        <f t="shared" si="88"/>
        <v>2.0119599843513398E-3</v>
      </c>
      <c r="R477" s="40">
        <f t="shared" si="89"/>
        <v>3.1043027708943523E-2</v>
      </c>
      <c r="S477" s="40">
        <f t="shared" si="90"/>
        <v>-7.5007076139258586E-3</v>
      </c>
      <c r="T477" s="41">
        <f t="shared" si="91"/>
        <v>-1.1535320538995463E-2</v>
      </c>
      <c r="V477" s="39">
        <f t="shared" si="93"/>
        <v>1.5356777594209727E-2</v>
      </c>
      <c r="W477" s="40" cm="1">
        <f t="array" ref="W477">IF(M477="","",SUMPRODUCT(M477:T477,TRANSPOSE('04_Dashboard'!$C$53:$C$60)))</f>
        <v>6.0368176134285084E-3</v>
      </c>
      <c r="X477" s="42">
        <f t="shared" si="94"/>
        <v>1.5101682619175725</v>
      </c>
      <c r="Y477" s="118">
        <f t="shared" si="95"/>
        <v>1.549498788476543</v>
      </c>
      <c r="AA477" s="43">
        <f>IF(X477="","",X477/MAX($X$4:X477)-1)</f>
        <v>0</v>
      </c>
      <c r="AB477" s="44">
        <f>IF(Y477="","",Y477/MAX($Y$4:Y477)-1)</f>
        <v>-1.6209736288658183E-3</v>
      </c>
    </row>
    <row r="478" spans="1:28" x14ac:dyDescent="0.45">
      <c r="A478" s="121">
        <v>45894</v>
      </c>
      <c r="B478" s="124">
        <v>642.47</v>
      </c>
      <c r="C478" s="124">
        <v>227.16</v>
      </c>
      <c r="D478" s="124">
        <v>504.26</v>
      </c>
      <c r="E478" s="124">
        <v>294.89999999999998</v>
      </c>
      <c r="F478" s="124">
        <v>111.74</v>
      </c>
      <c r="G478" s="124">
        <v>178.41</v>
      </c>
      <c r="H478" s="124">
        <v>227.94</v>
      </c>
      <c r="I478" s="124">
        <v>68.930000000000007</v>
      </c>
      <c r="J478" s="125">
        <v>96.07</v>
      </c>
      <c r="L478" s="39">
        <f t="shared" si="92"/>
        <v>-4.4009855728253371E-3</v>
      </c>
      <c r="M478" s="40">
        <f t="shared" si="84"/>
        <v>-2.6343519494204178E-3</v>
      </c>
      <c r="N478" s="40">
        <f t="shared" si="85"/>
        <v>-5.8553319007157052E-3</v>
      </c>
      <c r="O478" s="40">
        <f t="shared" si="86"/>
        <v>-4.5233594382933827E-3</v>
      </c>
      <c r="P478" s="40">
        <f t="shared" si="87"/>
        <v>4.1337167505391239E-3</v>
      </c>
      <c r="Q478" s="40">
        <f t="shared" si="88"/>
        <v>-4.9082492051982568E-3</v>
      </c>
      <c r="R478" s="40">
        <f t="shared" si="89"/>
        <v>-3.932878867330911E-3</v>
      </c>
      <c r="S478" s="40">
        <f t="shared" si="90"/>
        <v>-1.7111079423926832E-2</v>
      </c>
      <c r="T478" s="41">
        <f t="shared" si="91"/>
        <v>-7.8488071878550572E-3</v>
      </c>
      <c r="V478" s="39">
        <f t="shared" si="93"/>
        <v>-4.4009855728253371E-3</v>
      </c>
      <c r="W478" s="40" cm="1">
        <f t="array" ref="W478">IF(M478="","",SUMPRODUCT(M478:T478,TRANSPOSE('04_Dashboard'!$C$53:$C$60)))</f>
        <v>-6.3319433096157163E-3</v>
      </c>
      <c r="X478" s="42">
        <f t="shared" si="94"/>
        <v>1.5035220331843346</v>
      </c>
      <c r="Y478" s="118">
        <f t="shared" si="95"/>
        <v>1.5396874499895912</v>
      </c>
      <c r="AA478" s="43">
        <f>IF(X478="","",X478/MAX($X$4:X478)-1)</f>
        <v>-4.4009855728253111E-3</v>
      </c>
      <c r="AB478" s="44">
        <f>IF(Y478="","",Y478/MAX($Y$4:Y478)-1)</f>
        <v>-7.9426530253572381E-3</v>
      </c>
    </row>
    <row r="479" spans="1:28" x14ac:dyDescent="0.45">
      <c r="A479" s="121">
        <v>45895</v>
      </c>
      <c r="B479" s="124">
        <v>645.16</v>
      </c>
      <c r="C479" s="124">
        <v>229.31</v>
      </c>
      <c r="D479" s="124">
        <v>502.04</v>
      </c>
      <c r="E479" s="124">
        <v>298.57</v>
      </c>
      <c r="F479" s="124">
        <v>111.49</v>
      </c>
      <c r="G479" s="124">
        <v>176.49</v>
      </c>
      <c r="H479" s="124">
        <v>228.71</v>
      </c>
      <c r="I479" s="124">
        <v>68.73</v>
      </c>
      <c r="J479" s="125">
        <v>96.05</v>
      </c>
      <c r="L479" s="39">
        <f t="shared" si="92"/>
        <v>4.1869659283701038E-3</v>
      </c>
      <c r="M479" s="40">
        <f t="shared" si="84"/>
        <v>9.4646944884663048E-3</v>
      </c>
      <c r="N479" s="40">
        <f t="shared" si="85"/>
        <v>-4.4024907785665543E-3</v>
      </c>
      <c r="O479" s="40">
        <f t="shared" si="86"/>
        <v>1.2444896575110262E-2</v>
      </c>
      <c r="P479" s="40">
        <f t="shared" si="87"/>
        <v>-2.2373366744227671E-3</v>
      </c>
      <c r="Q479" s="40">
        <f t="shared" si="88"/>
        <v>-1.0761728602656732E-2</v>
      </c>
      <c r="R479" s="40">
        <f t="shared" si="89"/>
        <v>3.378081951390762E-3</v>
      </c>
      <c r="S479" s="40">
        <f t="shared" si="90"/>
        <v>-2.9014942695488586E-3</v>
      </c>
      <c r="T479" s="41">
        <f t="shared" si="91"/>
        <v>-2.0818153429786639E-4</v>
      </c>
      <c r="V479" s="39">
        <f t="shared" si="93"/>
        <v>4.1869659283701038E-3</v>
      </c>
      <c r="W479" s="40" cm="1">
        <f t="array" ref="W479">IF(M479="","",SUMPRODUCT(M479:T479,TRANSPOSE('04_Dashboard'!$C$53:$C$60)))</f>
        <v>3.1338806205489237E-4</v>
      </c>
      <c r="X479" s="42">
        <f t="shared" si="94"/>
        <v>1.5098172287098313</v>
      </c>
      <c r="Y479" s="118">
        <f t="shared" si="95"/>
        <v>1.5401699696557136</v>
      </c>
      <c r="AA479" s="43">
        <f>IF(X479="","",X479/MAX($X$4:X479)-1)</f>
        <v>-2.3244642109976343E-4</v>
      </c>
      <c r="AB479" s="44">
        <f>IF(Y479="","",Y479/MAX($Y$4:Y479)-1)</f>
        <v>-7.6317540959416341E-3</v>
      </c>
    </row>
    <row r="480" spans="1:28" x14ac:dyDescent="0.45">
      <c r="A480" s="121">
        <v>45896</v>
      </c>
      <c r="B480" s="124">
        <v>646.63</v>
      </c>
      <c r="C480" s="124">
        <v>230.49</v>
      </c>
      <c r="D480" s="124">
        <v>506.74</v>
      </c>
      <c r="E480" s="124">
        <v>299.27999999999997</v>
      </c>
      <c r="F480" s="124">
        <v>112.75</v>
      </c>
      <c r="G480" s="124">
        <v>176.79</v>
      </c>
      <c r="H480" s="124">
        <v>229.12</v>
      </c>
      <c r="I480" s="124">
        <v>68.83</v>
      </c>
      <c r="J480" s="125">
        <v>96.08</v>
      </c>
      <c r="L480" s="39">
        <f t="shared" si="92"/>
        <v>2.2785045570091565E-3</v>
      </c>
      <c r="M480" s="40">
        <f t="shared" si="84"/>
        <v>5.1458723998081494E-3</v>
      </c>
      <c r="N480" s="40">
        <f t="shared" si="85"/>
        <v>9.3618038403314244E-3</v>
      </c>
      <c r="O480" s="40">
        <f t="shared" si="86"/>
        <v>2.3780018086210254E-3</v>
      </c>
      <c r="P480" s="40">
        <f t="shared" si="87"/>
        <v>1.1301462014530498E-2</v>
      </c>
      <c r="Q480" s="40">
        <f t="shared" si="88"/>
        <v>1.6998130205676408E-3</v>
      </c>
      <c r="R480" s="40">
        <f t="shared" si="89"/>
        <v>1.7926631979362361E-3</v>
      </c>
      <c r="S480" s="40">
        <f t="shared" si="90"/>
        <v>1.4549687181724764E-3</v>
      </c>
      <c r="T480" s="41">
        <f t="shared" si="91"/>
        <v>3.1233732431026694E-4</v>
      </c>
      <c r="V480" s="39">
        <f t="shared" si="93"/>
        <v>2.2785045570091565E-3</v>
      </c>
      <c r="W480" s="40" cm="1">
        <f t="array" ref="W480">IF(M480="","",SUMPRODUCT(M480:T480,TRANSPOSE('04_Dashboard'!$C$53:$C$60)))</f>
        <v>2.8312155179529203E-3</v>
      </c>
      <c r="X480" s="42">
        <f t="shared" si="94"/>
        <v>1.5132573541456975</v>
      </c>
      <c r="Y480" s="118">
        <f t="shared" si="95"/>
        <v>1.5445305227740878</v>
      </c>
      <c r="AA480" s="43">
        <f>IF(X480="","",X480/MAX($X$4:X480)-1)</f>
        <v>0</v>
      </c>
      <c r="AB480" s="44">
        <f>IF(Y480="","",Y480/MAX($Y$4:Y480)-1)</f>
        <v>-4.8221457186143901E-3</v>
      </c>
    </row>
    <row r="481" spans="1:28" x14ac:dyDescent="0.45">
      <c r="A481" s="121">
        <v>45897</v>
      </c>
      <c r="B481" s="124">
        <v>648.91999999999996</v>
      </c>
      <c r="C481" s="124">
        <v>232.56</v>
      </c>
      <c r="D481" s="124">
        <v>509.64</v>
      </c>
      <c r="E481" s="124">
        <v>301.07</v>
      </c>
      <c r="F481" s="124">
        <v>113.35</v>
      </c>
      <c r="G481" s="124">
        <v>175.45</v>
      </c>
      <c r="H481" s="124">
        <v>231.6</v>
      </c>
      <c r="I481" s="124">
        <v>68.36</v>
      </c>
      <c r="J481" s="125">
        <v>96.11</v>
      </c>
      <c r="L481" s="39">
        <f t="shared" si="92"/>
        <v>3.5414379165828428E-3</v>
      </c>
      <c r="M481" s="40">
        <f t="shared" si="84"/>
        <v>8.9808668488871243E-3</v>
      </c>
      <c r="N481" s="40">
        <f t="shared" si="85"/>
        <v>5.722855902435129E-3</v>
      </c>
      <c r="O481" s="40">
        <f t="shared" si="86"/>
        <v>5.9810211173483719E-3</v>
      </c>
      <c r="P481" s="40">
        <f t="shared" si="87"/>
        <v>5.3215077605321005E-3</v>
      </c>
      <c r="Q481" s="40">
        <f t="shared" si="88"/>
        <v>-7.5796142315742035E-3</v>
      </c>
      <c r="R481" s="40">
        <f t="shared" si="89"/>
        <v>1.0824022346368671E-2</v>
      </c>
      <c r="S481" s="40">
        <f t="shared" si="90"/>
        <v>-6.8284178410576617E-3</v>
      </c>
      <c r="T481" s="41">
        <f t="shared" si="91"/>
        <v>3.1223980016653971E-4</v>
      </c>
      <c r="V481" s="39">
        <f t="shared" si="93"/>
        <v>3.5414379165828428E-3</v>
      </c>
      <c r="W481" s="40" cm="1">
        <f t="array" ref="W481">IF(M481="","",SUMPRODUCT(M481:T481,TRANSPOSE('04_Dashboard'!$C$53:$C$60)))</f>
        <v>6.5619692805044569E-4</v>
      </c>
      <c r="X481" s="42">
        <f t="shared" si="94"/>
        <v>1.5186164611172168</v>
      </c>
      <c r="Y481" s="118">
        <f t="shared" si="95"/>
        <v>1.5455440389584123</v>
      </c>
      <c r="AA481" s="43">
        <f>IF(X481="","",X481/MAX($X$4:X481)-1)</f>
        <v>0</v>
      </c>
      <c r="AB481" s="44">
        <f>IF(Y481="","",Y481/MAX($Y$4:Y481)-1)</f>
        <v>-4.1691130677711241E-3</v>
      </c>
    </row>
    <row r="482" spans="1:28" x14ac:dyDescent="0.45">
      <c r="A482" s="121">
        <v>45898</v>
      </c>
      <c r="B482" s="124">
        <v>645.04999999999995</v>
      </c>
      <c r="C482" s="124">
        <v>232.14</v>
      </c>
      <c r="D482" s="124">
        <v>506.69</v>
      </c>
      <c r="E482" s="124">
        <v>301.42</v>
      </c>
      <c r="F482" s="124">
        <v>114.29</v>
      </c>
      <c r="G482" s="124">
        <v>177.17</v>
      </c>
      <c r="H482" s="124">
        <v>229</v>
      </c>
      <c r="I482" s="124">
        <v>68.989999999999995</v>
      </c>
      <c r="J482" s="125">
        <v>96.98</v>
      </c>
      <c r="L482" s="39">
        <f t="shared" si="92"/>
        <v>-5.9637551624237266E-3</v>
      </c>
      <c r="M482" s="40">
        <f t="shared" si="84"/>
        <v>-1.8059855521156516E-3</v>
      </c>
      <c r="N482" s="40">
        <f t="shared" si="85"/>
        <v>-5.7883996546581676E-3</v>
      </c>
      <c r="O482" s="40">
        <f t="shared" si="86"/>
        <v>1.1625203441060974E-3</v>
      </c>
      <c r="P482" s="40">
        <f t="shared" si="87"/>
        <v>8.2928981032202205E-3</v>
      </c>
      <c r="Q482" s="40">
        <f t="shared" si="88"/>
        <v>9.8033627814192014E-3</v>
      </c>
      <c r="R482" s="40">
        <f t="shared" si="89"/>
        <v>-1.1226252158894622E-2</v>
      </c>
      <c r="S482" s="40">
        <f t="shared" si="90"/>
        <v>9.2159157401988795E-3</v>
      </c>
      <c r="T482" s="41">
        <f t="shared" si="91"/>
        <v>9.0521277702632873E-3</v>
      </c>
      <c r="V482" s="39">
        <f t="shared" si="93"/>
        <v>-5.9637551624237266E-3</v>
      </c>
      <c r="W482" s="40" cm="1">
        <f t="array" ref="W482">IF(M482="","",SUMPRODUCT(M482:T482,TRANSPOSE('04_Dashboard'!$C$53:$C$60)))</f>
        <v>4.2461707305874504E-3</v>
      </c>
      <c r="X482" s="42">
        <f t="shared" si="94"/>
        <v>1.5095598043574874</v>
      </c>
      <c r="Y482" s="118">
        <f t="shared" si="95"/>
        <v>1.5521066828194714</v>
      </c>
      <c r="AA482" s="43">
        <f>IF(X482="","",X482/MAX($X$4:X482)-1)</f>
        <v>-5.9637551624237561E-3</v>
      </c>
      <c r="AB482" s="44">
        <f>IF(Y482="","",Y482/MAX($Y$4:Y482)-1)</f>
        <v>0</v>
      </c>
    </row>
    <row r="483" spans="1:28" x14ac:dyDescent="0.45">
      <c r="A483" s="121">
        <v>45902</v>
      </c>
      <c r="B483" s="124">
        <v>640.27</v>
      </c>
      <c r="C483" s="124">
        <v>229.72</v>
      </c>
      <c r="D483" s="124">
        <v>505.12</v>
      </c>
      <c r="E483" s="124">
        <v>299.7</v>
      </c>
      <c r="F483" s="124">
        <v>114.69</v>
      </c>
      <c r="G483" s="124">
        <v>178.06</v>
      </c>
      <c r="H483" s="124">
        <v>225.34</v>
      </c>
      <c r="I483" s="124">
        <v>69.06</v>
      </c>
      <c r="J483" s="125">
        <v>97.85</v>
      </c>
      <c r="L483" s="39">
        <f t="shared" si="92"/>
        <v>-7.4102782730020508E-3</v>
      </c>
      <c r="M483" s="40">
        <f t="shared" si="84"/>
        <v>-1.0424743689153044E-2</v>
      </c>
      <c r="N483" s="40">
        <f t="shared" si="85"/>
        <v>-3.0985415145355012E-3</v>
      </c>
      <c r="O483" s="40">
        <f t="shared" si="86"/>
        <v>-5.7063234025613004E-3</v>
      </c>
      <c r="P483" s="40">
        <f t="shared" si="87"/>
        <v>3.4998687549216158E-3</v>
      </c>
      <c r="Q483" s="40">
        <f t="shared" si="88"/>
        <v>5.0234238302196473E-3</v>
      </c>
      <c r="R483" s="40">
        <f t="shared" si="89"/>
        <v>-1.598253275109169E-2</v>
      </c>
      <c r="S483" s="40">
        <f t="shared" si="90"/>
        <v>1.0146398028700882E-3</v>
      </c>
      <c r="T483" s="41">
        <f t="shared" si="91"/>
        <v>8.9709218395544466E-3</v>
      </c>
      <c r="V483" s="39">
        <f t="shared" si="93"/>
        <v>-7.4102782730020508E-3</v>
      </c>
      <c r="W483" s="40" cm="1">
        <f t="array" ref="W483">IF(M483="","",SUMPRODUCT(M483:T483,TRANSPOSE('04_Dashboard'!$C$53:$C$60)))</f>
        <v>-5.4941301714010455E-4</v>
      </c>
      <c r="X483" s="42">
        <f t="shared" si="94"/>
        <v>1.4983735461374599</v>
      </c>
      <c r="Y483" s="118">
        <f t="shared" si="95"/>
        <v>1.5512539352039403</v>
      </c>
      <c r="AA483" s="43">
        <f>IF(X483="","",X483/MAX($X$4:X483)-1)</f>
        <v>-1.3329840350120192E-2</v>
      </c>
      <c r="AB483" s="44">
        <f>IF(Y483="","",Y483/MAX($Y$4:Y483)-1)</f>
        <v>-5.4941301714006574E-4</v>
      </c>
    </row>
    <row r="484" spans="1:28" x14ac:dyDescent="0.45">
      <c r="A484" s="121">
        <v>45903</v>
      </c>
      <c r="B484" s="124">
        <v>643.74</v>
      </c>
      <c r="C484" s="124">
        <v>238.47</v>
      </c>
      <c r="D484" s="124">
        <v>505.35</v>
      </c>
      <c r="E484" s="124">
        <v>299.51</v>
      </c>
      <c r="F484" s="124">
        <v>111.91</v>
      </c>
      <c r="G484" s="124">
        <v>178</v>
      </c>
      <c r="H484" s="124">
        <v>225.99</v>
      </c>
      <c r="I484" s="124">
        <v>68.989999999999995</v>
      </c>
      <c r="J484" s="125">
        <v>99.44</v>
      </c>
      <c r="L484" s="39">
        <f t="shared" si="92"/>
        <v>5.419588611054754E-3</v>
      </c>
      <c r="M484" s="40">
        <f t="shared" si="84"/>
        <v>3.8089848511231067E-2</v>
      </c>
      <c r="N484" s="40">
        <f t="shared" si="85"/>
        <v>4.5533734558128402E-4</v>
      </c>
      <c r="O484" s="40">
        <f t="shared" si="86"/>
        <v>-6.3396730063395971E-4</v>
      </c>
      <c r="P484" s="40">
        <f t="shared" si="87"/>
        <v>-2.4239253640247635E-2</v>
      </c>
      <c r="Q484" s="40">
        <f t="shared" si="88"/>
        <v>-3.3696506795463481E-4</v>
      </c>
      <c r="R484" s="40">
        <f t="shared" si="89"/>
        <v>2.8845300434898629E-3</v>
      </c>
      <c r="S484" s="40">
        <f t="shared" si="90"/>
        <v>-1.0136113524472543E-3</v>
      </c>
      <c r="T484" s="41">
        <f t="shared" si="91"/>
        <v>1.624936126724582E-2</v>
      </c>
      <c r="V484" s="39">
        <f t="shared" si="93"/>
        <v>5.419588611054754E-3</v>
      </c>
      <c r="W484" s="40" cm="1">
        <f t="array" ref="W484">IF(M484="","",SUMPRODUCT(M484:T484,TRANSPOSE('04_Dashboard'!$C$53:$C$60)))</f>
        <v>3.0268678810708477E-3</v>
      </c>
      <c r="X484" s="42">
        <f t="shared" si="94"/>
        <v>1.5064941143432122</v>
      </c>
      <c r="Y484" s="118">
        <f t="shared" si="95"/>
        <v>1.5559493759157936</v>
      </c>
      <c r="AA484" s="43">
        <f>IF(X484="","",X484/MAX($X$4:X484)-1)</f>
        <v>-7.9824939900140501E-3</v>
      </c>
      <c r="AB484" s="44">
        <f>IF(Y484="","",Y484/MAX($Y$4:Y484)-1)</f>
        <v>0</v>
      </c>
    </row>
    <row r="485" spans="1:28" x14ac:dyDescent="0.45">
      <c r="A485" s="121">
        <v>45904</v>
      </c>
      <c r="B485" s="124">
        <v>649.12</v>
      </c>
      <c r="C485" s="124">
        <v>239.78</v>
      </c>
      <c r="D485" s="124">
        <v>507.97</v>
      </c>
      <c r="E485" s="124">
        <v>303.82</v>
      </c>
      <c r="F485" s="124">
        <v>112.4</v>
      </c>
      <c r="G485" s="124">
        <v>178.76</v>
      </c>
      <c r="H485" s="124">
        <v>235.68</v>
      </c>
      <c r="I485" s="124">
        <v>68.25</v>
      </c>
      <c r="J485" s="125">
        <v>100.93</v>
      </c>
      <c r="L485" s="39">
        <f t="shared" si="92"/>
        <v>8.3574113772641057E-3</v>
      </c>
      <c r="M485" s="40">
        <f t="shared" si="84"/>
        <v>5.4933534616513702E-3</v>
      </c>
      <c r="N485" s="40">
        <f t="shared" si="85"/>
        <v>5.184525576333243E-3</v>
      </c>
      <c r="O485" s="40">
        <f t="shared" si="86"/>
        <v>1.4390170611999608E-2</v>
      </c>
      <c r="P485" s="40">
        <f t="shared" si="87"/>
        <v>4.378518452327845E-3</v>
      </c>
      <c r="Q485" s="40">
        <f t="shared" si="88"/>
        <v>4.2696629213482638E-3</v>
      </c>
      <c r="R485" s="40">
        <f t="shared" si="89"/>
        <v>4.2878003451480143E-2</v>
      </c>
      <c r="S485" s="40">
        <f t="shared" si="90"/>
        <v>-1.0726192201768299E-2</v>
      </c>
      <c r="T485" s="41">
        <f t="shared" si="91"/>
        <v>1.4983909895414411E-2</v>
      </c>
      <c r="V485" s="39">
        <f t="shared" si="93"/>
        <v>8.3574113772641057E-3</v>
      </c>
      <c r="W485" s="40" cm="1">
        <f t="array" ref="W485">IF(M485="","",SUMPRODUCT(M485:T485,TRANSPOSE('04_Dashboard'!$C$53:$C$60)))</f>
        <v>9.0619449308412588E-3</v>
      </c>
      <c r="X485" s="42">
        <f t="shared" si="94"/>
        <v>1.5190845053942057</v>
      </c>
      <c r="Y485" s="118">
        <f t="shared" si="95"/>
        <v>1.5700493034755194</v>
      </c>
      <c r="AA485" s="43">
        <f>IF(X485="","",X485/MAX($X$4:X485)-1)</f>
        <v>0</v>
      </c>
      <c r="AB485" s="44">
        <f>IF(Y485="","",Y485/MAX($Y$4:Y485)-1)</f>
        <v>0</v>
      </c>
    </row>
    <row r="486" spans="1:28" x14ac:dyDescent="0.45">
      <c r="A486" s="121">
        <v>45905</v>
      </c>
      <c r="B486" s="124">
        <v>647.24</v>
      </c>
      <c r="C486" s="124">
        <v>239.69</v>
      </c>
      <c r="D486" s="124">
        <v>495</v>
      </c>
      <c r="E486" s="124">
        <v>294.38</v>
      </c>
      <c r="F486" s="124">
        <v>109.23</v>
      </c>
      <c r="G486" s="124">
        <v>178.43</v>
      </c>
      <c r="H486" s="124">
        <v>232.33</v>
      </c>
      <c r="I486" s="124">
        <v>67.959999999999994</v>
      </c>
      <c r="J486" s="125">
        <v>100.51</v>
      </c>
      <c r="L486" s="39">
        <f t="shared" si="92"/>
        <v>-2.8962287404486003E-3</v>
      </c>
      <c r="M486" s="40">
        <f t="shared" si="84"/>
        <v>-3.7534406539329137E-4</v>
      </c>
      <c r="N486" s="40">
        <f t="shared" si="85"/>
        <v>-2.5533003917554239E-2</v>
      </c>
      <c r="O486" s="40">
        <f t="shared" si="86"/>
        <v>-3.1071028898690008E-2</v>
      </c>
      <c r="P486" s="40">
        <f t="shared" si="87"/>
        <v>-2.8202846975088982E-2</v>
      </c>
      <c r="Q486" s="40">
        <f t="shared" si="88"/>
        <v>-1.8460505705973601E-3</v>
      </c>
      <c r="R486" s="40">
        <f t="shared" si="89"/>
        <v>-1.4214188730481985E-2</v>
      </c>
      <c r="S486" s="40">
        <f t="shared" si="90"/>
        <v>-4.249084249084341E-3</v>
      </c>
      <c r="T486" s="41">
        <f t="shared" si="91"/>
        <v>-4.1612999108293046E-3</v>
      </c>
      <c r="V486" s="39">
        <f t="shared" si="93"/>
        <v>-2.8962287404486003E-3</v>
      </c>
      <c r="W486" s="40" cm="1">
        <f t="array" ref="W486">IF(M486="","",SUMPRODUCT(M486:T486,TRANSPOSE('04_Dashboard'!$C$53:$C$60)))</f>
        <v>-1.3186977726287134E-2</v>
      </c>
      <c r="X486" s="42">
        <f t="shared" si="94"/>
        <v>1.5146848891905129</v>
      </c>
      <c r="Y486" s="118">
        <f t="shared" si="95"/>
        <v>1.549345098281415</v>
      </c>
      <c r="AA486" s="43">
        <f>IF(X486="","",X486/MAX($X$4:X486)-1)</f>
        <v>-2.896228740448592E-3</v>
      </c>
      <c r="AB486" s="44">
        <f>IF(Y486="","",Y486/MAX($Y$4:Y486)-1)</f>
        <v>-1.3186977726287186E-2</v>
      </c>
    </row>
    <row r="487" spans="1:28" x14ac:dyDescent="0.45">
      <c r="A487" s="121">
        <v>45908</v>
      </c>
      <c r="B487" s="124">
        <v>648.83000000000004</v>
      </c>
      <c r="C487" s="124">
        <v>237.88</v>
      </c>
      <c r="D487" s="124">
        <v>498.2</v>
      </c>
      <c r="E487" s="124">
        <v>292.91000000000003</v>
      </c>
      <c r="F487" s="124">
        <v>109.85</v>
      </c>
      <c r="G487" s="124">
        <v>178.13</v>
      </c>
      <c r="H487" s="124">
        <v>235.84</v>
      </c>
      <c r="I487" s="124">
        <v>67.430000000000007</v>
      </c>
      <c r="J487" s="125">
        <v>102.28</v>
      </c>
      <c r="L487" s="39">
        <f t="shared" si="92"/>
        <v>2.4565848835053951E-3</v>
      </c>
      <c r="M487" s="40">
        <f t="shared" si="84"/>
        <v>-7.5514205849222006E-3</v>
      </c>
      <c r="N487" s="40">
        <f t="shared" si="85"/>
        <v>6.4646464646464421E-3</v>
      </c>
      <c r="O487" s="40">
        <f t="shared" si="86"/>
        <v>-4.9935457571844907E-3</v>
      </c>
      <c r="P487" s="40">
        <f t="shared" si="87"/>
        <v>5.6760963105373097E-3</v>
      </c>
      <c r="Q487" s="40">
        <f t="shared" si="88"/>
        <v>-1.6813316146388575E-3</v>
      </c>
      <c r="R487" s="40">
        <f t="shared" si="89"/>
        <v>1.5107820772177467E-2</v>
      </c>
      <c r="S487" s="40">
        <f t="shared" si="90"/>
        <v>-7.7987051206590196E-3</v>
      </c>
      <c r="T487" s="41">
        <f t="shared" si="91"/>
        <v>1.7610188040990904E-2</v>
      </c>
      <c r="V487" s="39">
        <f t="shared" si="93"/>
        <v>2.4565848835053951E-3</v>
      </c>
      <c r="W487" s="40" cm="1">
        <f t="array" ref="W487">IF(M487="","",SUMPRODUCT(M487:T487,TRANSPOSE('04_Dashboard'!$C$53:$C$60)))</f>
        <v>1.2112885057370172E-3</v>
      </c>
      <c r="X487" s="42">
        <f t="shared" si="94"/>
        <v>1.5184058411925725</v>
      </c>
      <c r="Y487" s="118">
        <f t="shared" si="95"/>
        <v>1.5512218021903832</v>
      </c>
      <c r="AA487" s="43">
        <f>IF(X487="","",X487/MAX($X$4:X487)-1)</f>
        <v>-4.4675868868604418E-4</v>
      </c>
      <c r="AB487" s="44">
        <f>IF(Y487="","",Y487/MAX($Y$4:Y487)-1)</f>
        <v>-1.1991662455095531E-2</v>
      </c>
    </row>
    <row r="488" spans="1:28" x14ac:dyDescent="0.45">
      <c r="A488" s="121">
        <v>45909</v>
      </c>
      <c r="B488" s="124">
        <v>650.33000000000004</v>
      </c>
      <c r="C488" s="124">
        <v>234.35</v>
      </c>
      <c r="D488" s="124">
        <v>498.41</v>
      </c>
      <c r="E488" s="124">
        <v>297.85000000000002</v>
      </c>
      <c r="F488" s="124">
        <v>110.65</v>
      </c>
      <c r="G488" s="124">
        <v>176.96</v>
      </c>
      <c r="H488" s="124">
        <v>238.24</v>
      </c>
      <c r="I488" s="124">
        <v>67.86</v>
      </c>
      <c r="J488" s="125">
        <v>102.29</v>
      </c>
      <c r="L488" s="39">
        <f t="shared" si="92"/>
        <v>2.3118536442519612E-3</v>
      </c>
      <c r="M488" s="40">
        <f t="shared" si="84"/>
        <v>-1.4839414831007236E-2</v>
      </c>
      <c r="N488" s="40">
        <f t="shared" si="85"/>
        <v>4.215174628663918E-4</v>
      </c>
      <c r="O488" s="40">
        <f t="shared" si="86"/>
        <v>1.6865248711208213E-2</v>
      </c>
      <c r="P488" s="40">
        <f t="shared" si="87"/>
        <v>7.2826581702322389E-3</v>
      </c>
      <c r="Q488" s="40">
        <f t="shared" si="88"/>
        <v>-6.5682366810755491E-3</v>
      </c>
      <c r="R488" s="40">
        <f t="shared" si="89"/>
        <v>1.0176390773405724E-2</v>
      </c>
      <c r="S488" s="40">
        <f t="shared" si="90"/>
        <v>6.3769835384842443E-3</v>
      </c>
      <c r="T488" s="41">
        <f t="shared" si="91"/>
        <v>9.7770825185814584E-5</v>
      </c>
      <c r="V488" s="39">
        <f t="shared" si="93"/>
        <v>2.3118536442519612E-3</v>
      </c>
      <c r="W488" s="40" cm="1">
        <f t="array" ref="W488">IF(M488="","",SUMPRODUCT(M488:T488,TRANSPOSE('04_Dashboard'!$C$53:$C$60)))</f>
        <v>3.652214805390977E-3</v>
      </c>
      <c r="X488" s="42">
        <f t="shared" si="94"/>
        <v>1.5219161732699868</v>
      </c>
      <c r="Y488" s="118">
        <f t="shared" si="95"/>
        <v>1.5568871974227882</v>
      </c>
      <c r="AA488" s="43">
        <f>IF(X488="","",X488/MAX($X$4:X488)-1)</f>
        <v>0</v>
      </c>
      <c r="AB488" s="44">
        <f>IF(Y488="","",Y488/MAX($Y$4:Y488)-1)</f>
        <v>-8.3832437768642798E-3</v>
      </c>
    </row>
    <row r="489" spans="1:28" x14ac:dyDescent="0.45">
      <c r="A489" s="121">
        <v>45910</v>
      </c>
      <c r="B489" s="124">
        <v>652.21</v>
      </c>
      <c r="C489" s="124">
        <v>226.79</v>
      </c>
      <c r="D489" s="124">
        <v>500.37</v>
      </c>
      <c r="E489" s="124">
        <v>300.54000000000002</v>
      </c>
      <c r="F489" s="124">
        <v>112.5</v>
      </c>
      <c r="G489" s="124">
        <v>175.79</v>
      </c>
      <c r="H489" s="124">
        <v>230.33</v>
      </c>
      <c r="I489" s="124">
        <v>67.819999999999993</v>
      </c>
      <c r="J489" s="125">
        <v>100.41</v>
      </c>
      <c r="L489" s="39">
        <f t="shared" si="92"/>
        <v>2.8908400350591166E-3</v>
      </c>
      <c r="M489" s="40">
        <f t="shared" si="84"/>
        <v>-3.2259441007040764E-2</v>
      </c>
      <c r="N489" s="40">
        <f t="shared" si="85"/>
        <v>3.9325053670672327E-3</v>
      </c>
      <c r="O489" s="40">
        <f t="shared" si="86"/>
        <v>9.0313916400872832E-3</v>
      </c>
      <c r="P489" s="40">
        <f t="shared" si="87"/>
        <v>1.6719385449615855E-2</v>
      </c>
      <c r="Q489" s="40">
        <f t="shared" si="88"/>
        <v>-6.6116636528029829E-3</v>
      </c>
      <c r="R489" s="40">
        <f t="shared" si="89"/>
        <v>-3.3201813297515093E-2</v>
      </c>
      <c r="S489" s="40">
        <f t="shared" si="90"/>
        <v>-5.894488653110264E-4</v>
      </c>
      <c r="T489" s="41">
        <f t="shared" si="91"/>
        <v>-1.8379118193371881E-2</v>
      </c>
      <c r="V489" s="39">
        <f t="shared" si="93"/>
        <v>2.8908400350591166E-3</v>
      </c>
      <c r="W489" s="40" cm="1">
        <f t="array" ref="W489">IF(M489="","",SUMPRODUCT(M489:T489,TRANSPOSE('04_Dashboard'!$C$53:$C$60)))</f>
        <v>-5.1972054729407437E-3</v>
      </c>
      <c r="X489" s="42">
        <f t="shared" si="94"/>
        <v>1.5263157894736796</v>
      </c>
      <c r="Y489" s="118">
        <f t="shared" si="95"/>
        <v>1.5487957347595911</v>
      </c>
      <c r="AA489" s="43">
        <f>IF(X489="","",X489/MAX($X$4:X489)-1)</f>
        <v>0</v>
      </c>
      <c r="AB489" s="44">
        <f>IF(Y489="","",Y489/MAX($Y$4:Y489)-1)</f>
        <v>-1.3536879809366908E-2</v>
      </c>
    </row>
    <row r="490" spans="1:28" x14ac:dyDescent="0.45">
      <c r="A490" s="121">
        <v>45911</v>
      </c>
      <c r="B490" s="124">
        <v>657.63</v>
      </c>
      <c r="C490" s="124">
        <v>230.03</v>
      </c>
      <c r="D490" s="124">
        <v>501.01</v>
      </c>
      <c r="E490" s="124">
        <v>305.56</v>
      </c>
      <c r="F490" s="124">
        <v>112.14</v>
      </c>
      <c r="G490" s="124">
        <v>178.5</v>
      </c>
      <c r="H490" s="124">
        <v>229.95</v>
      </c>
      <c r="I490" s="124">
        <v>67.62</v>
      </c>
      <c r="J490" s="125">
        <v>102.65</v>
      </c>
      <c r="L490" s="39">
        <f t="shared" si="92"/>
        <v>8.3102068352217204E-3</v>
      </c>
      <c r="M490" s="40">
        <f t="shared" si="84"/>
        <v>1.4286344195070371E-2</v>
      </c>
      <c r="N490" s="40">
        <f t="shared" si="85"/>
        <v>1.2790535004096695E-3</v>
      </c>
      <c r="O490" s="40">
        <f t="shared" si="86"/>
        <v>1.6703267451919815E-2</v>
      </c>
      <c r="P490" s="40">
        <f t="shared" si="87"/>
        <v>-3.1999999999999949E-3</v>
      </c>
      <c r="Q490" s="40">
        <f t="shared" si="88"/>
        <v>1.5416121508618284E-2</v>
      </c>
      <c r="R490" s="40">
        <f t="shared" si="89"/>
        <v>-1.649806798940754E-3</v>
      </c>
      <c r="S490" s="40">
        <f t="shared" si="90"/>
        <v>-2.9489826010024867E-3</v>
      </c>
      <c r="T490" s="41">
        <f t="shared" si="91"/>
        <v>2.2308535006473552E-2</v>
      </c>
      <c r="V490" s="39">
        <f t="shared" si="93"/>
        <v>8.3102068352217204E-3</v>
      </c>
      <c r="W490" s="40" cm="1">
        <f t="array" ref="W490">IF(M490="","",SUMPRODUCT(M490:T490,TRANSPOSE('04_Dashboard'!$C$53:$C$60)))</f>
        <v>1.0930225680106549E-2</v>
      </c>
      <c r="X490" s="42">
        <f t="shared" si="94"/>
        <v>1.5389997893800706</v>
      </c>
      <c r="Y490" s="118">
        <f t="shared" si="95"/>
        <v>1.5657244216728998</v>
      </c>
      <c r="AA490" s="43">
        <f>IF(X490="","",X490/MAX($X$4:X490)-1)</f>
        <v>0</v>
      </c>
      <c r="AB490" s="44">
        <f>IF(Y490="","",Y490/MAX($Y$4:Y490)-1)</f>
        <v>-2.7546152805811852E-3</v>
      </c>
    </row>
    <row r="491" spans="1:28" x14ac:dyDescent="0.45">
      <c r="A491" s="121">
        <v>45912</v>
      </c>
      <c r="B491" s="124">
        <v>657.41</v>
      </c>
      <c r="C491" s="124">
        <v>234.07</v>
      </c>
      <c r="D491" s="124">
        <v>509.9</v>
      </c>
      <c r="E491" s="124">
        <v>306.91000000000003</v>
      </c>
      <c r="F491" s="124">
        <v>112.16</v>
      </c>
      <c r="G491" s="124">
        <v>178.06</v>
      </c>
      <c r="H491" s="124">
        <v>228.15</v>
      </c>
      <c r="I491" s="124">
        <v>67.010000000000005</v>
      </c>
      <c r="J491" s="125">
        <v>103.49</v>
      </c>
      <c r="L491" s="39">
        <f t="shared" si="92"/>
        <v>-3.3453461672981353E-4</v>
      </c>
      <c r="M491" s="40">
        <f t="shared" si="84"/>
        <v>1.7562926574794559E-2</v>
      </c>
      <c r="N491" s="40">
        <f t="shared" si="85"/>
        <v>1.7744156803257392E-2</v>
      </c>
      <c r="O491" s="40">
        <f t="shared" si="86"/>
        <v>4.4181175546538247E-3</v>
      </c>
      <c r="P491" s="40">
        <f t="shared" si="87"/>
        <v>1.7834849295519903E-4</v>
      </c>
      <c r="Q491" s="40">
        <f t="shared" si="88"/>
        <v>-2.4649859943977463E-3</v>
      </c>
      <c r="R491" s="40">
        <f t="shared" si="89"/>
        <v>-7.8277886497063846E-3</v>
      </c>
      <c r="S491" s="40">
        <f t="shared" si="90"/>
        <v>-9.0209997042295081E-3</v>
      </c>
      <c r="T491" s="41">
        <f t="shared" si="91"/>
        <v>8.183146614710075E-3</v>
      </c>
      <c r="V491" s="39">
        <f t="shared" si="93"/>
        <v>-3.3453461672981353E-4</v>
      </c>
      <c r="W491" s="40" cm="1">
        <f t="array" ref="W491">IF(M491="","",SUMPRODUCT(M491:T491,TRANSPOSE('04_Dashboard'!$C$53:$C$60)))</f>
        <v>1.9610124704242306E-3</v>
      </c>
      <c r="X491" s="42">
        <f t="shared" si="94"/>
        <v>1.5384849406753831</v>
      </c>
      <c r="Y491" s="118">
        <f t="shared" si="95"/>
        <v>1.5687948267890479</v>
      </c>
      <c r="AA491" s="43">
        <f>IF(X491="","",X491/MAX($X$4:X491)-1)</f>
        <v>-3.3453461672983131E-4</v>
      </c>
      <c r="AB491" s="44">
        <f>IF(Y491="","",Y491/MAX($Y$4:Y491)-1)</f>
        <v>-7.9900464507354219E-4</v>
      </c>
    </row>
    <row r="492" spans="1:28" x14ac:dyDescent="0.45">
      <c r="A492" s="121">
        <v>45915</v>
      </c>
      <c r="B492" s="124">
        <v>660.91</v>
      </c>
      <c r="C492" s="124">
        <v>236.7</v>
      </c>
      <c r="D492" s="124">
        <v>515.36</v>
      </c>
      <c r="E492" s="124">
        <v>308.89999999999998</v>
      </c>
      <c r="F492" s="124">
        <v>112.35</v>
      </c>
      <c r="G492" s="124">
        <v>177.4</v>
      </c>
      <c r="H492" s="124">
        <v>231.43</v>
      </c>
      <c r="I492" s="124">
        <v>66.209999999999994</v>
      </c>
      <c r="J492" s="125">
        <v>103.69</v>
      </c>
      <c r="L492" s="39">
        <f t="shared" si="92"/>
        <v>5.3239226662204712E-3</v>
      </c>
      <c r="M492" s="40">
        <f t="shared" si="84"/>
        <v>1.1235955056179756E-2</v>
      </c>
      <c r="N492" s="40">
        <f t="shared" si="85"/>
        <v>1.0707981957246591E-2</v>
      </c>
      <c r="O492" s="40">
        <f t="shared" si="86"/>
        <v>6.4839855332180516E-3</v>
      </c>
      <c r="P492" s="40">
        <f t="shared" si="87"/>
        <v>1.6940085592011211E-3</v>
      </c>
      <c r="Q492" s="40">
        <f t="shared" si="88"/>
        <v>-3.7066157475008233E-3</v>
      </c>
      <c r="R492" s="40">
        <f t="shared" si="89"/>
        <v>1.4376506684198997E-2</v>
      </c>
      <c r="S492" s="40">
        <f t="shared" si="90"/>
        <v>-1.1938516639307735E-2</v>
      </c>
      <c r="T492" s="41">
        <f t="shared" si="91"/>
        <v>1.932553869939152E-3</v>
      </c>
      <c r="V492" s="39">
        <f t="shared" si="93"/>
        <v>5.3239226662204712E-3</v>
      </c>
      <c r="W492" s="40" cm="1">
        <f t="array" ref="W492">IF(M492="","",SUMPRODUCT(M492:T492,TRANSPOSE('04_Dashboard'!$C$53:$C$60)))</f>
        <v>1.7603000915603277E-3</v>
      </c>
      <c r="X492" s="42">
        <f t="shared" si="94"/>
        <v>1.5466757155226838</v>
      </c>
      <c r="Y492" s="118">
        <f t="shared" si="95"/>
        <v>1.5715563764662839</v>
      </c>
      <c r="AA492" s="43">
        <f>IF(X492="","",X492/MAX($X$4:X492)-1)</f>
        <v>0</v>
      </c>
      <c r="AB492" s="44">
        <f>IF(Y492="","",Y492/MAX($Y$4:Y492)-1)</f>
        <v>0</v>
      </c>
    </row>
    <row r="493" spans="1:28" x14ac:dyDescent="0.45">
      <c r="A493" s="121">
        <v>45916</v>
      </c>
      <c r="B493" s="124">
        <v>660</v>
      </c>
      <c r="C493" s="124">
        <v>238.15</v>
      </c>
      <c r="D493" s="124">
        <v>509.04</v>
      </c>
      <c r="E493" s="124">
        <v>309.19</v>
      </c>
      <c r="F493" s="124">
        <v>114.68</v>
      </c>
      <c r="G493" s="124">
        <v>176.46</v>
      </c>
      <c r="H493" s="124">
        <v>234.05</v>
      </c>
      <c r="I493" s="124">
        <v>66.239999999999995</v>
      </c>
      <c r="J493" s="125">
        <v>103.42</v>
      </c>
      <c r="L493" s="39">
        <f t="shared" si="92"/>
        <v>-1.3768894403170904E-3</v>
      </c>
      <c r="M493" s="40">
        <f t="shared" si="84"/>
        <v>6.1258977608788217E-3</v>
      </c>
      <c r="N493" s="40">
        <f t="shared" si="85"/>
        <v>-1.2263272275690766E-2</v>
      </c>
      <c r="O493" s="40">
        <f t="shared" si="86"/>
        <v>9.3881515053421982E-4</v>
      </c>
      <c r="P493" s="40">
        <f t="shared" si="87"/>
        <v>2.0738762794837672E-2</v>
      </c>
      <c r="Q493" s="40">
        <f t="shared" si="88"/>
        <v>-5.2987598647125014E-3</v>
      </c>
      <c r="R493" s="40">
        <f t="shared" si="89"/>
        <v>1.1320917772112537E-2</v>
      </c>
      <c r="S493" s="40">
        <f t="shared" si="90"/>
        <v>4.5310376076123152E-4</v>
      </c>
      <c r="T493" s="41">
        <f t="shared" si="91"/>
        <v>-2.603915517407619E-3</v>
      </c>
      <c r="V493" s="39">
        <f t="shared" si="93"/>
        <v>-1.3768894403170904E-3</v>
      </c>
      <c r="W493" s="40" cm="1">
        <f t="array" ref="W493">IF(M493="","",SUMPRODUCT(M493:T493,TRANSPOSE('04_Dashboard'!$C$53:$C$60)))</f>
        <v>3.224962115885155E-5</v>
      </c>
      <c r="X493" s="42">
        <f t="shared" si="94"/>
        <v>1.5445461140623857</v>
      </c>
      <c r="Y493" s="118">
        <f t="shared" si="95"/>
        <v>1.5716070585640547</v>
      </c>
      <c r="AA493" s="43">
        <f>IF(X493="","",X493/MAX($X$4:X493)-1)</f>
        <v>-1.3768894403171084E-3</v>
      </c>
      <c r="AB493" s="44">
        <f>IF(Y493="","",Y493/MAX($Y$4:Y493)-1)</f>
        <v>0</v>
      </c>
    </row>
    <row r="494" spans="1:28" x14ac:dyDescent="0.45">
      <c r="A494" s="121">
        <v>45917</v>
      </c>
      <c r="B494" s="124">
        <v>659.18</v>
      </c>
      <c r="C494" s="124">
        <v>238.99</v>
      </c>
      <c r="D494" s="124">
        <v>510.02</v>
      </c>
      <c r="E494" s="124">
        <v>311.75</v>
      </c>
      <c r="F494" s="124">
        <v>115.29</v>
      </c>
      <c r="G494" s="124">
        <v>177.2</v>
      </c>
      <c r="H494" s="124">
        <v>231.62</v>
      </c>
      <c r="I494" s="124">
        <v>67.040000000000006</v>
      </c>
      <c r="J494" s="125">
        <v>104.27</v>
      </c>
      <c r="L494" s="39">
        <f t="shared" si="92"/>
        <v>-1.2424242424243183E-3</v>
      </c>
      <c r="M494" s="40">
        <f t="shared" si="84"/>
        <v>3.5271887465882991E-3</v>
      </c>
      <c r="N494" s="40">
        <f t="shared" si="85"/>
        <v>1.9251925192518492E-3</v>
      </c>
      <c r="O494" s="40">
        <f t="shared" si="86"/>
        <v>8.279698567224044E-3</v>
      </c>
      <c r="P494" s="40">
        <f t="shared" si="87"/>
        <v>5.3191489361702074E-3</v>
      </c>
      <c r="Q494" s="40">
        <f t="shared" si="88"/>
        <v>4.1935849484301298E-3</v>
      </c>
      <c r="R494" s="40">
        <f t="shared" si="89"/>
        <v>-1.0382396923734273E-2</v>
      </c>
      <c r="S494" s="40">
        <f t="shared" si="90"/>
        <v>1.2077294685990511E-2</v>
      </c>
      <c r="T494" s="41">
        <f t="shared" si="91"/>
        <v>8.218913169599636E-3</v>
      </c>
      <c r="V494" s="39">
        <f t="shared" si="93"/>
        <v>-1.2424242424243183E-3</v>
      </c>
      <c r="W494" s="40" cm="1">
        <f t="array" ref="W494">IF(M494="","",SUMPRODUCT(M494:T494,TRANSPOSE('04_Dashboard'!$C$53:$C$60)))</f>
        <v>5.6083814420401848E-3</v>
      </c>
      <c r="X494" s="42">
        <f t="shared" si="94"/>
        <v>1.5426271325267324</v>
      </c>
      <c r="Y494" s="118">
        <f t="shared" si="95"/>
        <v>1.5804212304254848</v>
      </c>
      <c r="AA494" s="43">
        <f>IF(X494="","",X494/MAX($X$4:X494)-1)</f>
        <v>-2.6176030019215979E-3</v>
      </c>
      <c r="AB494" s="44">
        <f>IF(Y494="","",Y494/MAX($Y$4:Y494)-1)</f>
        <v>0</v>
      </c>
    </row>
    <row r="495" spans="1:28" x14ac:dyDescent="0.45">
      <c r="A495" s="121">
        <v>45918</v>
      </c>
      <c r="B495" s="124">
        <v>662.26</v>
      </c>
      <c r="C495" s="124">
        <v>237.88</v>
      </c>
      <c r="D495" s="124">
        <v>508.45</v>
      </c>
      <c r="E495" s="124">
        <v>313.23</v>
      </c>
      <c r="F495" s="124">
        <v>113.93</v>
      </c>
      <c r="G495" s="124">
        <v>174.16</v>
      </c>
      <c r="H495" s="124">
        <v>231.23</v>
      </c>
      <c r="I495" s="124">
        <v>66.459999999999994</v>
      </c>
      <c r="J495" s="125">
        <v>103.6</v>
      </c>
      <c r="L495" s="39">
        <f t="shared" si="92"/>
        <v>4.6724718589763667E-3</v>
      </c>
      <c r="M495" s="40">
        <f t="shared" si="84"/>
        <v>-4.6445457968953248E-3</v>
      </c>
      <c r="N495" s="40">
        <f t="shared" si="85"/>
        <v>-3.0783106544841248E-3</v>
      </c>
      <c r="O495" s="40">
        <f t="shared" si="86"/>
        <v>4.7473937449880295E-3</v>
      </c>
      <c r="P495" s="40">
        <f t="shared" si="87"/>
        <v>-1.1796339665192118E-2</v>
      </c>
      <c r="Q495" s="40">
        <f t="shared" si="88"/>
        <v>-1.7155756207674899E-2</v>
      </c>
      <c r="R495" s="40">
        <f t="shared" si="89"/>
        <v>-1.6837924186167636E-3</v>
      </c>
      <c r="S495" s="40">
        <f t="shared" si="90"/>
        <v>-8.6515513126493512E-3</v>
      </c>
      <c r="T495" s="41">
        <f t="shared" si="91"/>
        <v>-6.4256257792270231E-3</v>
      </c>
      <c r="V495" s="39">
        <f t="shared" si="93"/>
        <v>4.6724718589763667E-3</v>
      </c>
      <c r="W495" s="40" cm="1">
        <f t="array" ref="W495">IF(M495="","",SUMPRODUCT(M495:T495,TRANSPOSE('04_Dashboard'!$C$53:$C$60)))</f>
        <v>-6.2363116163293422E-3</v>
      </c>
      <c r="X495" s="42">
        <f t="shared" si="94"/>
        <v>1.5498350143923569</v>
      </c>
      <c r="Y495" s="118">
        <f t="shared" si="95"/>
        <v>1.5705652311474889</v>
      </c>
      <c r="AA495" s="43">
        <f>IF(X495="","",X495/MAX($X$4:X495)-1)</f>
        <v>0</v>
      </c>
      <c r="AB495" s="44">
        <f>IF(Y495="","",Y495/MAX($Y$4:Y495)-1)</f>
        <v>-6.2363116163293153E-3</v>
      </c>
    </row>
    <row r="496" spans="1:28" x14ac:dyDescent="0.45">
      <c r="A496" s="121">
        <v>45919</v>
      </c>
      <c r="B496" s="124">
        <v>663.7</v>
      </c>
      <c r="C496" s="124">
        <v>245.5</v>
      </c>
      <c r="D496" s="124">
        <v>517.92999999999995</v>
      </c>
      <c r="E496" s="124">
        <v>314.77999999999997</v>
      </c>
      <c r="F496" s="124">
        <v>112.82</v>
      </c>
      <c r="G496" s="124">
        <v>176.19</v>
      </c>
      <c r="H496" s="124">
        <v>231.48</v>
      </c>
      <c r="I496" s="124">
        <v>66.430000000000007</v>
      </c>
      <c r="J496" s="125">
        <v>102.33</v>
      </c>
      <c r="L496" s="39">
        <f t="shared" si="92"/>
        <v>2.174372602905286E-3</v>
      </c>
      <c r="M496" s="40">
        <f t="shared" si="84"/>
        <v>3.2032957793845657E-2</v>
      </c>
      <c r="N496" s="40">
        <f t="shared" si="85"/>
        <v>1.8644901170223153E-2</v>
      </c>
      <c r="O496" s="40">
        <f t="shared" si="86"/>
        <v>4.948440443124715E-3</v>
      </c>
      <c r="P496" s="40">
        <f t="shared" si="87"/>
        <v>-9.7428245413851804E-3</v>
      </c>
      <c r="Q496" s="40">
        <f t="shared" si="88"/>
        <v>1.1655948553054669E-2</v>
      </c>
      <c r="R496" s="40">
        <f t="shared" si="89"/>
        <v>1.0811745880724821E-3</v>
      </c>
      <c r="S496" s="40">
        <f t="shared" si="90"/>
        <v>-4.5139933794744098E-4</v>
      </c>
      <c r="T496" s="41">
        <f t="shared" si="91"/>
        <v>-1.2258687258687222E-2</v>
      </c>
      <c r="V496" s="39">
        <f t="shared" si="93"/>
        <v>2.174372602905286E-3</v>
      </c>
      <c r="W496" s="40" cm="1">
        <f t="array" ref="W496">IF(M496="","",SUMPRODUCT(M496:T496,TRANSPOSE('04_Dashboard'!$C$53:$C$60)))</f>
        <v>4.804453883228239E-3</v>
      </c>
      <c r="X496" s="42">
        <f t="shared" si="94"/>
        <v>1.5532049331866751</v>
      </c>
      <c r="Y496" s="118">
        <f t="shared" si="95"/>
        <v>1.5781109393711386</v>
      </c>
      <c r="AA496" s="43">
        <f>IF(X496="","",X496/MAX($X$4:X496)-1)</f>
        <v>0</v>
      </c>
      <c r="AB496" s="44">
        <f>IF(Y496="","",Y496/MAX($Y$4:Y496)-1)</f>
        <v>-1.4618198046632003E-3</v>
      </c>
    </row>
    <row r="497" spans="1:28" x14ac:dyDescent="0.45">
      <c r="A497" s="121">
        <v>45922</v>
      </c>
      <c r="B497" s="124">
        <v>666.84</v>
      </c>
      <c r="C497" s="124">
        <v>256.08</v>
      </c>
      <c r="D497" s="124">
        <v>514.45000000000005</v>
      </c>
      <c r="E497" s="124">
        <v>312.44</v>
      </c>
      <c r="F497" s="124">
        <v>112.02</v>
      </c>
      <c r="G497" s="124">
        <v>174.21</v>
      </c>
      <c r="H497" s="124">
        <v>227.63</v>
      </c>
      <c r="I497" s="124">
        <v>66.209999999999994</v>
      </c>
      <c r="J497" s="125">
        <v>102.82</v>
      </c>
      <c r="L497" s="39">
        <f t="shared" si="92"/>
        <v>4.731053186680708E-3</v>
      </c>
      <c r="M497" s="40">
        <f t="shared" si="84"/>
        <v>4.3095723014256557E-2</v>
      </c>
      <c r="N497" s="40">
        <f t="shared" si="85"/>
        <v>-6.719054698511198E-3</v>
      </c>
      <c r="O497" s="40">
        <f t="shared" si="86"/>
        <v>-7.4337632632313841E-3</v>
      </c>
      <c r="P497" s="40">
        <f t="shared" si="87"/>
        <v>-7.0909413224605321E-3</v>
      </c>
      <c r="Q497" s="40">
        <f t="shared" si="88"/>
        <v>-1.1237868210454565E-2</v>
      </c>
      <c r="R497" s="40">
        <f t="shared" si="89"/>
        <v>-1.6632106445481229E-2</v>
      </c>
      <c r="S497" s="40">
        <f t="shared" si="90"/>
        <v>-3.3117567364144671E-3</v>
      </c>
      <c r="T497" s="41">
        <f t="shared" si="91"/>
        <v>4.7884295905403582E-3</v>
      </c>
      <c r="V497" s="39">
        <f t="shared" si="93"/>
        <v>4.731053186680708E-3</v>
      </c>
      <c r="W497" s="40" cm="1">
        <f t="array" ref="W497">IF(M497="","",SUMPRODUCT(M497:T497,TRANSPOSE('04_Dashboard'!$C$53:$C$60)))</f>
        <v>-3.8899015694531542E-3</v>
      </c>
      <c r="X497" s="42">
        <f t="shared" si="94"/>
        <v>1.560553228335396</v>
      </c>
      <c r="Y497" s="118">
        <f t="shared" si="95"/>
        <v>1.5719722431513077</v>
      </c>
      <c r="AA497" s="43">
        <f>IF(X497="","",X497/MAX($X$4:X497)-1)</f>
        <v>0</v>
      </c>
      <c r="AB497" s="44">
        <f>IF(Y497="","",Y497/MAX($Y$4:Y497)-1)</f>
        <v>-5.3460350389639144E-3</v>
      </c>
    </row>
    <row r="498" spans="1:28" x14ac:dyDescent="0.45">
      <c r="A498" s="121">
        <v>45923</v>
      </c>
      <c r="B498" s="124">
        <v>663.21</v>
      </c>
      <c r="C498" s="124">
        <v>254.43</v>
      </c>
      <c r="D498" s="124">
        <v>509.23</v>
      </c>
      <c r="E498" s="124">
        <v>312.74</v>
      </c>
      <c r="F498" s="124">
        <v>113.95</v>
      </c>
      <c r="G498" s="124">
        <v>176.58</v>
      </c>
      <c r="H498" s="124">
        <v>220.71</v>
      </c>
      <c r="I498" s="124">
        <v>66.709999999999994</v>
      </c>
      <c r="J498" s="125">
        <v>102.52</v>
      </c>
      <c r="L498" s="39">
        <f t="shared" si="92"/>
        <v>-5.4435846679863169E-3</v>
      </c>
      <c r="M498" s="40">
        <f t="shared" si="84"/>
        <v>-6.4432989690720761E-3</v>
      </c>
      <c r="N498" s="40">
        <f t="shared" si="85"/>
        <v>-1.0146758674312424E-2</v>
      </c>
      <c r="O498" s="40">
        <f t="shared" si="86"/>
        <v>9.6018435539627252E-4</v>
      </c>
      <c r="P498" s="40">
        <f t="shared" si="87"/>
        <v>1.7229066238171817E-2</v>
      </c>
      <c r="Q498" s="40">
        <f t="shared" si="88"/>
        <v>1.3604270707766514E-2</v>
      </c>
      <c r="R498" s="40">
        <f t="shared" si="89"/>
        <v>-3.0400210868514639E-2</v>
      </c>
      <c r="S498" s="40">
        <f t="shared" si="90"/>
        <v>7.5517293460202395E-3</v>
      </c>
      <c r="T498" s="41">
        <f t="shared" si="91"/>
        <v>-2.9177202878817076E-3</v>
      </c>
      <c r="V498" s="39">
        <f t="shared" si="93"/>
        <v>-5.4435846679863169E-3</v>
      </c>
      <c r="W498" s="40" cm="1">
        <f t="array" ref="W498">IF(M498="","",SUMPRODUCT(M498:T498,TRANSPOSE('04_Dashboard'!$C$53:$C$60)))</f>
        <v>1.6881298115351516E-3</v>
      </c>
      <c r="X498" s="42">
        <f t="shared" si="94"/>
        <v>1.5520582247080528</v>
      </c>
      <c r="Y498" s="118">
        <f t="shared" si="95"/>
        <v>1.5746259363578772</v>
      </c>
      <c r="AA498" s="43">
        <f>IF(X498="","",X498/MAX($X$4:X498)-1)</f>
        <v>-5.4435846679864452E-3</v>
      </c>
      <c r="AB498" s="44">
        <f>IF(Y498="","",Y498/MAX($Y$4:Y498)-1)</f>
        <v>-3.6669300285515627E-3</v>
      </c>
    </row>
    <row r="499" spans="1:28" x14ac:dyDescent="0.45">
      <c r="A499" s="121">
        <v>45924</v>
      </c>
      <c r="B499" s="124">
        <v>661.1</v>
      </c>
      <c r="C499" s="124">
        <v>252.31</v>
      </c>
      <c r="D499" s="124">
        <v>510.15</v>
      </c>
      <c r="E499" s="124">
        <v>313.42</v>
      </c>
      <c r="F499" s="124">
        <v>114.56</v>
      </c>
      <c r="G499" s="124">
        <v>176.69</v>
      </c>
      <c r="H499" s="124">
        <v>220.21</v>
      </c>
      <c r="I499" s="124">
        <v>66.45</v>
      </c>
      <c r="J499" s="125">
        <v>102.73</v>
      </c>
      <c r="L499" s="39">
        <f t="shared" si="92"/>
        <v>-3.1814960570558551E-3</v>
      </c>
      <c r="M499" s="40">
        <f t="shared" si="84"/>
        <v>-8.332350744802125E-3</v>
      </c>
      <c r="N499" s="40">
        <f t="shared" si="85"/>
        <v>1.8066492547571019E-3</v>
      </c>
      <c r="O499" s="40">
        <f t="shared" si="86"/>
        <v>2.1743301144721071E-3</v>
      </c>
      <c r="P499" s="40">
        <f t="shared" si="87"/>
        <v>5.3532250987275067E-3</v>
      </c>
      <c r="Q499" s="40">
        <f t="shared" si="88"/>
        <v>6.2294710612745047E-4</v>
      </c>
      <c r="R499" s="40">
        <f t="shared" si="89"/>
        <v>-2.2654161569480311E-3</v>
      </c>
      <c r="S499" s="40">
        <f t="shared" si="90"/>
        <v>-3.897466646679522E-3</v>
      </c>
      <c r="T499" s="41">
        <f t="shared" si="91"/>
        <v>2.0483808037456883E-3</v>
      </c>
      <c r="V499" s="39">
        <f t="shared" si="93"/>
        <v>-3.1814960570558551E-3</v>
      </c>
      <c r="W499" s="40" cm="1">
        <f t="array" ref="W499">IF(M499="","",SUMPRODUCT(M499:T499,TRANSPOSE('04_Dashboard'!$C$53:$C$60)))</f>
        <v>1.7467495332580636E-4</v>
      </c>
      <c r="X499" s="42">
        <f t="shared" si="94"/>
        <v>1.547120357585823</v>
      </c>
      <c r="Y499" s="118">
        <f t="shared" si="95"/>
        <v>1.574900984069816</v>
      </c>
      <c r="AA499" s="43">
        <f>IF(X499="","",X499/MAX($X$4:X499)-1)</f>
        <v>-8.6077619818848428E-3</v>
      </c>
      <c r="AB499" s="44">
        <f>IF(Y499="","",Y499/MAX($Y$4:Y499)-1)</f>
        <v>-3.492895596057366E-3</v>
      </c>
    </row>
    <row r="500" spans="1:28" x14ac:dyDescent="0.45">
      <c r="A500" s="121">
        <v>45925</v>
      </c>
      <c r="B500" s="124">
        <v>658.05</v>
      </c>
      <c r="C500" s="124">
        <v>256.87</v>
      </c>
      <c r="D500" s="124">
        <v>507.03</v>
      </c>
      <c r="E500" s="124">
        <v>313.45</v>
      </c>
      <c r="F500" s="124">
        <v>115.59</v>
      </c>
      <c r="G500" s="124">
        <v>177.73</v>
      </c>
      <c r="H500" s="124">
        <v>218.15</v>
      </c>
      <c r="I500" s="124">
        <v>65.98</v>
      </c>
      <c r="J500" s="125">
        <v>103.05</v>
      </c>
      <c r="L500" s="39">
        <f t="shared" si="92"/>
        <v>-4.6135229163516379E-3</v>
      </c>
      <c r="M500" s="40">
        <f t="shared" si="84"/>
        <v>1.8073005429828395E-2</v>
      </c>
      <c r="N500" s="40">
        <f t="shared" si="85"/>
        <v>-6.1158482799176803E-3</v>
      </c>
      <c r="O500" s="40">
        <f t="shared" si="86"/>
        <v>9.571820560261857E-5</v>
      </c>
      <c r="P500" s="40">
        <f t="shared" si="87"/>
        <v>8.9909217877095077E-3</v>
      </c>
      <c r="Q500" s="40">
        <f t="shared" si="88"/>
        <v>5.886015054615383E-3</v>
      </c>
      <c r="R500" s="40">
        <f t="shared" si="89"/>
        <v>-9.3547068707143279E-3</v>
      </c>
      <c r="S500" s="40">
        <f t="shared" si="90"/>
        <v>-7.0729872084273719E-3</v>
      </c>
      <c r="T500" s="41">
        <f t="shared" si="91"/>
        <v>3.1149615496933046E-3</v>
      </c>
      <c r="V500" s="39">
        <f t="shared" si="93"/>
        <v>-4.6135229163516379E-3</v>
      </c>
      <c r="W500" s="40" cm="1">
        <f t="array" ref="W500">IF(M500="","",SUMPRODUCT(M500:T500,TRANSPOSE('04_Dashboard'!$C$53:$C$60)))</f>
        <v>1.2224060726437774E-3</v>
      </c>
      <c r="X500" s="42">
        <f t="shared" si="94"/>
        <v>1.5399826823617466</v>
      </c>
      <c r="Y500" s="118">
        <f t="shared" si="95"/>
        <v>1.5768261525965557</v>
      </c>
      <c r="AA500" s="43">
        <f>IF(X500="","",X500/MAX($X$4:X500)-1)</f>
        <v>-1.3181572791074569E-2</v>
      </c>
      <c r="AB500" s="44">
        <f>IF(Y500="","",Y500/MAX($Y$4:Y500)-1)</f>
        <v>-2.2747592602012645E-3</v>
      </c>
    </row>
    <row r="501" spans="1:28" x14ac:dyDescent="0.45">
      <c r="A501" s="121">
        <v>45926</v>
      </c>
      <c r="B501" s="124">
        <v>661.82</v>
      </c>
      <c r="C501" s="124">
        <v>255.46</v>
      </c>
      <c r="D501" s="124">
        <v>511.46</v>
      </c>
      <c r="E501" s="124">
        <v>316.06</v>
      </c>
      <c r="F501" s="124">
        <v>117.22</v>
      </c>
      <c r="G501" s="124">
        <v>179.71</v>
      </c>
      <c r="H501" s="124">
        <v>219.78</v>
      </c>
      <c r="I501" s="124">
        <v>65.67</v>
      </c>
      <c r="J501" s="125">
        <v>103.16</v>
      </c>
      <c r="L501" s="39">
        <f t="shared" si="92"/>
        <v>5.7290479446852E-3</v>
      </c>
      <c r="M501" s="40">
        <f t="shared" si="84"/>
        <v>-5.4891579398139E-3</v>
      </c>
      <c r="N501" s="40">
        <f t="shared" si="85"/>
        <v>8.7371555923712735E-3</v>
      </c>
      <c r="O501" s="40">
        <f t="shared" si="86"/>
        <v>8.3266868719094386E-3</v>
      </c>
      <c r="P501" s="40">
        <f t="shared" si="87"/>
        <v>1.4101565879401293E-2</v>
      </c>
      <c r="Q501" s="40">
        <f t="shared" si="88"/>
        <v>1.1140494007764689E-2</v>
      </c>
      <c r="R501" s="40">
        <f t="shared" si="89"/>
        <v>7.4719229887691748E-3</v>
      </c>
      <c r="S501" s="40">
        <f t="shared" si="90"/>
        <v>-4.6983934525614167E-3</v>
      </c>
      <c r="T501" s="41">
        <f t="shared" si="91"/>
        <v>1.0674429888403634E-3</v>
      </c>
      <c r="V501" s="39">
        <f t="shared" si="93"/>
        <v>5.7290479446852E-3</v>
      </c>
      <c r="W501" s="40" cm="1">
        <f t="array" ref="W501">IF(M501="","",SUMPRODUCT(M501:T501,TRANSPOSE('04_Dashboard'!$C$53:$C$60)))</f>
        <v>5.6734412533194969E-3</v>
      </c>
      <c r="X501" s="42">
        <f t="shared" si="94"/>
        <v>1.5488053169829821</v>
      </c>
      <c r="Y501" s="118">
        <f t="shared" si="95"/>
        <v>1.58577218314001</v>
      </c>
      <c r="AA501" s="43">
        <f>IF(X501="","",X501/MAX($X$4:X501)-1)</f>
        <v>-7.5280427088957325E-3</v>
      </c>
      <c r="AB501" s="44">
        <f>IF(Y501="","",Y501/MAX($Y$4:Y501)-1)</f>
        <v>0</v>
      </c>
    </row>
    <row r="502" spans="1:28" x14ac:dyDescent="0.45">
      <c r="A502" s="121">
        <v>45929</v>
      </c>
      <c r="B502" s="124">
        <v>663.68</v>
      </c>
      <c r="C502" s="124">
        <v>254.43</v>
      </c>
      <c r="D502" s="124">
        <v>514.6</v>
      </c>
      <c r="E502" s="124">
        <v>315.69</v>
      </c>
      <c r="F502" s="124">
        <v>114.22</v>
      </c>
      <c r="G502" s="124">
        <v>181.62</v>
      </c>
      <c r="H502" s="124">
        <v>222.17</v>
      </c>
      <c r="I502" s="124">
        <v>66.040000000000006</v>
      </c>
      <c r="J502" s="125">
        <v>103.08</v>
      </c>
      <c r="L502" s="39">
        <f t="shared" si="92"/>
        <v>2.8104318394728172E-3</v>
      </c>
      <c r="M502" s="40">
        <f t="shared" si="84"/>
        <v>-4.0319423784545569E-3</v>
      </c>
      <c r="N502" s="40">
        <f t="shared" si="85"/>
        <v>6.1392875298166881E-3</v>
      </c>
      <c r="O502" s="40">
        <f t="shared" si="86"/>
        <v>-1.1706637980130499E-3</v>
      </c>
      <c r="P502" s="40">
        <f t="shared" si="87"/>
        <v>-2.5592902235113461E-2</v>
      </c>
      <c r="Q502" s="40">
        <f t="shared" si="88"/>
        <v>1.0628234377608349E-2</v>
      </c>
      <c r="R502" s="40">
        <f t="shared" si="89"/>
        <v>1.0874510874510813E-2</v>
      </c>
      <c r="S502" s="40">
        <f t="shared" si="90"/>
        <v>5.6342317648851005E-3</v>
      </c>
      <c r="T502" s="41">
        <f t="shared" si="91"/>
        <v>-7.7549437766574541E-4</v>
      </c>
      <c r="V502" s="39">
        <f t="shared" si="93"/>
        <v>2.8104318394728172E-3</v>
      </c>
      <c r="W502" s="40" cm="1">
        <f t="array" ref="W502">IF(M502="","",SUMPRODUCT(M502:T502,TRANSPOSE('04_Dashboard'!$C$53:$C$60)))</f>
        <v>2.6426730128495915E-3</v>
      </c>
      <c r="X502" s="42">
        <f t="shared" si="94"/>
        <v>1.5531581287589757</v>
      </c>
      <c r="Y502" s="118">
        <f t="shared" si="95"/>
        <v>1.5899628604929215</v>
      </c>
      <c r="AA502" s="43">
        <f>IF(X502="","",X502/MAX($X$4:X502)-1)</f>
        <v>-4.7387679203408917E-3</v>
      </c>
      <c r="AB502" s="44">
        <f>IF(Y502="","",Y502/MAX($Y$4:Y502)-1)</f>
        <v>0</v>
      </c>
    </row>
    <row r="503" spans="1:28" x14ac:dyDescent="0.45">
      <c r="A503" s="121">
        <v>45930</v>
      </c>
      <c r="B503" s="124">
        <v>666.18</v>
      </c>
      <c r="C503" s="124">
        <v>254.63</v>
      </c>
      <c r="D503" s="124">
        <v>517.95000000000005</v>
      </c>
      <c r="E503" s="124">
        <v>315.43</v>
      </c>
      <c r="F503" s="124">
        <v>112.75</v>
      </c>
      <c r="G503" s="124">
        <v>185.42</v>
      </c>
      <c r="H503" s="124">
        <v>219.57</v>
      </c>
      <c r="I503" s="124">
        <v>66.319999999999993</v>
      </c>
      <c r="J503" s="125">
        <v>103.06</v>
      </c>
      <c r="L503" s="39">
        <f t="shared" si="92"/>
        <v>3.7668756027000967E-3</v>
      </c>
      <c r="M503" s="40">
        <f t="shared" si="84"/>
        <v>7.8607082498128613E-4</v>
      </c>
      <c r="N503" s="40">
        <f t="shared" si="85"/>
        <v>6.5099106101827097E-3</v>
      </c>
      <c r="O503" s="40">
        <f t="shared" si="86"/>
        <v>-8.2359276505429666E-4</v>
      </c>
      <c r="P503" s="40">
        <f t="shared" si="87"/>
        <v>-1.2869900192610742E-2</v>
      </c>
      <c r="Q503" s="40">
        <f t="shared" si="88"/>
        <v>2.0922805858385546E-2</v>
      </c>
      <c r="R503" s="40">
        <f t="shared" si="89"/>
        <v>-1.1702750146284352E-2</v>
      </c>
      <c r="S503" s="40">
        <f t="shared" si="90"/>
        <v>4.2398546335552225E-3</v>
      </c>
      <c r="T503" s="41">
        <f t="shared" si="91"/>
        <v>-1.9402405898327532E-4</v>
      </c>
      <c r="V503" s="39">
        <f t="shared" si="93"/>
        <v>3.7668756027000967E-3</v>
      </c>
      <c r="W503" s="40" cm="1">
        <f t="array" ref="W503">IF(M503="","",SUMPRODUCT(M503:T503,TRANSPOSE('04_Dashboard'!$C$53:$C$60)))</f>
        <v>4.3326946836792042E-3</v>
      </c>
      <c r="X503" s="42">
        <f t="shared" si="94"/>
        <v>1.5590086822213332</v>
      </c>
      <c r="Y503" s="118">
        <f t="shared" si="95"/>
        <v>1.5968516841258267</v>
      </c>
      <c r="AA503" s="43">
        <f>IF(X503="","",X503/MAX($X$4:X503)-1)</f>
        <v>-9.8974266690687873E-4</v>
      </c>
      <c r="AB503" s="44">
        <f>IF(Y503="","",Y503/MAX($Y$4:Y503)-1)</f>
        <v>0</v>
      </c>
    </row>
    <row r="504" spans="1:28" x14ac:dyDescent="0.45">
      <c r="A504" s="121">
        <v>45931</v>
      </c>
      <c r="B504" s="124">
        <v>668.45</v>
      </c>
      <c r="C504" s="124">
        <v>255.45</v>
      </c>
      <c r="D504" s="124">
        <v>519.71</v>
      </c>
      <c r="E504" s="124">
        <v>310.70999999999998</v>
      </c>
      <c r="F504" s="124">
        <v>111.99</v>
      </c>
      <c r="G504" s="124">
        <v>186.05</v>
      </c>
      <c r="H504" s="124">
        <v>220.63</v>
      </c>
      <c r="I504" s="124">
        <v>66.78</v>
      </c>
      <c r="J504" s="125">
        <v>101.96</v>
      </c>
      <c r="L504" s="39">
        <f t="shared" si="92"/>
        <v>3.4074874658502141E-3</v>
      </c>
      <c r="M504" s="40">
        <f t="shared" si="84"/>
        <v>3.2203589522051337E-3</v>
      </c>
      <c r="N504" s="40">
        <f t="shared" si="85"/>
        <v>3.3980113910608953E-3</v>
      </c>
      <c r="O504" s="40">
        <f t="shared" si="86"/>
        <v>-1.4963700345560115E-2</v>
      </c>
      <c r="P504" s="40">
        <f t="shared" si="87"/>
        <v>-6.7405764966741027E-3</v>
      </c>
      <c r="Q504" s="40">
        <f t="shared" si="88"/>
        <v>3.397691726890432E-3</v>
      </c>
      <c r="R504" s="40">
        <f t="shared" si="89"/>
        <v>4.8276176162499532E-3</v>
      </c>
      <c r="S504" s="40">
        <f t="shared" si="90"/>
        <v>6.9360675512667074E-3</v>
      </c>
      <c r="T504" s="41">
        <f t="shared" si="91"/>
        <v>-1.0673394139336391E-2</v>
      </c>
      <c r="V504" s="39">
        <f t="shared" si="93"/>
        <v>3.4074874658502141E-3</v>
      </c>
      <c r="W504" s="40" cm="1">
        <f t="array" ref="W504">IF(M504="","",SUMPRODUCT(M504:T504,TRANSPOSE('04_Dashboard'!$C$53:$C$60)))</f>
        <v>-2.8393313076366701E-3</v>
      </c>
      <c r="X504" s="42">
        <f t="shared" si="94"/>
        <v>1.564320984765154</v>
      </c>
      <c r="Y504" s="118">
        <f t="shared" si="95"/>
        <v>1.5923176931454359</v>
      </c>
      <c r="AA504" s="43">
        <f>IF(X504="","",X504/MAX($X$4:X504)-1)</f>
        <v>0</v>
      </c>
      <c r="AB504" s="44">
        <f>IF(Y504="","",Y504/MAX($Y$4:Y504)-1)</f>
        <v>-2.8393313076366944E-3</v>
      </c>
    </row>
    <row r="505" spans="1:28" x14ac:dyDescent="0.45">
      <c r="A505" s="121">
        <v>45932</v>
      </c>
      <c r="B505" s="124">
        <v>669.22</v>
      </c>
      <c r="C505" s="124">
        <v>257.13</v>
      </c>
      <c r="D505" s="124">
        <v>515.74</v>
      </c>
      <c r="E505" s="124">
        <v>307.55</v>
      </c>
      <c r="F505" s="124">
        <v>111.29</v>
      </c>
      <c r="G505" s="124">
        <v>185.98</v>
      </c>
      <c r="H505" s="124">
        <v>222.41</v>
      </c>
      <c r="I505" s="124">
        <v>66.099999999999994</v>
      </c>
      <c r="J505" s="125">
        <v>101.7</v>
      </c>
      <c r="L505" s="39">
        <f t="shared" si="92"/>
        <v>1.1519186176976314E-3</v>
      </c>
      <c r="M505" s="40">
        <f t="shared" si="84"/>
        <v>6.5766294773928636E-3</v>
      </c>
      <c r="N505" s="40">
        <f t="shared" si="85"/>
        <v>-7.6388755267361164E-3</v>
      </c>
      <c r="O505" s="40">
        <f t="shared" si="86"/>
        <v>-1.0170255221911005E-2</v>
      </c>
      <c r="P505" s="40">
        <f t="shared" si="87"/>
        <v>-6.2505580855432511E-3</v>
      </c>
      <c r="Q505" s="40">
        <f t="shared" si="88"/>
        <v>-3.7624294544488898E-4</v>
      </c>
      <c r="R505" s="40">
        <f t="shared" si="89"/>
        <v>8.0678058287630937E-3</v>
      </c>
      <c r="S505" s="40">
        <f t="shared" si="90"/>
        <v>-1.0182689427972548E-2</v>
      </c>
      <c r="T505" s="41">
        <f t="shared" si="91"/>
        <v>-2.5500196155354149E-3</v>
      </c>
      <c r="V505" s="39">
        <f t="shared" si="93"/>
        <v>1.1519186176976314E-3</v>
      </c>
      <c r="W505" s="40" cm="1">
        <f t="array" ref="W505">IF(M505="","",SUMPRODUCT(M505:T505,TRANSPOSE('04_Dashboard'!$C$53:$C$60)))</f>
        <v>-4.1421956588372612E-3</v>
      </c>
      <c r="X505" s="42">
        <f t="shared" si="94"/>
        <v>1.5661229552315601</v>
      </c>
      <c r="Y505" s="118">
        <f t="shared" si="95"/>
        <v>1.5857220017093991</v>
      </c>
      <c r="AA505" s="43">
        <f>IF(X505="","",X505/MAX($X$4:X505)-1)</f>
        <v>0</v>
      </c>
      <c r="AB505" s="44">
        <f>IF(Y505="","",Y505/MAX($Y$4:Y505)-1)</f>
        <v>-6.9697659006574542E-3</v>
      </c>
    </row>
    <row r="506" spans="1:28" x14ac:dyDescent="0.45">
      <c r="A506" s="121">
        <v>45933</v>
      </c>
      <c r="B506" s="124">
        <v>669.21</v>
      </c>
      <c r="C506" s="124">
        <v>258.02</v>
      </c>
      <c r="D506" s="124">
        <v>517.35</v>
      </c>
      <c r="E506" s="124">
        <v>310.02999999999997</v>
      </c>
      <c r="F506" s="124">
        <v>113.26</v>
      </c>
      <c r="G506" s="124">
        <v>188.64</v>
      </c>
      <c r="H506" s="124">
        <v>219.51</v>
      </c>
      <c r="I506" s="124">
        <v>66.650000000000006</v>
      </c>
      <c r="J506" s="125">
        <v>102.07</v>
      </c>
      <c r="L506" s="39">
        <f t="shared" si="92"/>
        <v>-1.4942769193973439E-5</v>
      </c>
      <c r="M506" s="40">
        <f t="shared" si="84"/>
        <v>3.461284175319824E-3</v>
      </c>
      <c r="N506" s="40">
        <f t="shared" si="85"/>
        <v>3.1217280024818969E-3</v>
      </c>
      <c r="O506" s="40">
        <f t="shared" si="86"/>
        <v>8.0637294748820074E-3</v>
      </c>
      <c r="P506" s="40">
        <f t="shared" si="87"/>
        <v>1.7701500584059653E-2</v>
      </c>
      <c r="Q506" s="40">
        <f t="shared" si="88"/>
        <v>1.430261318421334E-2</v>
      </c>
      <c r="R506" s="40">
        <f t="shared" si="89"/>
        <v>-1.3038982060159191E-2</v>
      </c>
      <c r="S506" s="40">
        <f t="shared" si="90"/>
        <v>8.3207261724661339E-3</v>
      </c>
      <c r="T506" s="41">
        <f t="shared" si="91"/>
        <v>3.6381514257619501E-3</v>
      </c>
      <c r="V506" s="39">
        <f t="shared" si="93"/>
        <v>-1.4942769193973439E-5</v>
      </c>
      <c r="W506" s="40" cm="1">
        <f t="array" ref="W506">IF(M506="","",SUMPRODUCT(M506:T506,TRANSPOSE('04_Dashboard'!$C$53:$C$60)))</f>
        <v>7.3085659015876027E-3</v>
      </c>
      <c r="X506" s="42">
        <f t="shared" si="94"/>
        <v>1.5660995530177106</v>
      </c>
      <c r="Y506" s="118">
        <f t="shared" si="95"/>
        <v>1.5973113554604899</v>
      </c>
      <c r="AA506" s="43">
        <f>IF(X506="","",X506/MAX($X$4:X506)-1)</f>
        <v>-1.4942769194004057E-5</v>
      </c>
      <c r="AB506" s="44">
        <f>IF(Y506="","",Y506/MAX($Y$4:Y506)-1)</f>
        <v>0</v>
      </c>
    </row>
    <row r="507" spans="1:28" x14ac:dyDescent="0.45">
      <c r="A507" s="121">
        <v>45936</v>
      </c>
      <c r="B507" s="124">
        <v>671.61</v>
      </c>
      <c r="C507" s="124">
        <v>256.69</v>
      </c>
      <c r="D507" s="124">
        <v>528.57000000000005</v>
      </c>
      <c r="E507" s="124">
        <v>309.18</v>
      </c>
      <c r="F507" s="124">
        <v>114.2</v>
      </c>
      <c r="G507" s="124">
        <v>188.16</v>
      </c>
      <c r="H507" s="124">
        <v>220.9</v>
      </c>
      <c r="I507" s="124">
        <v>66.099999999999994</v>
      </c>
      <c r="J507" s="125">
        <v>102.7</v>
      </c>
      <c r="L507" s="39">
        <f t="shared" si="92"/>
        <v>3.5863181960819131E-3</v>
      </c>
      <c r="M507" s="40">
        <f t="shared" si="84"/>
        <v>-5.1546391752576703E-3</v>
      </c>
      <c r="N507" s="40">
        <f t="shared" si="85"/>
        <v>2.1687445636416405E-2</v>
      </c>
      <c r="O507" s="40">
        <f t="shared" si="86"/>
        <v>-2.7416701609520562E-3</v>
      </c>
      <c r="P507" s="40">
        <f t="shared" si="87"/>
        <v>8.2994879039378217E-3</v>
      </c>
      <c r="Q507" s="40">
        <f t="shared" si="88"/>
        <v>-2.54452926208646E-3</v>
      </c>
      <c r="R507" s="40">
        <f t="shared" si="89"/>
        <v>6.3322855450777408E-3</v>
      </c>
      <c r="S507" s="40">
        <f t="shared" si="90"/>
        <v>-8.2520630157541085E-3</v>
      </c>
      <c r="T507" s="41">
        <f t="shared" si="91"/>
        <v>6.1722347408642081E-3</v>
      </c>
      <c r="V507" s="39">
        <f t="shared" si="93"/>
        <v>3.5863181960819131E-3</v>
      </c>
      <c r="W507" s="40" cm="1">
        <f t="array" ref="W507">IF(M507="","",SUMPRODUCT(M507:T507,TRANSPOSE('04_Dashboard'!$C$53:$C$60)))</f>
        <v>5.3433745118485496E-4</v>
      </c>
      <c r="X507" s="42">
        <f t="shared" si="94"/>
        <v>1.5717160843415741</v>
      </c>
      <c r="Y507" s="118">
        <f t="shared" si="95"/>
        <v>1.5981648587389152</v>
      </c>
      <c r="AA507" s="43">
        <f>IF(X507="","",X507/MAX($X$4:X507)-1)</f>
        <v>0</v>
      </c>
      <c r="AB507" s="44">
        <f>IF(Y507="","",Y507/MAX($Y$4:Y507)-1)</f>
        <v>0</v>
      </c>
    </row>
    <row r="508" spans="1:28" x14ac:dyDescent="0.45">
      <c r="A508" s="121">
        <v>45937</v>
      </c>
      <c r="B508" s="124">
        <v>669.12</v>
      </c>
      <c r="C508" s="124">
        <v>256.48</v>
      </c>
      <c r="D508" s="124">
        <v>523.98</v>
      </c>
      <c r="E508" s="124">
        <v>307.69</v>
      </c>
      <c r="F508" s="124">
        <v>114.26</v>
      </c>
      <c r="G508" s="124">
        <v>188.89</v>
      </c>
      <c r="H508" s="124">
        <v>221.78</v>
      </c>
      <c r="I508" s="124">
        <v>66.790000000000006</v>
      </c>
      <c r="J508" s="125">
        <v>103.24</v>
      </c>
      <c r="L508" s="39">
        <f t="shared" si="92"/>
        <v>-3.7075088220842587E-3</v>
      </c>
      <c r="M508" s="40">
        <f t="shared" si="84"/>
        <v>-8.1810744477766781E-4</v>
      </c>
      <c r="N508" s="40">
        <f t="shared" si="85"/>
        <v>-8.6838072535331771E-3</v>
      </c>
      <c r="O508" s="40">
        <f t="shared" si="86"/>
        <v>-4.819199172003393E-3</v>
      </c>
      <c r="P508" s="40">
        <f t="shared" si="87"/>
        <v>5.253940455341705E-4</v>
      </c>
      <c r="Q508" s="40">
        <f t="shared" si="88"/>
        <v>3.8796768707482451E-3</v>
      </c>
      <c r="R508" s="40">
        <f t="shared" si="89"/>
        <v>3.983703033046607E-3</v>
      </c>
      <c r="S508" s="40">
        <f t="shared" si="90"/>
        <v>1.0438729198184751E-2</v>
      </c>
      <c r="T508" s="41">
        <f t="shared" si="91"/>
        <v>5.2580331061342946E-3</v>
      </c>
      <c r="V508" s="39">
        <f t="shared" si="93"/>
        <v>-3.7075088220842587E-3</v>
      </c>
      <c r="W508" s="40" cm="1">
        <f t="array" ref="W508">IF(M508="","",SUMPRODUCT(M508:T508,TRANSPOSE('04_Dashboard'!$C$53:$C$60)))</f>
        <v>1.6443856574155063E-3</v>
      </c>
      <c r="X508" s="42">
        <f t="shared" si="94"/>
        <v>1.5658889330930659</v>
      </c>
      <c r="Y508" s="118">
        <f t="shared" si="95"/>
        <v>1.6007928581108111</v>
      </c>
      <c r="AA508" s="43">
        <f>IF(X508="","",X508/MAX($X$4:X508)-1)</f>
        <v>-3.70750882208426E-3</v>
      </c>
      <c r="AB508" s="44">
        <f>IF(Y508="","",Y508/MAX($Y$4:Y508)-1)</f>
        <v>0</v>
      </c>
    </row>
    <row r="509" spans="1:28" x14ac:dyDescent="0.45">
      <c r="A509" s="121">
        <v>45938</v>
      </c>
      <c r="B509" s="124">
        <v>673.11</v>
      </c>
      <c r="C509" s="124">
        <v>258.06</v>
      </c>
      <c r="D509" s="124">
        <v>524.85</v>
      </c>
      <c r="E509" s="124">
        <v>304.02999999999997</v>
      </c>
      <c r="F509" s="124">
        <v>114.02</v>
      </c>
      <c r="G509" s="124">
        <v>189.69</v>
      </c>
      <c r="H509" s="124">
        <v>225.22</v>
      </c>
      <c r="I509" s="124">
        <v>66.12</v>
      </c>
      <c r="J509" s="125">
        <v>102.9</v>
      </c>
      <c r="L509" s="39">
        <f t="shared" si="92"/>
        <v>5.9630559540889659E-3</v>
      </c>
      <c r="M509" s="40">
        <f t="shared" si="84"/>
        <v>6.1603243917653771E-3</v>
      </c>
      <c r="N509" s="40">
        <f t="shared" si="85"/>
        <v>1.6603687163632287E-3</v>
      </c>
      <c r="O509" s="40">
        <f t="shared" si="86"/>
        <v>-1.189508921316918E-2</v>
      </c>
      <c r="P509" s="40">
        <f t="shared" si="87"/>
        <v>-2.1004726063365052E-3</v>
      </c>
      <c r="Q509" s="40">
        <f t="shared" si="88"/>
        <v>4.2352692042988589E-3</v>
      </c>
      <c r="R509" s="40">
        <f t="shared" si="89"/>
        <v>1.551086662458291E-2</v>
      </c>
      <c r="S509" s="40">
        <f t="shared" si="90"/>
        <v>-1.0031441832609697E-2</v>
      </c>
      <c r="T509" s="41">
        <f t="shared" si="91"/>
        <v>-3.2932971716387953E-3</v>
      </c>
      <c r="V509" s="39">
        <f t="shared" si="93"/>
        <v>5.9630559540889659E-3</v>
      </c>
      <c r="W509" s="40" cm="1">
        <f t="array" ref="W509">IF(M509="","",SUMPRODUCT(M509:T509,TRANSPOSE('04_Dashboard'!$C$53:$C$60)))</f>
        <v>-2.1702491016181019E-3</v>
      </c>
      <c r="X509" s="42">
        <f t="shared" si="94"/>
        <v>1.5752264164189884</v>
      </c>
      <c r="Y509" s="118">
        <f t="shared" si="95"/>
        <v>1.5973187388486194</v>
      </c>
      <c r="AA509" s="43">
        <f>IF(X509="","",X509/MAX($X$4:X509)-1)</f>
        <v>0</v>
      </c>
      <c r="AB509" s="44">
        <f>IF(Y509="","",Y509/MAX($Y$4:Y509)-1)</f>
        <v>-2.1702491016181158E-3</v>
      </c>
    </row>
    <row r="510" spans="1:28" x14ac:dyDescent="0.45">
      <c r="A510" s="121">
        <v>45939</v>
      </c>
      <c r="B510" s="124">
        <v>671.16</v>
      </c>
      <c r="C510" s="124">
        <v>254.04</v>
      </c>
      <c r="D510" s="124">
        <v>522.4</v>
      </c>
      <c r="E510" s="124">
        <v>305.52999999999997</v>
      </c>
      <c r="F510" s="124">
        <v>112.91</v>
      </c>
      <c r="G510" s="124">
        <v>191.08</v>
      </c>
      <c r="H510" s="124">
        <v>227.74</v>
      </c>
      <c r="I510" s="124">
        <v>66.37</v>
      </c>
      <c r="J510" s="125">
        <v>101.77</v>
      </c>
      <c r="L510" s="39">
        <f t="shared" si="92"/>
        <v>-2.8970004902616887E-3</v>
      </c>
      <c r="M510" s="40">
        <f t="shared" si="84"/>
        <v>-1.5577772611020732E-2</v>
      </c>
      <c r="N510" s="40">
        <f t="shared" si="85"/>
        <v>-4.6680003810613416E-3</v>
      </c>
      <c r="O510" s="40">
        <f t="shared" si="86"/>
        <v>4.9337236456928595E-3</v>
      </c>
      <c r="P510" s="40">
        <f t="shared" si="87"/>
        <v>-9.7351341869847344E-3</v>
      </c>
      <c r="Q510" s="40">
        <f t="shared" si="88"/>
        <v>7.3277452685962087E-3</v>
      </c>
      <c r="R510" s="40">
        <f t="shared" si="89"/>
        <v>1.1189059586182444E-2</v>
      </c>
      <c r="S510" s="40">
        <f t="shared" si="90"/>
        <v>3.7810042347247428E-3</v>
      </c>
      <c r="T510" s="41">
        <f t="shared" si="91"/>
        <v>-1.0981535471331483E-2</v>
      </c>
      <c r="V510" s="39">
        <f t="shared" si="93"/>
        <v>-2.8970004902616887E-3</v>
      </c>
      <c r="W510" s="40" cm="1">
        <f t="array" ref="W510">IF(M510="","",SUMPRODUCT(M510:T510,TRANSPOSE('04_Dashboard'!$C$53:$C$60)))</f>
        <v>1.0670436161592483E-3</v>
      </c>
      <c r="X510" s="42">
        <f t="shared" si="94"/>
        <v>1.5706629847183495</v>
      </c>
      <c r="Y510" s="118">
        <f t="shared" si="95"/>
        <v>1.5990231476118795</v>
      </c>
      <c r="AA510" s="43">
        <f>IF(X510="","",X510/MAX($X$4:X510)-1)</f>
        <v>-2.8970004902616475E-3</v>
      </c>
      <c r="AB510" s="44">
        <f>IF(Y510="","",Y510/MAX($Y$4:Y510)-1)</f>
        <v>-1.1055212359081246E-3</v>
      </c>
    </row>
    <row r="511" spans="1:28" x14ac:dyDescent="0.45">
      <c r="A511" s="121">
        <v>45940</v>
      </c>
      <c r="B511" s="124">
        <v>653.02</v>
      </c>
      <c r="C511" s="124">
        <v>245.27</v>
      </c>
      <c r="D511" s="124">
        <v>510.96</v>
      </c>
      <c r="E511" s="124">
        <v>300.89</v>
      </c>
      <c r="F511" s="124">
        <v>110.73</v>
      </c>
      <c r="G511" s="124">
        <v>190.72</v>
      </c>
      <c r="H511" s="124">
        <v>216.37</v>
      </c>
      <c r="I511" s="124">
        <v>67.040000000000006</v>
      </c>
      <c r="J511" s="125">
        <v>101.84</v>
      </c>
      <c r="L511" s="39">
        <f t="shared" si="92"/>
        <v>-2.7027832409559551E-2</v>
      </c>
      <c r="M511" s="40">
        <f t="shared" si="84"/>
        <v>-3.4522122500393569E-2</v>
      </c>
      <c r="N511" s="40">
        <f t="shared" si="85"/>
        <v>-2.1898928024502294E-2</v>
      </c>
      <c r="O511" s="40">
        <f t="shared" si="86"/>
        <v>-1.5186724707884616E-2</v>
      </c>
      <c r="P511" s="40">
        <f t="shared" si="87"/>
        <v>-1.9307412983792335E-2</v>
      </c>
      <c r="Q511" s="40">
        <f t="shared" si="88"/>
        <v>-1.8840276324053465E-3</v>
      </c>
      <c r="R511" s="40">
        <f t="shared" si="89"/>
        <v>-4.9925353473259E-2</v>
      </c>
      <c r="S511" s="40">
        <f t="shared" si="90"/>
        <v>1.0094922404700944E-2</v>
      </c>
      <c r="T511" s="41">
        <f t="shared" si="91"/>
        <v>6.8782548884747366E-4</v>
      </c>
      <c r="V511" s="39">
        <f t="shared" si="93"/>
        <v>-2.7027832409559551E-2</v>
      </c>
      <c r="W511" s="40" cm="1">
        <f t="array" ref="W511">IF(M511="","",SUMPRODUCT(M511:T511,TRANSPOSE('04_Dashboard'!$C$53:$C$60)))</f>
        <v>-1.0585259826527946E-2</v>
      </c>
      <c r="X511" s="42">
        <f t="shared" si="94"/>
        <v>1.5282113687954835</v>
      </c>
      <c r="Y511" s="118">
        <f t="shared" si="95"/>
        <v>1.5820970721257752</v>
      </c>
      <c r="AA511" s="43">
        <f>IF(X511="","",X511/MAX($X$4:X511)-1)</f>
        <v>-2.9846533256079888E-2</v>
      </c>
      <c r="AB511" s="44">
        <f>IF(Y511="","",Y511/MAX($Y$4:Y511)-1)</f>
        <v>-1.1679078832910195E-2</v>
      </c>
    </row>
    <row r="512" spans="1:28" x14ac:dyDescent="0.45">
      <c r="A512" s="121">
        <v>45943</v>
      </c>
      <c r="B512" s="124">
        <v>663.04</v>
      </c>
      <c r="C512" s="124">
        <v>247.66</v>
      </c>
      <c r="D512" s="124">
        <v>514.04999999999995</v>
      </c>
      <c r="E512" s="124">
        <v>307.97000000000003</v>
      </c>
      <c r="F512" s="124">
        <v>112.24</v>
      </c>
      <c r="G512" s="124">
        <v>190.9</v>
      </c>
      <c r="H512" s="124">
        <v>220.07</v>
      </c>
      <c r="I512" s="124">
        <v>66.8</v>
      </c>
      <c r="J512" s="125">
        <v>102.12</v>
      </c>
      <c r="L512" s="39">
        <f t="shared" si="92"/>
        <v>1.5344093595908215E-2</v>
      </c>
      <c r="M512" s="40">
        <f t="shared" si="84"/>
        <v>9.7443633546703077E-3</v>
      </c>
      <c r="N512" s="40">
        <f t="shared" si="85"/>
        <v>6.0474401127289324E-3</v>
      </c>
      <c r="O512" s="40">
        <f t="shared" si="86"/>
        <v>2.3530193758516539E-2</v>
      </c>
      <c r="P512" s="40">
        <f t="shared" si="87"/>
        <v>1.3636774135283941E-2</v>
      </c>
      <c r="Q512" s="40">
        <f t="shared" si="88"/>
        <v>9.4379194630876055E-4</v>
      </c>
      <c r="R512" s="40">
        <f t="shared" si="89"/>
        <v>1.7100337385034841E-2</v>
      </c>
      <c r="S512" s="40">
        <f t="shared" si="90"/>
        <v>-3.5799522673032381E-3</v>
      </c>
      <c r="T512" s="41">
        <f t="shared" si="91"/>
        <v>2.7494108405341825E-3</v>
      </c>
      <c r="V512" s="39">
        <f t="shared" si="93"/>
        <v>1.5344093595908215E-2</v>
      </c>
      <c r="W512" s="40" cm="1">
        <f t="array" ref="W512">IF(M512="","",SUMPRODUCT(M512:T512,TRANSPOSE('04_Dashboard'!$C$53:$C$60)))</f>
        <v>8.5784551369714451E-3</v>
      </c>
      <c r="X512" s="42">
        <f t="shared" si="94"/>
        <v>1.5516603870726122</v>
      </c>
      <c r="Y512" s="118">
        <f t="shared" si="95"/>
        <v>1.59566902088134</v>
      </c>
      <c r="AA512" s="43">
        <f>IF(X512="","",X512/MAX($X$4:X512)-1)</f>
        <v>-1.4960407659966535E-2</v>
      </c>
      <c r="AB512" s="44">
        <f>IF(Y512="","",Y512/MAX($Y$4:Y512)-1)</f>
        <v>-3.2008121497481001E-3</v>
      </c>
    </row>
    <row r="513" spans="1:28" x14ac:dyDescent="0.45">
      <c r="A513" s="121">
        <v>45944</v>
      </c>
      <c r="B513" s="124">
        <v>662.23</v>
      </c>
      <c r="C513" s="124">
        <v>247.77</v>
      </c>
      <c r="D513" s="124">
        <v>513.57000000000005</v>
      </c>
      <c r="E513" s="124">
        <v>302.08</v>
      </c>
      <c r="F513" s="124">
        <v>112.29</v>
      </c>
      <c r="G513" s="124">
        <v>190.85</v>
      </c>
      <c r="H513" s="124">
        <v>216.39</v>
      </c>
      <c r="I513" s="124">
        <v>67.510000000000005</v>
      </c>
      <c r="J513" s="125">
        <v>107.21</v>
      </c>
      <c r="L513" s="39">
        <f t="shared" si="92"/>
        <v>-1.2216457528956707E-3</v>
      </c>
      <c r="M513" s="40">
        <f t="shared" si="84"/>
        <v>4.4415731244453545E-4</v>
      </c>
      <c r="N513" s="40">
        <f t="shared" si="85"/>
        <v>-9.3376130726564453E-4</v>
      </c>
      <c r="O513" s="40">
        <f t="shared" si="86"/>
        <v>-1.9125239471377221E-2</v>
      </c>
      <c r="P513" s="40">
        <f t="shared" si="87"/>
        <v>4.4547398431941704E-4</v>
      </c>
      <c r="Q513" s="40">
        <f t="shared" si="88"/>
        <v>-2.6191723415406687E-4</v>
      </c>
      <c r="R513" s="40">
        <f t="shared" si="89"/>
        <v>-1.6721952106148075E-2</v>
      </c>
      <c r="S513" s="40">
        <f t="shared" si="90"/>
        <v>1.0628742514970179E-2</v>
      </c>
      <c r="T513" s="41">
        <f t="shared" si="91"/>
        <v>4.9843321582451909E-2</v>
      </c>
      <c r="V513" s="39">
        <f t="shared" si="93"/>
        <v>-1.2216457528956707E-3</v>
      </c>
      <c r="W513" s="40" cm="1">
        <f t="array" ref="W513">IF(M513="","",SUMPRODUCT(M513:T513,TRANSPOSE('04_Dashboard'!$C$53:$C$60)))</f>
        <v>2.582789796833824E-3</v>
      </c>
      <c r="X513" s="42">
        <f t="shared" si="94"/>
        <v>1.5497648077508086</v>
      </c>
      <c r="Y513" s="118">
        <f t="shared" si="95"/>
        <v>1.599790298547596</v>
      </c>
      <c r="AA513" s="43">
        <f>IF(X513="","",X513/MAX($X$4:X513)-1)</f>
        <v>-1.616377709438277E-2</v>
      </c>
      <c r="AB513" s="44">
        <f>IF(Y513="","",Y513/MAX($Y$4:Y513)-1)</f>
        <v>-6.2628937787634342E-4</v>
      </c>
    </row>
    <row r="514" spans="1:28" x14ac:dyDescent="0.45">
      <c r="A514" s="121">
        <v>45945</v>
      </c>
      <c r="B514" s="124">
        <v>665.17</v>
      </c>
      <c r="C514" s="124">
        <v>249.34</v>
      </c>
      <c r="D514" s="124">
        <v>513.42999999999995</v>
      </c>
      <c r="E514" s="124">
        <v>305.69</v>
      </c>
      <c r="F514" s="124">
        <v>111.61</v>
      </c>
      <c r="G514" s="124">
        <v>191.17</v>
      </c>
      <c r="H514" s="124">
        <v>215.57</v>
      </c>
      <c r="I514" s="124">
        <v>67.08</v>
      </c>
      <c r="J514" s="125">
        <v>109.03</v>
      </c>
      <c r="L514" s="39">
        <f t="shared" si="92"/>
        <v>4.4395451731270722E-3</v>
      </c>
      <c r="M514" s="40">
        <f t="shared" si="84"/>
        <v>6.336521774226069E-3</v>
      </c>
      <c r="N514" s="40">
        <f t="shared" si="85"/>
        <v>-2.7260159277235825E-4</v>
      </c>
      <c r="O514" s="40">
        <f t="shared" si="86"/>
        <v>1.19504766949153E-2</v>
      </c>
      <c r="P514" s="40">
        <f t="shared" si="87"/>
        <v>-6.0557485083267146E-3</v>
      </c>
      <c r="Q514" s="40">
        <f t="shared" si="88"/>
        <v>1.6767094576892491E-3</v>
      </c>
      <c r="R514" s="40">
        <f t="shared" si="89"/>
        <v>-3.789454226165688E-3</v>
      </c>
      <c r="S514" s="40">
        <f t="shared" si="90"/>
        <v>-6.3694267515924576E-3</v>
      </c>
      <c r="T514" s="41">
        <f t="shared" si="91"/>
        <v>1.6976028355563916E-2</v>
      </c>
      <c r="V514" s="39">
        <f t="shared" si="93"/>
        <v>4.4395451731270722E-3</v>
      </c>
      <c r="W514" s="40" cm="1">
        <f t="array" ref="W514">IF(M514="","",SUMPRODUCT(M514:T514,TRANSPOSE('04_Dashboard'!$C$53:$C$60)))</f>
        <v>4.4680460529559415E-3</v>
      </c>
      <c r="X514" s="42">
        <f t="shared" si="94"/>
        <v>1.5566450586225411</v>
      </c>
      <c r="Y514" s="118">
        <f t="shared" si="95"/>
        <v>1.6069382352765789</v>
      </c>
      <c r="AA514" s="43">
        <f>IF(X514="","",X514/MAX($X$4:X514)-1)</f>
        <v>-1.1795991739834366E-2</v>
      </c>
      <c r="AB514" s="44">
        <f>IF(Y514="","",Y514/MAX($Y$4:Y514)-1)</f>
        <v>0</v>
      </c>
    </row>
    <row r="515" spans="1:28" x14ac:dyDescent="0.45">
      <c r="A515" s="121">
        <v>45946</v>
      </c>
      <c r="B515" s="124">
        <v>660.64</v>
      </c>
      <c r="C515" s="124">
        <v>247.45</v>
      </c>
      <c r="D515" s="124">
        <v>511.61</v>
      </c>
      <c r="E515" s="124">
        <v>298.54000000000002</v>
      </c>
      <c r="F515" s="124">
        <v>110.64</v>
      </c>
      <c r="G515" s="124">
        <v>192.12</v>
      </c>
      <c r="H515" s="124">
        <v>214.47</v>
      </c>
      <c r="I515" s="124">
        <v>67.59</v>
      </c>
      <c r="J515" s="125">
        <v>106.47</v>
      </c>
      <c r="L515" s="39">
        <f t="shared" si="92"/>
        <v>-6.8102890990272757E-3</v>
      </c>
      <c r="M515" s="40">
        <f t="shared" si="84"/>
        <v>-7.5800112296463256E-3</v>
      </c>
      <c r="N515" s="40">
        <f t="shared" si="85"/>
        <v>-3.5447870206258623E-3</v>
      </c>
      <c r="O515" s="40">
        <f t="shared" si="86"/>
        <v>-2.3389708528247496E-2</v>
      </c>
      <c r="P515" s="40">
        <f t="shared" si="87"/>
        <v>-8.6909775109757087E-3</v>
      </c>
      <c r="Q515" s="40">
        <f t="shared" si="88"/>
        <v>4.9693989642727266E-3</v>
      </c>
      <c r="R515" s="40">
        <f t="shared" si="89"/>
        <v>-5.1027508465927279E-3</v>
      </c>
      <c r="S515" s="40">
        <f t="shared" si="90"/>
        <v>7.6028622540251214E-3</v>
      </c>
      <c r="T515" s="41">
        <f t="shared" si="91"/>
        <v>-2.3479776208383034E-2</v>
      </c>
      <c r="V515" s="39">
        <f t="shared" si="93"/>
        <v>-6.8102890990272757E-3</v>
      </c>
      <c r="W515" s="40" cm="1">
        <f t="array" ref="W515">IF(M515="","",SUMPRODUCT(M515:T515,TRANSPOSE('04_Dashboard'!$C$53:$C$60)))</f>
        <v>-8.051929112485371E-3</v>
      </c>
      <c r="X515" s="42">
        <f t="shared" si="94"/>
        <v>1.5460438557487495</v>
      </c>
      <c r="Y515" s="118">
        <f t="shared" si="95"/>
        <v>1.5939992825179894</v>
      </c>
      <c r="AA515" s="43">
        <f>IF(X515="","",X515/MAX($X$4:X515)-1)</f>
        <v>-1.8525946724903597E-2</v>
      </c>
      <c r="AB515" s="44">
        <f>IF(Y515="","",Y515/MAX($Y$4:Y515)-1)</f>
        <v>-8.0519291124854231E-3</v>
      </c>
    </row>
    <row r="516" spans="1:28" x14ac:dyDescent="0.45">
      <c r="A516" s="121">
        <v>45947</v>
      </c>
      <c r="B516" s="124">
        <v>664.39</v>
      </c>
      <c r="C516" s="124">
        <v>252.29</v>
      </c>
      <c r="D516" s="124">
        <v>513.58000000000004</v>
      </c>
      <c r="E516" s="124">
        <v>297.56</v>
      </c>
      <c r="F516" s="124">
        <v>112.24</v>
      </c>
      <c r="G516" s="124">
        <v>193.22</v>
      </c>
      <c r="H516" s="124">
        <v>213.04</v>
      </c>
      <c r="I516" s="124">
        <v>68.44</v>
      </c>
      <c r="J516" s="125">
        <v>107.73</v>
      </c>
      <c r="L516" s="39">
        <f t="shared" si="92"/>
        <v>5.6763138774521679E-3</v>
      </c>
      <c r="M516" s="40">
        <f t="shared" ref="M516:M579" si="96">IF(C516="","",(C516-C515)/C515)</f>
        <v>1.9559506971105287E-2</v>
      </c>
      <c r="N516" s="40">
        <f t="shared" ref="N516:N579" si="97">IF(D516="","",(D516-D515)/D515)</f>
        <v>3.8505893160806614E-3</v>
      </c>
      <c r="O516" s="40">
        <f t="shared" ref="O516:O579" si="98">IF(E516="","",(E516-E515)/E515)</f>
        <v>-3.2826421920011326E-3</v>
      </c>
      <c r="P516" s="40">
        <f t="shared" ref="P516:P579" si="99">IF(F516="","",(F516-F515)/F515)</f>
        <v>1.4461315979754107E-2</v>
      </c>
      <c r="Q516" s="40">
        <f t="shared" ref="Q516:Q579" si="100">IF(G516="","",(G516-G515)/G515)</f>
        <v>5.7255881740578508E-3</v>
      </c>
      <c r="R516" s="40">
        <f t="shared" ref="R516:R579" si="101">IF(H516="","",(H516-H515)/H515)</f>
        <v>-6.6675991980230656E-3</v>
      </c>
      <c r="S516" s="40">
        <f t="shared" ref="S516:S579" si="102">IF(I516="","",(I516-I515)/I515)</f>
        <v>1.2575824826157631E-2</v>
      </c>
      <c r="T516" s="41">
        <f t="shared" ref="T516:T579" si="103">IF(J516="","",(J516-J515)/J515)</f>
        <v>1.1834319526627267E-2</v>
      </c>
      <c r="V516" s="39">
        <f t="shared" si="93"/>
        <v>5.6763138774521679E-3</v>
      </c>
      <c r="W516" s="40" cm="1">
        <f t="array" ref="W516">IF(M516="","",SUMPRODUCT(M516:T516,TRANSPOSE('04_Dashboard'!$C$53:$C$60)))</f>
        <v>5.5512396398455068E-3</v>
      </c>
      <c r="X516" s="42">
        <f t="shared" si="94"/>
        <v>1.5548196859422858</v>
      </c>
      <c r="Y516" s="118">
        <f t="shared" si="95"/>
        <v>1.6028479545209886</v>
      </c>
      <c r="AA516" s="43">
        <f>IF(X516="","",X516/MAX($X$4:X516)-1)</f>
        <v>-1.2954791935938847E-2</v>
      </c>
      <c r="AB516" s="44">
        <f>IF(Y516="","",Y516/MAX($Y$4:Y516)-1)</f>
        <v>-2.545387660706333E-3</v>
      </c>
    </row>
    <row r="517" spans="1:28" x14ac:dyDescent="0.45">
      <c r="A517" s="121">
        <v>45950</v>
      </c>
      <c r="B517" s="124">
        <v>671.3</v>
      </c>
      <c r="C517" s="124">
        <v>262.24</v>
      </c>
      <c r="D517" s="124">
        <v>516.79</v>
      </c>
      <c r="E517" s="124">
        <v>302.36</v>
      </c>
      <c r="F517" s="124">
        <v>112.7</v>
      </c>
      <c r="G517" s="124">
        <v>193.72</v>
      </c>
      <c r="H517" s="124">
        <v>216.48</v>
      </c>
      <c r="I517" s="124">
        <v>68.44</v>
      </c>
      <c r="J517" s="125">
        <v>107.05</v>
      </c>
      <c r="L517" s="39">
        <f t="shared" ref="L517:L580" si="104">IF(B517="","",(B517-B516)/B516)</f>
        <v>1.0400517768178281E-2</v>
      </c>
      <c r="M517" s="40">
        <f t="shared" si="96"/>
        <v>3.943874113123793E-2</v>
      </c>
      <c r="N517" s="40">
        <f t="shared" si="97"/>
        <v>6.2502433895399402E-3</v>
      </c>
      <c r="O517" s="40">
        <f t="shared" si="98"/>
        <v>1.6131200430165384E-2</v>
      </c>
      <c r="P517" s="40">
        <f t="shared" si="99"/>
        <v>4.0983606557377763E-3</v>
      </c>
      <c r="Q517" s="40">
        <f t="shared" si="100"/>
        <v>2.5877238381119966E-3</v>
      </c>
      <c r="R517" s="40">
        <f t="shared" si="101"/>
        <v>1.6147202403304535E-2</v>
      </c>
      <c r="S517" s="40">
        <f t="shared" si="102"/>
        <v>0</v>
      </c>
      <c r="T517" s="41">
        <f t="shared" si="103"/>
        <v>-6.312076487515147E-3</v>
      </c>
      <c r="V517" s="39">
        <f t="shared" ref="V517:V580" si="105">L517</f>
        <v>1.0400517768178281E-2</v>
      </c>
      <c r="W517" s="40" cm="1">
        <f t="array" ref="W517">IF(M517="","",SUMPRODUCT(M517:T517,TRANSPOSE('04_Dashboard'!$C$53:$C$60)))</f>
        <v>7.5514524910522234E-3</v>
      </c>
      <c r="X517" s="42">
        <f t="shared" si="94"/>
        <v>1.570990615712242</v>
      </c>
      <c r="Y517" s="118">
        <f t="shared" si="95"/>
        <v>1.6149517846999342</v>
      </c>
      <c r="AA517" s="43">
        <f>IF(X517="","",X517/MAX($X$4:X517)-1)</f>
        <v>-2.6890107114733164E-3</v>
      </c>
      <c r="AB517" s="44">
        <f>IF(Y517="","",Y517/MAX($Y$4:Y517)-1)</f>
        <v>0</v>
      </c>
    </row>
    <row r="518" spans="1:28" x14ac:dyDescent="0.45">
      <c r="A518" s="121">
        <v>45951</v>
      </c>
      <c r="B518" s="124">
        <v>671.29</v>
      </c>
      <c r="C518" s="124">
        <v>262.77</v>
      </c>
      <c r="D518" s="124">
        <v>517.66</v>
      </c>
      <c r="E518" s="124">
        <v>297.08999999999997</v>
      </c>
      <c r="F518" s="124">
        <v>112.71</v>
      </c>
      <c r="G518" s="124">
        <v>191.88</v>
      </c>
      <c r="H518" s="124">
        <v>222.03</v>
      </c>
      <c r="I518" s="124">
        <v>71.22</v>
      </c>
      <c r="J518" s="125">
        <v>106.22</v>
      </c>
      <c r="L518" s="39">
        <f t="shared" si="104"/>
        <v>-1.4896469536706249E-5</v>
      </c>
      <c r="M518" s="40">
        <f t="shared" si="96"/>
        <v>2.0210494203781754E-3</v>
      </c>
      <c r="N518" s="40">
        <f t="shared" si="97"/>
        <v>1.6834691073743776E-3</v>
      </c>
      <c r="O518" s="40">
        <f t="shared" si="98"/>
        <v>-1.7429554173832646E-2</v>
      </c>
      <c r="P518" s="40">
        <f t="shared" si="99"/>
        <v>8.8731144631685048E-5</v>
      </c>
      <c r="Q518" s="40">
        <f t="shared" si="100"/>
        <v>-9.4982448895313005E-3</v>
      </c>
      <c r="R518" s="40">
        <f t="shared" si="101"/>
        <v>2.56374722838138E-2</v>
      </c>
      <c r="S518" s="40">
        <f t="shared" si="102"/>
        <v>4.0619520748100546E-2</v>
      </c>
      <c r="T518" s="41">
        <f t="shared" si="103"/>
        <v>-7.7533862680990032E-3</v>
      </c>
      <c r="V518" s="39">
        <f t="shared" si="105"/>
        <v>-1.4896469536706249E-5</v>
      </c>
      <c r="W518" s="40" cm="1">
        <f t="array" ref="W518">IF(M518="","",SUMPRODUCT(M518:T518,TRANSPOSE('04_Dashboard'!$C$53:$C$60)))</f>
        <v>2.6296676267476178E-4</v>
      </c>
      <c r="X518" s="42">
        <f t="shared" ref="X518:X581" si="106">IF(V518="","",X517*(1+V518))</f>
        <v>1.5709672134983925</v>
      </c>
      <c r="Y518" s="118">
        <f t="shared" ref="Y518:Y581" si="107">IF(W518="","",Y517*(1+W518))</f>
        <v>1.6153764633426326</v>
      </c>
      <c r="AA518" s="43">
        <f>IF(X518="","",X518/MAX($X$4:X518)-1)</f>
        <v>-2.7038671242439749E-3</v>
      </c>
      <c r="AB518" s="44">
        <f>IF(Y518="","",Y518/MAX($Y$4:Y518)-1)</f>
        <v>0</v>
      </c>
    </row>
    <row r="519" spans="1:28" x14ac:dyDescent="0.45">
      <c r="A519" s="121">
        <v>45952</v>
      </c>
      <c r="B519" s="124">
        <v>667.8</v>
      </c>
      <c r="C519" s="124">
        <v>258.45</v>
      </c>
      <c r="D519" s="124">
        <v>520.54</v>
      </c>
      <c r="E519" s="124">
        <v>294.11</v>
      </c>
      <c r="F519" s="124">
        <v>114.71</v>
      </c>
      <c r="G519" s="124">
        <v>192.94</v>
      </c>
      <c r="H519" s="124">
        <v>217.95</v>
      </c>
      <c r="I519" s="124">
        <v>70.81</v>
      </c>
      <c r="J519" s="125">
        <v>107.14</v>
      </c>
      <c r="L519" s="39">
        <f t="shared" si="104"/>
        <v>-5.1989453142457197E-3</v>
      </c>
      <c r="M519" s="40">
        <f t="shared" si="96"/>
        <v>-1.6440232903299438E-2</v>
      </c>
      <c r="N519" s="40">
        <f t="shared" si="97"/>
        <v>5.5634972762044496E-3</v>
      </c>
      <c r="O519" s="40">
        <f t="shared" si="98"/>
        <v>-1.0030630448685454E-2</v>
      </c>
      <c r="P519" s="40">
        <f t="shared" si="99"/>
        <v>1.7744654422855118E-2</v>
      </c>
      <c r="Q519" s="40">
        <f t="shared" si="100"/>
        <v>5.5242860120909018E-3</v>
      </c>
      <c r="R519" s="40">
        <f t="shared" si="101"/>
        <v>-1.8375895149304204E-2</v>
      </c>
      <c r="S519" s="40">
        <f t="shared" si="102"/>
        <v>-5.7568098848637542E-3</v>
      </c>
      <c r="T519" s="41">
        <f t="shared" si="103"/>
        <v>8.6612690642063807E-3</v>
      </c>
      <c r="V519" s="39">
        <f t="shared" si="105"/>
        <v>-5.1989453142457197E-3</v>
      </c>
      <c r="W519" s="40" cm="1">
        <f t="array" ref="W519">IF(M519="","",SUMPRODUCT(M519:T519,TRANSPOSE('04_Dashboard'!$C$53:$C$60)))</f>
        <v>-1.6418591243816971E-3</v>
      </c>
      <c r="X519" s="42">
        <f t="shared" si="106"/>
        <v>1.5627998408649415</v>
      </c>
      <c r="Y519" s="118">
        <f t="shared" si="107"/>
        <v>1.6127242427569819</v>
      </c>
      <c r="AA519" s="43">
        <f>IF(X519="","",X519/MAX($X$4:X519)-1)</f>
        <v>-7.8887551811737122E-3</v>
      </c>
      <c r="AB519" s="44">
        <f>IF(Y519="","",Y519/MAX($Y$4:Y519)-1)</f>
        <v>-1.6418591243818614E-3</v>
      </c>
    </row>
    <row r="520" spans="1:28" x14ac:dyDescent="0.45">
      <c r="A520" s="121">
        <v>45953</v>
      </c>
      <c r="B520" s="124">
        <v>671.76</v>
      </c>
      <c r="C520" s="124">
        <v>259.58</v>
      </c>
      <c r="D520" s="124">
        <v>520.55999999999995</v>
      </c>
      <c r="E520" s="124">
        <v>294.54000000000002</v>
      </c>
      <c r="F520" s="124">
        <v>115.98</v>
      </c>
      <c r="G520" s="124">
        <v>192.47</v>
      </c>
      <c r="H520" s="124">
        <v>221.09</v>
      </c>
      <c r="I520" s="124">
        <v>69.94</v>
      </c>
      <c r="J520" s="125">
        <v>106.86</v>
      </c>
      <c r="L520" s="39">
        <f t="shared" si="104"/>
        <v>5.9299191374663626E-3</v>
      </c>
      <c r="M520" s="40">
        <f t="shared" si="96"/>
        <v>4.3722189978719116E-3</v>
      </c>
      <c r="N520" s="40">
        <f t="shared" si="97"/>
        <v>3.8421639067087664E-5</v>
      </c>
      <c r="O520" s="40">
        <f t="shared" si="98"/>
        <v>1.4620380129883607E-3</v>
      </c>
      <c r="P520" s="40">
        <f t="shared" si="99"/>
        <v>1.1071397437015171E-2</v>
      </c>
      <c r="Q520" s="40">
        <f t="shared" si="100"/>
        <v>-2.435990463356478E-3</v>
      </c>
      <c r="R520" s="40">
        <f t="shared" si="101"/>
        <v>1.4406974076623147E-2</v>
      </c>
      <c r="S520" s="40">
        <f t="shared" si="102"/>
        <v>-1.228640022595685E-2</v>
      </c>
      <c r="T520" s="41">
        <f t="shared" si="103"/>
        <v>-2.6134030240806527E-3</v>
      </c>
      <c r="V520" s="39">
        <f t="shared" si="105"/>
        <v>5.9299191374663626E-3</v>
      </c>
      <c r="W520" s="40" cm="1">
        <f t="array" ref="W520">IF(M520="","",SUMPRODUCT(M520:T520,TRANSPOSE('04_Dashboard'!$C$53:$C$60)))</f>
        <v>-4.4275448005941031E-4</v>
      </c>
      <c r="X520" s="42">
        <f t="shared" si="106"/>
        <v>1.5720671175493159</v>
      </c>
      <c r="Y520" s="118">
        <f t="shared" si="107"/>
        <v>1.6120102018734008</v>
      </c>
      <c r="AA520" s="43">
        <f>IF(X520="","",X520/MAX($X$4:X520)-1)</f>
        <v>-2.0056157240269101E-3</v>
      </c>
      <c r="AB520" s="44">
        <f>IF(Y520="","",Y520/MAX($Y$4:Y520)-1)</f>
        <v>-2.083886663958312E-3</v>
      </c>
    </row>
    <row r="521" spans="1:28" x14ac:dyDescent="0.45">
      <c r="A521" s="121">
        <v>45954</v>
      </c>
      <c r="B521" s="124">
        <v>677.25</v>
      </c>
      <c r="C521" s="124">
        <v>262.82</v>
      </c>
      <c r="D521" s="124">
        <v>523.61</v>
      </c>
      <c r="E521" s="124">
        <v>300.44</v>
      </c>
      <c r="F521" s="124">
        <v>115.39</v>
      </c>
      <c r="G521" s="124">
        <v>190.4</v>
      </c>
      <c r="H521" s="124">
        <v>224.21</v>
      </c>
      <c r="I521" s="124">
        <v>69.709999999999994</v>
      </c>
      <c r="J521" s="125">
        <v>106.17</v>
      </c>
      <c r="L521" s="39">
        <f t="shared" si="104"/>
        <v>8.1725616291532834E-3</v>
      </c>
      <c r="M521" s="40">
        <f t="shared" si="96"/>
        <v>1.2481701209646388E-2</v>
      </c>
      <c r="N521" s="40">
        <f t="shared" si="97"/>
        <v>5.8590748424774634E-3</v>
      </c>
      <c r="O521" s="40">
        <f t="shared" si="98"/>
        <v>2.0031235146329793E-2</v>
      </c>
      <c r="P521" s="40">
        <f t="shared" si="99"/>
        <v>-5.0870839799965805E-3</v>
      </c>
      <c r="Q521" s="40">
        <f t="shared" si="100"/>
        <v>-1.0754922845118685E-2</v>
      </c>
      <c r="R521" s="40">
        <f t="shared" si="101"/>
        <v>1.4111900131168323E-2</v>
      </c>
      <c r="S521" s="40">
        <f t="shared" si="102"/>
        <v>-3.2885330283100368E-3</v>
      </c>
      <c r="T521" s="41">
        <f t="shared" si="103"/>
        <v>-6.457046603031983E-3</v>
      </c>
      <c r="V521" s="39">
        <f t="shared" si="105"/>
        <v>8.1725616291532834E-3</v>
      </c>
      <c r="W521" s="40" cm="1">
        <f t="array" ref="W521">IF(M521="","",SUMPRODUCT(M521:T521,TRANSPOSE('04_Dashboard'!$C$53:$C$60)))</f>
        <v>2.6992423729760425E-3</v>
      </c>
      <c r="X521" s="42">
        <f t="shared" si="106"/>
        <v>1.5849149329526531</v>
      </c>
      <c r="Y521" s="118">
        <f t="shared" si="107"/>
        <v>1.6163614081159674</v>
      </c>
      <c r="AA521" s="43">
        <f>IF(X521="","",X521/MAX($X$4:X521)-1)</f>
        <v>0</v>
      </c>
      <c r="AB521" s="44">
        <f>IF(Y521="","",Y521/MAX($Y$4:Y521)-1)</f>
        <v>0</v>
      </c>
    </row>
    <row r="522" spans="1:28" x14ac:dyDescent="0.45">
      <c r="A522" s="121">
        <v>45957</v>
      </c>
      <c r="B522" s="124">
        <v>685.24</v>
      </c>
      <c r="C522" s="124">
        <v>268.81</v>
      </c>
      <c r="D522" s="124">
        <v>531.52</v>
      </c>
      <c r="E522" s="124">
        <v>304.14999999999998</v>
      </c>
      <c r="F522" s="124">
        <v>115.94</v>
      </c>
      <c r="G522" s="124">
        <v>190.3</v>
      </c>
      <c r="H522" s="124">
        <v>226.97</v>
      </c>
      <c r="I522" s="124">
        <v>70.06</v>
      </c>
      <c r="J522" s="125">
        <v>104.47</v>
      </c>
      <c r="L522" s="39">
        <f t="shared" si="104"/>
        <v>1.1797711332595067E-2</v>
      </c>
      <c r="M522" s="40">
        <f t="shared" si="96"/>
        <v>2.2791263982954148E-2</v>
      </c>
      <c r="N522" s="40">
        <f t="shared" si="97"/>
        <v>1.5106663356314753E-2</v>
      </c>
      <c r="O522" s="40">
        <f t="shared" si="98"/>
        <v>1.2348555452003659E-2</v>
      </c>
      <c r="P522" s="40">
        <f t="shared" si="99"/>
        <v>4.7664442326024537E-3</v>
      </c>
      <c r="Q522" s="40">
        <f t="shared" si="100"/>
        <v>-5.2521008403358361E-4</v>
      </c>
      <c r="R522" s="40">
        <f t="shared" si="101"/>
        <v>1.2309888051380362E-2</v>
      </c>
      <c r="S522" s="40">
        <f t="shared" si="102"/>
        <v>5.020800459044736E-3</v>
      </c>
      <c r="T522" s="41">
        <f t="shared" si="103"/>
        <v>-1.601205613638507E-2</v>
      </c>
      <c r="V522" s="39">
        <f t="shared" si="105"/>
        <v>1.1797711332595067E-2</v>
      </c>
      <c r="W522" s="40" cm="1">
        <f t="array" ref="W522">IF(M522="","",SUMPRODUCT(M522:T522,TRANSPOSE('04_Dashboard'!$C$53:$C$60)))</f>
        <v>4.6908670713164489E-3</v>
      </c>
      <c r="X522" s="42">
        <f t="shared" si="106"/>
        <v>1.6036133018183478</v>
      </c>
      <c r="Y522" s="118">
        <f t="shared" si="107"/>
        <v>1.6239435446206452</v>
      </c>
      <c r="AA522" s="43">
        <f>IF(X522="","",X522/MAX($X$4:X522)-1)</f>
        <v>0</v>
      </c>
      <c r="AB522" s="44">
        <f>IF(Y522="","",Y522/MAX($Y$4:Y522)-1)</f>
        <v>0</v>
      </c>
    </row>
    <row r="523" spans="1:28" x14ac:dyDescent="0.45">
      <c r="A523" s="121">
        <v>45958</v>
      </c>
      <c r="B523" s="124">
        <v>687.06</v>
      </c>
      <c r="C523" s="124">
        <v>269</v>
      </c>
      <c r="D523" s="124">
        <v>542.07000000000005</v>
      </c>
      <c r="E523" s="124">
        <v>305.36</v>
      </c>
      <c r="F523" s="124">
        <v>115.03</v>
      </c>
      <c r="G523" s="124">
        <v>186.93</v>
      </c>
      <c r="H523" s="124">
        <v>229.25</v>
      </c>
      <c r="I523" s="124">
        <v>70.16</v>
      </c>
      <c r="J523" s="125">
        <v>103.17</v>
      </c>
      <c r="L523" s="39">
        <f t="shared" si="104"/>
        <v>2.65600373591725E-3</v>
      </c>
      <c r="M523" s="40">
        <f t="shared" si="96"/>
        <v>7.0681894274765718E-4</v>
      </c>
      <c r="N523" s="40">
        <f t="shared" si="97"/>
        <v>1.9848735701384838E-2</v>
      </c>
      <c r="O523" s="40">
        <f t="shared" si="98"/>
        <v>3.9783001808319464E-3</v>
      </c>
      <c r="P523" s="40">
        <f t="shared" si="99"/>
        <v>-7.8488873555286921E-3</v>
      </c>
      <c r="Q523" s="40">
        <f t="shared" si="100"/>
        <v>-1.7708880714661084E-2</v>
      </c>
      <c r="R523" s="40">
        <f t="shared" si="101"/>
        <v>1.0045380446755082E-2</v>
      </c>
      <c r="S523" s="40">
        <f t="shared" si="102"/>
        <v>1.4273479874392565E-3</v>
      </c>
      <c r="T523" s="41">
        <f t="shared" si="103"/>
        <v>-1.2443763759931054E-2</v>
      </c>
      <c r="V523" s="39">
        <f t="shared" si="105"/>
        <v>2.65600373591725E-3</v>
      </c>
      <c r="W523" s="40" cm="1">
        <f t="array" ref="W523">IF(M523="","",SUMPRODUCT(M523:T523,TRANSPOSE('04_Dashboard'!$C$53:$C$60)))</f>
        <v>-3.0799029379017726E-3</v>
      </c>
      <c r="X523" s="42">
        <f t="shared" si="106"/>
        <v>1.6078725047389442</v>
      </c>
      <c r="Y523" s="118">
        <f t="shared" si="107"/>
        <v>1.6189419561265814</v>
      </c>
      <c r="AA523" s="43">
        <f>IF(X523="","",X523/MAX($X$4:X523)-1)</f>
        <v>0</v>
      </c>
      <c r="AB523" s="44">
        <f>IF(Y523="","",Y523/MAX($Y$4:Y523)-1)</f>
        <v>-3.079902937901724E-3</v>
      </c>
    </row>
    <row r="524" spans="1:28" x14ac:dyDescent="0.45">
      <c r="A524" s="121">
        <v>45959</v>
      </c>
      <c r="B524" s="124">
        <v>687.39</v>
      </c>
      <c r="C524" s="124">
        <v>269.7</v>
      </c>
      <c r="D524" s="124">
        <v>541.54999999999995</v>
      </c>
      <c r="E524" s="124">
        <v>305.51</v>
      </c>
      <c r="F524" s="124">
        <v>116.45</v>
      </c>
      <c r="G524" s="124">
        <v>186.6</v>
      </c>
      <c r="H524" s="124">
        <v>230.3</v>
      </c>
      <c r="I524" s="124">
        <v>68.349999999999994</v>
      </c>
      <c r="J524" s="125">
        <v>102.46</v>
      </c>
      <c r="L524" s="39">
        <f t="shared" si="104"/>
        <v>4.8030739673396932E-4</v>
      </c>
      <c r="M524" s="40">
        <f t="shared" si="96"/>
        <v>2.6022304832713332E-3</v>
      </c>
      <c r="N524" s="40">
        <f t="shared" si="97"/>
        <v>-9.5928570110888898E-4</v>
      </c>
      <c r="O524" s="40">
        <f t="shared" si="98"/>
        <v>4.9122347393233321E-4</v>
      </c>
      <c r="P524" s="40">
        <f t="shared" si="99"/>
        <v>1.2344605755020444E-2</v>
      </c>
      <c r="Q524" s="40">
        <f t="shared" si="100"/>
        <v>-1.7653667148130985E-3</v>
      </c>
      <c r="R524" s="40">
        <f t="shared" si="101"/>
        <v>4.5801526717557748E-3</v>
      </c>
      <c r="S524" s="40">
        <f t="shared" si="102"/>
        <v>-2.5798175598631734E-2</v>
      </c>
      <c r="T524" s="41">
        <f t="shared" si="103"/>
        <v>-6.8818454977222828E-3</v>
      </c>
      <c r="V524" s="39">
        <f t="shared" si="105"/>
        <v>4.8030739673396932E-4</v>
      </c>
      <c r="W524" s="40" cm="1">
        <f t="array" ref="W524">IF(M524="","",SUMPRODUCT(M524:T524,TRANSPOSE('04_Dashboard'!$C$53:$C$60)))</f>
        <v>-3.8037350911765246E-3</v>
      </c>
      <c r="X524" s="42">
        <f t="shared" si="106"/>
        <v>1.6086447777959754</v>
      </c>
      <c r="Y524" s="118">
        <f t="shared" si="107"/>
        <v>1.6127839297974849</v>
      </c>
      <c r="AA524" s="43">
        <f>IF(X524="","",X524/MAX($X$4:X524)-1)</f>
        <v>0</v>
      </c>
      <c r="AB524" s="44">
        <f>IF(Y524="","",Y524/MAX($Y$4:Y524)-1)</f>
        <v>-6.8719228941959143E-3</v>
      </c>
    </row>
    <row r="525" spans="1:28" x14ac:dyDescent="0.45">
      <c r="A525" s="121">
        <v>45960</v>
      </c>
      <c r="B525" s="124">
        <v>679.83</v>
      </c>
      <c r="C525" s="124">
        <v>271.39999999999998</v>
      </c>
      <c r="D525" s="124">
        <v>525.76</v>
      </c>
      <c r="E525" s="124">
        <v>309.44</v>
      </c>
      <c r="F525" s="124">
        <v>114.69</v>
      </c>
      <c r="G525" s="124">
        <v>189.05</v>
      </c>
      <c r="H525" s="124">
        <v>222.86</v>
      </c>
      <c r="I525" s="124">
        <v>68.98</v>
      </c>
      <c r="J525" s="125">
        <v>102.23</v>
      </c>
      <c r="L525" s="39">
        <f t="shared" si="104"/>
        <v>-1.0998123336097333E-2</v>
      </c>
      <c r="M525" s="40">
        <f t="shared" si="96"/>
        <v>6.3032999629217233E-3</v>
      </c>
      <c r="N525" s="40">
        <f t="shared" si="97"/>
        <v>-2.915704921059914E-2</v>
      </c>
      <c r="O525" s="40">
        <f t="shared" si="98"/>
        <v>1.2863736047919894E-2</v>
      </c>
      <c r="P525" s="40">
        <f t="shared" si="99"/>
        <v>-1.5113782739373164E-2</v>
      </c>
      <c r="Q525" s="40">
        <f t="shared" si="100"/>
        <v>1.3129689174705344E-2</v>
      </c>
      <c r="R525" s="40">
        <f t="shared" si="101"/>
        <v>-3.2305688232739896E-2</v>
      </c>
      <c r="S525" s="40">
        <f t="shared" si="102"/>
        <v>9.2172640819313777E-3</v>
      </c>
      <c r="T525" s="41">
        <f t="shared" si="103"/>
        <v>-2.244778450126779E-3</v>
      </c>
      <c r="V525" s="39">
        <f t="shared" si="105"/>
        <v>-1.0998123336097333E-2</v>
      </c>
      <c r="W525" s="40" cm="1">
        <f t="array" ref="W525">IF(M525="","",SUMPRODUCT(M525:T525,TRANSPOSE('04_Dashboard'!$C$53:$C$60)))</f>
        <v>2.3731614818951257E-3</v>
      </c>
      <c r="X525" s="42">
        <f t="shared" si="106"/>
        <v>1.5909527041258065</v>
      </c>
      <c r="Y525" s="118">
        <f t="shared" si="107"/>
        <v>1.6166113264982997</v>
      </c>
      <c r="AA525" s="43">
        <f>IF(X525="","",X525/MAX($X$4:X525)-1)</f>
        <v>-1.0998123336097287E-2</v>
      </c>
      <c r="AB525" s="44">
        <f>IF(Y525="","",Y525/MAX($Y$4:Y525)-1)</f>
        <v>-4.5150695950197939E-3</v>
      </c>
    </row>
    <row r="526" spans="1:28" x14ac:dyDescent="0.45">
      <c r="A526" s="121">
        <v>45961</v>
      </c>
      <c r="B526" s="124">
        <v>682.06</v>
      </c>
      <c r="C526" s="124">
        <v>270.37</v>
      </c>
      <c r="D526" s="124">
        <v>517.80999999999995</v>
      </c>
      <c r="E526" s="124">
        <v>311.12</v>
      </c>
      <c r="F526" s="124">
        <v>114.36</v>
      </c>
      <c r="G526" s="124">
        <v>188.87</v>
      </c>
      <c r="H526" s="124">
        <v>244.22</v>
      </c>
      <c r="I526" s="124">
        <v>68.900000000000006</v>
      </c>
      <c r="J526" s="125">
        <v>101.18</v>
      </c>
      <c r="L526" s="39">
        <f t="shared" si="104"/>
        <v>3.2802318226614071E-3</v>
      </c>
      <c r="M526" s="40">
        <f t="shared" si="96"/>
        <v>-3.7951363301399147E-3</v>
      </c>
      <c r="N526" s="40">
        <f t="shared" si="97"/>
        <v>-1.5120967741935571E-2</v>
      </c>
      <c r="O526" s="40">
        <f t="shared" si="98"/>
        <v>5.4291623578076745E-3</v>
      </c>
      <c r="P526" s="40">
        <f t="shared" si="99"/>
        <v>-2.8773214752811781E-3</v>
      </c>
      <c r="Q526" s="40">
        <f t="shared" si="100"/>
        <v>-9.5212906638459033E-4</v>
      </c>
      <c r="R526" s="40">
        <f t="shared" si="101"/>
        <v>9.5844925065063202E-2</v>
      </c>
      <c r="S526" s="40">
        <f t="shared" si="102"/>
        <v>-1.1597564511452347E-3</v>
      </c>
      <c r="T526" s="41">
        <f t="shared" si="103"/>
        <v>-1.0270957644527019E-2</v>
      </c>
      <c r="V526" s="39">
        <f t="shared" si="105"/>
        <v>3.2802318226614071E-3</v>
      </c>
      <c r="W526" s="40" cm="1">
        <f t="array" ref="W526">IF(M526="","",SUMPRODUCT(M526:T526,TRANSPOSE('04_Dashboard'!$C$53:$C$60)))</f>
        <v>5.1340100840648164E-3</v>
      </c>
      <c r="X526" s="42">
        <f t="shared" si="106"/>
        <v>1.5961713978142293</v>
      </c>
      <c r="Y526" s="118">
        <f t="shared" si="107"/>
        <v>1.6249110253505554</v>
      </c>
      <c r="AA526" s="43">
        <f>IF(X526="","",X526/MAX($X$4:X526)-1)</f>
        <v>-7.7539679075923074E-3</v>
      </c>
      <c r="AB526" s="44">
        <f>IF(Y526="","",Y526/MAX($Y$4:Y526)-1)</f>
        <v>0</v>
      </c>
    </row>
    <row r="527" spans="1:28" x14ac:dyDescent="0.45">
      <c r="A527" s="121">
        <v>45964</v>
      </c>
      <c r="B527" s="124">
        <v>683.34</v>
      </c>
      <c r="C527" s="124">
        <v>269.05</v>
      </c>
      <c r="D527" s="124">
        <v>517.03</v>
      </c>
      <c r="E527" s="124">
        <v>309.35000000000002</v>
      </c>
      <c r="F527" s="124">
        <v>113.76</v>
      </c>
      <c r="G527" s="124">
        <v>186.26</v>
      </c>
      <c r="H527" s="124">
        <v>254</v>
      </c>
      <c r="I527" s="124">
        <v>67.97</v>
      </c>
      <c r="J527" s="125">
        <v>101.59</v>
      </c>
      <c r="L527" s="39">
        <f t="shared" si="104"/>
        <v>1.8766677418410205E-3</v>
      </c>
      <c r="M527" s="40">
        <f t="shared" si="96"/>
        <v>-4.8821984687650007E-3</v>
      </c>
      <c r="N527" s="40">
        <f t="shared" si="97"/>
        <v>-1.5063440258009169E-3</v>
      </c>
      <c r="O527" s="40">
        <f t="shared" si="98"/>
        <v>-5.6891231679094293E-3</v>
      </c>
      <c r="P527" s="40">
        <f t="shared" si="99"/>
        <v>-5.2465897166841056E-3</v>
      </c>
      <c r="Q527" s="40">
        <f t="shared" si="100"/>
        <v>-1.3819028961719774E-2</v>
      </c>
      <c r="R527" s="40">
        <f t="shared" si="101"/>
        <v>4.0045860289902549E-2</v>
      </c>
      <c r="S527" s="40">
        <f t="shared" si="102"/>
        <v>-1.3497822931785294E-2</v>
      </c>
      <c r="T527" s="41">
        <f t="shared" si="103"/>
        <v>4.0521842261316129E-3</v>
      </c>
      <c r="V527" s="39">
        <f t="shared" si="105"/>
        <v>1.8766677418410205E-3</v>
      </c>
      <c r="W527" s="40" cm="1">
        <f t="array" ref="W527">IF(M527="","",SUMPRODUCT(M527:T527,TRANSPOSE('04_Dashboard'!$C$53:$C$60)))</f>
        <v>-3.6336942995147318E-3</v>
      </c>
      <c r="X527" s="42">
        <f t="shared" si="106"/>
        <v>1.5991668811869564</v>
      </c>
      <c r="Y527" s="118">
        <f t="shared" si="107"/>
        <v>1.6190065954205204</v>
      </c>
      <c r="AA527" s="43">
        <f>IF(X527="","",X527/MAX($X$4:X527)-1)</f>
        <v>-5.8918517871948684E-3</v>
      </c>
      <c r="AB527" s="44">
        <f>IF(Y527="","",Y527/MAX($Y$4:Y527)-1)</f>
        <v>-3.633694299514767E-3</v>
      </c>
    </row>
    <row r="528" spans="1:28" x14ac:dyDescent="0.45">
      <c r="A528" s="121">
        <v>45965</v>
      </c>
      <c r="B528" s="124">
        <v>675.24</v>
      </c>
      <c r="C528" s="124">
        <v>270.04000000000002</v>
      </c>
      <c r="D528" s="124">
        <v>514.33000000000004</v>
      </c>
      <c r="E528" s="124">
        <v>309.25</v>
      </c>
      <c r="F528" s="124">
        <v>114.14</v>
      </c>
      <c r="G528" s="124">
        <v>186.86</v>
      </c>
      <c r="H528" s="124">
        <v>249.32</v>
      </c>
      <c r="I528" s="124">
        <v>68.66</v>
      </c>
      <c r="J528" s="125">
        <v>102.27</v>
      </c>
      <c r="L528" s="39">
        <f t="shared" si="104"/>
        <v>-1.1853542892264498E-2</v>
      </c>
      <c r="M528" s="40">
        <f t="shared" si="96"/>
        <v>3.6796134547482217E-3</v>
      </c>
      <c r="N528" s="40">
        <f t="shared" si="97"/>
        <v>-5.2221341121403628E-3</v>
      </c>
      <c r="O528" s="40">
        <f t="shared" si="98"/>
        <v>-3.2325844512695243E-4</v>
      </c>
      <c r="P528" s="40">
        <f t="shared" si="99"/>
        <v>3.3403656821377938E-3</v>
      </c>
      <c r="Q528" s="40">
        <f t="shared" si="100"/>
        <v>3.2213035541717103E-3</v>
      </c>
      <c r="R528" s="40">
        <f t="shared" si="101"/>
        <v>-1.8425196850393729E-2</v>
      </c>
      <c r="S528" s="40">
        <f t="shared" si="102"/>
        <v>1.015153744298952E-2</v>
      </c>
      <c r="T528" s="41">
        <f t="shared" si="103"/>
        <v>6.6935722019883116E-3</v>
      </c>
      <c r="V528" s="39">
        <f t="shared" si="105"/>
        <v>-1.1853542892264498E-2</v>
      </c>
      <c r="W528" s="40" cm="1">
        <f t="array" ref="W528">IF(M528="","",SUMPRODUCT(M528:T528,TRANSPOSE('04_Dashboard'!$C$53:$C$60)))</f>
        <v>1.6897486434622427E-3</v>
      </c>
      <c r="X528" s="42">
        <f t="shared" si="106"/>
        <v>1.580211087968918</v>
      </c>
      <c r="Y528" s="118">
        <f t="shared" si="107"/>
        <v>1.6217423096188885</v>
      </c>
      <c r="AA528" s="43">
        <f>IF(X528="","",X528/MAX($X$4:X528)-1)</f>
        <v>-1.7675555361585049E-2</v>
      </c>
      <c r="AB528" s="44">
        <f>IF(Y528="","",Y528/MAX($Y$4:Y528)-1)</f>
        <v>-1.9500856860659166E-3</v>
      </c>
    </row>
    <row r="529" spans="1:28" x14ac:dyDescent="0.45">
      <c r="A529" s="121">
        <v>45966</v>
      </c>
      <c r="B529" s="124">
        <v>677.58</v>
      </c>
      <c r="C529" s="124">
        <v>270.14</v>
      </c>
      <c r="D529" s="124">
        <v>507.16</v>
      </c>
      <c r="E529" s="124">
        <v>311.68</v>
      </c>
      <c r="F529" s="124">
        <v>113.68</v>
      </c>
      <c r="G529" s="124">
        <v>186</v>
      </c>
      <c r="H529" s="124">
        <v>250.2</v>
      </c>
      <c r="I529" s="124">
        <v>68.510000000000005</v>
      </c>
      <c r="J529" s="125">
        <v>101.47</v>
      </c>
      <c r="L529" s="39">
        <f t="shared" si="104"/>
        <v>3.4654345121734966E-3</v>
      </c>
      <c r="M529" s="40">
        <f t="shared" si="96"/>
        <v>3.7031550881338278E-4</v>
      </c>
      <c r="N529" s="40">
        <f t="shared" si="97"/>
        <v>-1.3940466237629567E-2</v>
      </c>
      <c r="O529" s="40">
        <f t="shared" si="98"/>
        <v>7.8577202910266996E-3</v>
      </c>
      <c r="P529" s="40">
        <f t="shared" si="99"/>
        <v>-4.0301384264937248E-3</v>
      </c>
      <c r="Q529" s="40">
        <f t="shared" si="100"/>
        <v>-4.6023761104570992E-3</v>
      </c>
      <c r="R529" s="40">
        <f t="shared" si="101"/>
        <v>3.5296005133964204E-3</v>
      </c>
      <c r="S529" s="40">
        <f t="shared" si="102"/>
        <v>-2.1846781240895934E-3</v>
      </c>
      <c r="T529" s="41">
        <f t="shared" si="103"/>
        <v>-7.8224308203774049E-3</v>
      </c>
      <c r="V529" s="39">
        <f t="shared" si="105"/>
        <v>3.4654345121734966E-3</v>
      </c>
      <c r="W529" s="40" cm="1">
        <f t="array" ref="W529">IF(M529="","",SUMPRODUCT(M529:T529,TRANSPOSE('04_Dashboard'!$C$53:$C$60)))</f>
        <v>-1.4978460546657606E-3</v>
      </c>
      <c r="X529" s="42">
        <f t="shared" si="106"/>
        <v>1.5856872060096845</v>
      </c>
      <c r="Y529" s="118">
        <f t="shared" si="107"/>
        <v>1.6193131892987414</v>
      </c>
      <c r="AA529" s="43">
        <f>IF(X529="","",X529/MAX($X$4:X529)-1)</f>
        <v>-1.427137432898351E-2</v>
      </c>
      <c r="AB529" s="44">
        <f>IF(Y529="","",Y529/MAX($Y$4:Y529)-1)</f>
        <v>-3.44501081258064E-3</v>
      </c>
    </row>
    <row r="530" spans="1:28" x14ac:dyDescent="0.45">
      <c r="A530" s="121">
        <v>45967</v>
      </c>
      <c r="B530" s="124">
        <v>670.31</v>
      </c>
      <c r="C530" s="124">
        <v>269.77</v>
      </c>
      <c r="D530" s="124">
        <v>497.1</v>
      </c>
      <c r="E530" s="124">
        <v>313.42</v>
      </c>
      <c r="F530" s="124">
        <v>114.5</v>
      </c>
      <c r="G530" s="124">
        <v>186.97</v>
      </c>
      <c r="H530" s="124">
        <v>243.04</v>
      </c>
      <c r="I530" s="124">
        <v>69.06</v>
      </c>
      <c r="J530" s="125">
        <v>101.68</v>
      </c>
      <c r="L530" s="39">
        <f t="shared" si="104"/>
        <v>-1.0729360370731272E-2</v>
      </c>
      <c r="M530" s="40">
        <f t="shared" si="96"/>
        <v>-1.3696601762049477E-3</v>
      </c>
      <c r="N530" s="40">
        <f t="shared" si="97"/>
        <v>-1.9835949207350739E-2</v>
      </c>
      <c r="O530" s="40">
        <f t="shared" si="98"/>
        <v>5.5826488706365793E-3</v>
      </c>
      <c r="P530" s="40">
        <f t="shared" si="99"/>
        <v>7.2132301196339999E-3</v>
      </c>
      <c r="Q530" s="40">
        <f t="shared" si="100"/>
        <v>5.2150537634408538E-3</v>
      </c>
      <c r="R530" s="40">
        <f t="shared" si="101"/>
        <v>-2.8617106314948029E-2</v>
      </c>
      <c r="S530" s="40">
        <f t="shared" si="102"/>
        <v>8.0280251058239254E-3</v>
      </c>
      <c r="T530" s="41">
        <f t="shared" si="103"/>
        <v>2.0695772149404547E-3</v>
      </c>
      <c r="V530" s="39">
        <f t="shared" si="105"/>
        <v>-1.0729360370731272E-2</v>
      </c>
      <c r="W530" s="40" cm="1">
        <f t="array" ref="W530">IF(M530="","",SUMPRODUCT(M530:T530,TRANSPOSE('04_Dashboard'!$C$53:$C$60)))</f>
        <v>7.9723209399982435E-4</v>
      </c>
      <c r="X530" s="42">
        <f t="shared" si="106"/>
        <v>1.5686737965411486</v>
      </c>
      <c r="Y530" s="118">
        <f t="shared" si="107"/>
        <v>1.6206041577434873</v>
      </c>
      <c r="AA530" s="43">
        <f>IF(X530="","",X530/MAX($X$4:X530)-1)</f>
        <v>-2.4847611981553497E-2</v>
      </c>
      <c r="AB530" s="44">
        <f>IF(Y530="","",Y530/MAX($Y$4:Y530)-1)</f>
        <v>-2.6505251917648964E-3</v>
      </c>
    </row>
    <row r="531" spans="1:28" x14ac:dyDescent="0.45">
      <c r="A531" s="121">
        <v>45968</v>
      </c>
      <c r="B531" s="124">
        <v>670.97</v>
      </c>
      <c r="C531" s="124">
        <v>268.47000000000003</v>
      </c>
      <c r="D531" s="124">
        <v>496.82</v>
      </c>
      <c r="E531" s="124">
        <v>314.20999999999998</v>
      </c>
      <c r="F531" s="124">
        <v>117.22</v>
      </c>
      <c r="G531" s="124">
        <v>186.57</v>
      </c>
      <c r="H531" s="124">
        <v>244.41</v>
      </c>
      <c r="I531" s="124">
        <v>70.55</v>
      </c>
      <c r="J531" s="125">
        <v>102.59</v>
      </c>
      <c r="L531" s="39">
        <f t="shared" si="104"/>
        <v>9.8461905685441348E-4</v>
      </c>
      <c r="M531" s="40">
        <f t="shared" si="96"/>
        <v>-4.8189198205877398E-3</v>
      </c>
      <c r="N531" s="40">
        <f t="shared" si="97"/>
        <v>-5.6326694830020028E-4</v>
      </c>
      <c r="O531" s="40">
        <f t="shared" si="98"/>
        <v>2.5205794142044657E-3</v>
      </c>
      <c r="P531" s="40">
        <f t="shared" si="99"/>
        <v>2.3755458515283833E-2</v>
      </c>
      <c r="Q531" s="40">
        <f t="shared" si="100"/>
        <v>-2.1393806493020576E-3</v>
      </c>
      <c r="R531" s="40">
        <f t="shared" si="101"/>
        <v>5.6369321922317504E-3</v>
      </c>
      <c r="S531" s="40">
        <f t="shared" si="102"/>
        <v>2.1575441644946347E-2</v>
      </c>
      <c r="T531" s="41">
        <f t="shared" si="103"/>
        <v>8.9496459480723507E-3</v>
      </c>
      <c r="V531" s="39">
        <f t="shared" si="105"/>
        <v>9.8461905685441348E-4</v>
      </c>
      <c r="W531" s="40" cm="1">
        <f t="array" ref="W531">IF(M531="","",SUMPRODUCT(M531:T531,TRANSPOSE('04_Dashboard'!$C$53:$C$60)))</f>
        <v>5.62166451826932E-3</v>
      </c>
      <c r="X531" s="42">
        <f t="shared" si="106"/>
        <v>1.570218342655211</v>
      </c>
      <c r="Y531" s="118">
        <f t="shared" si="107"/>
        <v>1.6297146506352338</v>
      </c>
      <c r="AA531" s="43">
        <f>IF(X531="","",X531/MAX($X$4:X531)-1)</f>
        <v>-2.388745835697359E-2</v>
      </c>
      <c r="AB531" s="44">
        <f>IF(Y531="","",Y531/MAX($Y$4:Y531)-1)</f>
        <v>0</v>
      </c>
    </row>
    <row r="532" spans="1:28" x14ac:dyDescent="0.45">
      <c r="A532" s="121">
        <v>45971</v>
      </c>
      <c r="B532" s="124">
        <v>681.44</v>
      </c>
      <c r="C532" s="124">
        <v>269.43</v>
      </c>
      <c r="D532" s="124">
        <v>506</v>
      </c>
      <c r="E532" s="124">
        <v>316.89</v>
      </c>
      <c r="F532" s="124">
        <v>118.22</v>
      </c>
      <c r="G532" s="124">
        <v>188.41</v>
      </c>
      <c r="H532" s="124">
        <v>248.4</v>
      </c>
      <c r="I532" s="124">
        <v>70.52</v>
      </c>
      <c r="J532" s="125">
        <v>102.42</v>
      </c>
      <c r="L532" s="39">
        <f t="shared" si="104"/>
        <v>1.5604274408691934E-2</v>
      </c>
      <c r="M532" s="40">
        <f t="shared" si="96"/>
        <v>3.5758185272096676E-3</v>
      </c>
      <c r="N532" s="40">
        <f t="shared" si="97"/>
        <v>1.8477517008171986E-2</v>
      </c>
      <c r="O532" s="40">
        <f t="shared" si="98"/>
        <v>8.5293275198116136E-3</v>
      </c>
      <c r="P532" s="40">
        <f t="shared" si="99"/>
        <v>8.5309674117044869E-3</v>
      </c>
      <c r="Q532" s="40">
        <f t="shared" si="100"/>
        <v>9.8622500937985934E-3</v>
      </c>
      <c r="R532" s="40">
        <f t="shared" si="101"/>
        <v>1.6325027617527962E-2</v>
      </c>
      <c r="S532" s="40">
        <f t="shared" si="102"/>
        <v>-4.2523033309711041E-4</v>
      </c>
      <c r="T532" s="41">
        <f t="shared" si="103"/>
        <v>-1.6570815868993244E-3</v>
      </c>
      <c r="V532" s="39">
        <f t="shared" si="105"/>
        <v>1.5604274408691934E-2</v>
      </c>
      <c r="W532" s="40" cm="1">
        <f t="array" ref="W532">IF(M532="","",SUMPRODUCT(M532:T532,TRANSPOSE('04_Dashboard'!$C$53:$C$60)))</f>
        <v>7.1632885045273698E-3</v>
      </c>
      <c r="X532" s="42">
        <f t="shared" si="106"/>
        <v>1.5947204605555643</v>
      </c>
      <c r="Y532" s="118">
        <f t="shared" si="107"/>
        <v>1.6413887668577891</v>
      </c>
      <c r="AA532" s="43">
        <f>IF(X532="","",X532/MAX($X$4:X532)-1)</f>
        <v>-8.6559304034101725E-3</v>
      </c>
      <c r="AB532" s="44">
        <f>IF(Y532="","",Y532/MAX($Y$4:Y532)-1)</f>
        <v>0</v>
      </c>
    </row>
    <row r="533" spans="1:28" x14ac:dyDescent="0.45">
      <c r="A533" s="121">
        <v>45972</v>
      </c>
      <c r="B533" s="124">
        <v>683</v>
      </c>
      <c r="C533" s="124">
        <v>275.25</v>
      </c>
      <c r="D533" s="124">
        <v>508.68</v>
      </c>
      <c r="E533" s="124">
        <v>315.62</v>
      </c>
      <c r="F533" s="124">
        <v>119.78</v>
      </c>
      <c r="G533" s="124">
        <v>193.83</v>
      </c>
      <c r="H533" s="124">
        <v>249.1</v>
      </c>
      <c r="I533" s="124">
        <v>71.61</v>
      </c>
      <c r="J533" s="125">
        <v>103.44</v>
      </c>
      <c r="L533" s="39">
        <f t="shared" si="104"/>
        <v>2.2892697816388023E-3</v>
      </c>
      <c r="M533" s="40">
        <f t="shared" si="96"/>
        <v>2.1601158000222668E-2</v>
      </c>
      <c r="N533" s="40">
        <f t="shared" si="97"/>
        <v>5.2964426877470487E-3</v>
      </c>
      <c r="O533" s="40">
        <f t="shared" si="98"/>
        <v>-4.007699832749477E-3</v>
      </c>
      <c r="P533" s="40">
        <f t="shared" si="99"/>
        <v>1.3195736761969229E-2</v>
      </c>
      <c r="Q533" s="40">
        <f t="shared" si="100"/>
        <v>2.8767050581179426E-2</v>
      </c>
      <c r="R533" s="40">
        <f t="shared" si="101"/>
        <v>2.8180354267310329E-3</v>
      </c>
      <c r="S533" s="40">
        <f t="shared" si="102"/>
        <v>1.5456608054452687E-2</v>
      </c>
      <c r="T533" s="41">
        <f t="shared" si="103"/>
        <v>9.9589923842999025E-3</v>
      </c>
      <c r="V533" s="39">
        <f t="shared" si="105"/>
        <v>2.2892697816388023E-3</v>
      </c>
      <c r="W533" s="40" cm="1">
        <f t="array" ref="W533">IF(M533="","",SUMPRODUCT(M533:T533,TRANSPOSE('04_Dashboard'!$C$53:$C$60)))</f>
        <v>1.1852745544828021E-2</v>
      </c>
      <c r="X533" s="42">
        <f t="shared" si="106"/>
        <v>1.5983712059160753</v>
      </c>
      <c r="Y533" s="118">
        <f t="shared" si="107"/>
        <v>1.6608437302514936</v>
      </c>
      <c r="AA533" s="43">
        <f>IF(X533="","",X533/MAX($X$4:X533)-1)</f>
        <v>-6.3864763816757764E-3</v>
      </c>
      <c r="AB533" s="44">
        <f>IF(Y533="","",Y533/MAX($Y$4:Y533)-1)</f>
        <v>0</v>
      </c>
    </row>
    <row r="534" spans="1:28" x14ac:dyDescent="0.45">
      <c r="A534" s="121">
        <v>45973</v>
      </c>
      <c r="B534" s="124">
        <v>683.38</v>
      </c>
      <c r="C534" s="124">
        <v>273.47000000000003</v>
      </c>
      <c r="D534" s="124">
        <v>511.14</v>
      </c>
      <c r="E534" s="124">
        <v>320.41000000000003</v>
      </c>
      <c r="F534" s="124">
        <v>118.12</v>
      </c>
      <c r="G534" s="124">
        <v>194.39</v>
      </c>
      <c r="H534" s="124">
        <v>244.2</v>
      </c>
      <c r="I534" s="124">
        <v>71.510000000000005</v>
      </c>
      <c r="J534" s="125">
        <v>103.44</v>
      </c>
      <c r="L534" s="39">
        <f t="shared" si="104"/>
        <v>5.5636896046851452E-4</v>
      </c>
      <c r="M534" s="40">
        <f t="shared" si="96"/>
        <v>-6.4668483197092563E-3</v>
      </c>
      <c r="N534" s="40">
        <f t="shared" si="97"/>
        <v>4.8360462373200821E-3</v>
      </c>
      <c r="O534" s="40">
        <f t="shared" si="98"/>
        <v>1.517647804321659E-2</v>
      </c>
      <c r="P534" s="40">
        <f t="shared" si="99"/>
        <v>-1.3858741025212862E-2</v>
      </c>
      <c r="Q534" s="40">
        <f t="shared" si="100"/>
        <v>2.8891296496928948E-3</v>
      </c>
      <c r="R534" s="40">
        <f t="shared" si="101"/>
        <v>-1.9670814933761566E-2</v>
      </c>
      <c r="S534" s="40">
        <f t="shared" si="102"/>
        <v>-1.3964530093561558E-3</v>
      </c>
      <c r="T534" s="41">
        <f t="shared" si="103"/>
        <v>0</v>
      </c>
      <c r="V534" s="39">
        <f t="shared" si="105"/>
        <v>5.5636896046851452E-4</v>
      </c>
      <c r="W534" s="40" cm="1">
        <f t="array" ref="W534">IF(M534="","",SUMPRODUCT(M534:T534,TRANSPOSE('04_Dashboard'!$C$53:$C$60)))</f>
        <v>1.92537295330418E-3</v>
      </c>
      <c r="X534" s="42">
        <f t="shared" si="106"/>
        <v>1.5992604900423537</v>
      </c>
      <c r="Y534" s="118">
        <f t="shared" si="107"/>
        <v>1.6640414738493847</v>
      </c>
      <c r="AA534" s="43">
        <f>IF(X534="","",X534/MAX($X$4:X534)-1)</f>
        <v>-5.8336606584327155E-3</v>
      </c>
      <c r="AB534" s="44">
        <f>IF(Y534="","",Y534/MAX($Y$4:Y534)-1)</f>
        <v>0</v>
      </c>
    </row>
    <row r="535" spans="1:28" x14ac:dyDescent="0.45">
      <c r="A535" s="121">
        <v>45974</v>
      </c>
      <c r="B535" s="124">
        <v>672.04</v>
      </c>
      <c r="C535" s="124">
        <v>272.95</v>
      </c>
      <c r="D535" s="124">
        <v>503.29</v>
      </c>
      <c r="E535" s="124">
        <v>309.48</v>
      </c>
      <c r="F535" s="124">
        <v>118.79</v>
      </c>
      <c r="G535" s="124">
        <v>195.25</v>
      </c>
      <c r="H535" s="124">
        <v>237.58</v>
      </c>
      <c r="I535" s="124">
        <v>71.069999999999993</v>
      </c>
      <c r="J535" s="125">
        <v>102.54</v>
      </c>
      <c r="L535" s="39">
        <f t="shared" si="104"/>
        <v>-1.659398870321056E-2</v>
      </c>
      <c r="M535" s="40">
        <f t="shared" si="96"/>
        <v>-1.9014882802502601E-3</v>
      </c>
      <c r="N535" s="40">
        <f t="shared" si="97"/>
        <v>-1.535782760104857E-2</v>
      </c>
      <c r="O535" s="40">
        <f t="shared" si="98"/>
        <v>-3.4112543303891907E-2</v>
      </c>
      <c r="P535" s="40">
        <f t="shared" si="99"/>
        <v>5.6721977649847755E-3</v>
      </c>
      <c r="Q535" s="40">
        <f t="shared" si="100"/>
        <v>4.4240958897063315E-3</v>
      </c>
      <c r="R535" s="40">
        <f t="shared" si="101"/>
        <v>-2.7108927108927011E-2</v>
      </c>
      <c r="S535" s="40">
        <f t="shared" si="102"/>
        <v>-6.152985596420248E-3</v>
      </c>
      <c r="T535" s="41">
        <f t="shared" si="103"/>
        <v>-8.7006960556843729E-3</v>
      </c>
      <c r="V535" s="39">
        <f t="shared" si="105"/>
        <v>-1.659398870321056E-2</v>
      </c>
      <c r="W535" s="40" cm="1">
        <f t="array" ref="W535">IF(M535="","",SUMPRODUCT(M535:T535,TRANSPOSE('04_Dashboard'!$C$53:$C$60)))</f>
        <v>-1.195715004876375E-2</v>
      </c>
      <c r="X535" s="42">
        <f t="shared" si="106"/>
        <v>1.5727223795370999</v>
      </c>
      <c r="Y535" s="118">
        <f t="shared" si="107"/>
        <v>1.6441442802592017</v>
      </c>
      <c r="AA535" s="43">
        <f>IF(X535="","",X535/MAX($X$4:X535)-1)</f>
        <v>-2.2330845662578924E-2</v>
      </c>
      <c r="AB535" s="44">
        <f>IF(Y535="","",Y535/MAX($Y$4:Y535)-1)</f>
        <v>-1.1957150048763743E-2</v>
      </c>
    </row>
    <row r="536" spans="1:28" x14ac:dyDescent="0.45">
      <c r="A536" s="121">
        <v>45975</v>
      </c>
      <c r="B536" s="124">
        <v>671.93</v>
      </c>
      <c r="C536" s="124">
        <v>272.41000000000003</v>
      </c>
      <c r="D536" s="124">
        <v>510.18</v>
      </c>
      <c r="E536" s="124">
        <v>303.61</v>
      </c>
      <c r="F536" s="124">
        <v>119.29</v>
      </c>
      <c r="G536" s="124">
        <v>195.93</v>
      </c>
      <c r="H536" s="124">
        <v>234.69</v>
      </c>
      <c r="I536" s="124">
        <v>71.16</v>
      </c>
      <c r="J536" s="125">
        <v>102.48</v>
      </c>
      <c r="L536" s="39">
        <f t="shared" si="104"/>
        <v>-1.6368073328970544E-4</v>
      </c>
      <c r="M536" s="40">
        <f t="shared" si="96"/>
        <v>-1.9783843194722977E-3</v>
      </c>
      <c r="N536" s="40">
        <f t="shared" si="97"/>
        <v>1.3689920324266299E-2</v>
      </c>
      <c r="O536" s="40">
        <f t="shared" si="98"/>
        <v>-1.8967299987075106E-2</v>
      </c>
      <c r="P536" s="40">
        <f t="shared" si="99"/>
        <v>4.2091085108174088E-3</v>
      </c>
      <c r="Q536" s="40">
        <f t="shared" si="100"/>
        <v>3.4827144686299964E-3</v>
      </c>
      <c r="R536" s="40">
        <f t="shared" si="101"/>
        <v>-1.2164323596262374E-2</v>
      </c>
      <c r="S536" s="40">
        <f t="shared" si="102"/>
        <v>1.2663571127058311E-3</v>
      </c>
      <c r="T536" s="41">
        <f t="shared" si="103"/>
        <v>-5.8513750731424097E-4</v>
      </c>
      <c r="V536" s="39">
        <f t="shared" si="105"/>
        <v>-1.6368073328970544E-4</v>
      </c>
      <c r="W536" s="40" cm="1">
        <f t="array" ref="W536">IF(M536="","",SUMPRODUCT(M536:T536,TRANSPOSE('04_Dashboard'!$C$53:$C$60)))</f>
        <v>-3.4342479539639353E-3</v>
      </c>
      <c r="X536" s="42">
        <f t="shared" si="106"/>
        <v>1.5724649551847563</v>
      </c>
      <c r="Y536" s="118">
        <f t="shared" si="107"/>
        <v>1.6384978811286999</v>
      </c>
      <c r="AA536" s="43">
        <f>IF(X536="","",X536/MAX($X$4:X536)-1)</f>
        <v>-2.2490871266675483E-2</v>
      </c>
      <c r="AB536" s="44">
        <f>IF(Y536="","",Y536/MAX($Y$4:Y536)-1)</f>
        <v>-1.5350334184637493E-2</v>
      </c>
    </row>
    <row r="537" spans="1:28" x14ac:dyDescent="0.45">
      <c r="A537" s="121">
        <v>45978</v>
      </c>
      <c r="B537" s="124">
        <v>665.67</v>
      </c>
      <c r="C537" s="124">
        <v>267.45999999999998</v>
      </c>
      <c r="D537" s="124">
        <v>507.49</v>
      </c>
      <c r="E537" s="124">
        <v>300.37</v>
      </c>
      <c r="F537" s="124">
        <v>117.68</v>
      </c>
      <c r="G537" s="124">
        <v>199.58</v>
      </c>
      <c r="H537" s="124">
        <v>232.87</v>
      </c>
      <c r="I537" s="124">
        <v>70.680000000000007</v>
      </c>
      <c r="J537" s="125">
        <v>102.95</v>
      </c>
      <c r="L537" s="39">
        <f t="shared" si="104"/>
        <v>-9.3164466536692688E-3</v>
      </c>
      <c r="M537" s="40">
        <f t="shared" si="96"/>
        <v>-1.8171139091810305E-2</v>
      </c>
      <c r="N537" s="40">
        <f t="shared" si="97"/>
        <v>-5.2726488690266133E-3</v>
      </c>
      <c r="O537" s="40">
        <f t="shared" si="98"/>
        <v>-1.0671585257402619E-2</v>
      </c>
      <c r="P537" s="40">
        <f t="shared" si="99"/>
        <v>-1.3496521083074853E-2</v>
      </c>
      <c r="Q537" s="40">
        <f t="shared" si="100"/>
        <v>1.8629102230388432E-2</v>
      </c>
      <c r="R537" s="40">
        <f t="shared" si="101"/>
        <v>-7.7549107333077386E-3</v>
      </c>
      <c r="S537" s="40">
        <f t="shared" si="102"/>
        <v>-6.7453625632376306E-3</v>
      </c>
      <c r="T537" s="41">
        <f t="shared" si="103"/>
        <v>4.586260733801706E-3</v>
      </c>
      <c r="V537" s="39">
        <f t="shared" si="105"/>
        <v>-9.3164466536692688E-3</v>
      </c>
      <c r="W537" s="40" cm="1">
        <f t="array" ref="W537">IF(M537="","",SUMPRODUCT(M537:T537,TRANSPOSE('04_Dashboard'!$C$53:$C$60)))</f>
        <v>-9.8971841009390621E-4</v>
      </c>
      <c r="X537" s="42">
        <f t="shared" si="106"/>
        <v>1.5578151693150131</v>
      </c>
      <c r="Y537" s="118">
        <f t="shared" si="107"/>
        <v>1.636876229610847</v>
      </c>
      <c r="AA537" s="43">
        <f>IF(X537="","",X537/MAX($X$4:X537)-1)</f>
        <v>-3.1597782917994199E-2</v>
      </c>
      <c r="AB537" s="44">
        <f>IF(Y537="","",Y537/MAX($Y$4:Y537)-1)</f>
        <v>-1.6324860086387782E-2</v>
      </c>
    </row>
    <row r="538" spans="1:28" x14ac:dyDescent="0.45">
      <c r="A538" s="121">
        <v>45979</v>
      </c>
      <c r="B538" s="124">
        <v>660.08</v>
      </c>
      <c r="C538" s="124">
        <v>267.44</v>
      </c>
      <c r="D538" s="124">
        <v>493.79</v>
      </c>
      <c r="E538" s="124">
        <v>299.41000000000003</v>
      </c>
      <c r="F538" s="124">
        <v>119.03</v>
      </c>
      <c r="G538" s="124">
        <v>200</v>
      </c>
      <c r="H538" s="124">
        <v>222.55</v>
      </c>
      <c r="I538" s="124">
        <v>71.22</v>
      </c>
      <c r="J538" s="125">
        <v>101.39</v>
      </c>
      <c r="L538" s="39">
        <f t="shared" si="104"/>
        <v>-8.3975543437437745E-3</v>
      </c>
      <c r="M538" s="40">
        <f t="shared" si="96"/>
        <v>-7.477753682786888E-5</v>
      </c>
      <c r="N538" s="40">
        <f t="shared" si="97"/>
        <v>-2.6995605824745292E-2</v>
      </c>
      <c r="O538" s="40">
        <f t="shared" si="98"/>
        <v>-3.1960581948928973E-3</v>
      </c>
      <c r="P538" s="40">
        <f t="shared" si="99"/>
        <v>1.1471787899388122E-2</v>
      </c>
      <c r="Q538" s="40">
        <f t="shared" si="100"/>
        <v>2.1044192804889643E-3</v>
      </c>
      <c r="R538" s="40">
        <f t="shared" si="101"/>
        <v>-4.4316571477648441E-2</v>
      </c>
      <c r="S538" s="40">
        <f t="shared" si="102"/>
        <v>7.6400679117146573E-3</v>
      </c>
      <c r="T538" s="41">
        <f t="shared" si="103"/>
        <v>-1.5152986886838292E-2</v>
      </c>
      <c r="V538" s="39">
        <f t="shared" si="105"/>
        <v>-8.3975543437437745E-3</v>
      </c>
      <c r="W538" s="40" cm="1">
        <f t="array" ref="W538">IF(M538="","",SUMPRODUCT(M538:T538,TRANSPOSE('04_Dashboard'!$C$53:$C$60)))</f>
        <v>-5.8388097500447949E-3</v>
      </c>
      <c r="X538" s="42">
        <f t="shared" si="106"/>
        <v>1.5447333317731817</v>
      </c>
      <c r="Y538" s="118">
        <f t="shared" si="107"/>
        <v>1.6273188207217786</v>
      </c>
      <c r="AA538" s="43">
        <f>IF(X538="","",X538/MAX($X$4:X538)-1)</f>
        <v>-3.9729993162542443E-2</v>
      </c>
      <c r="AB538" s="44">
        <f>IF(Y538="","",Y538/MAX($Y$4:Y538)-1)</f>
        <v>-2.2068352084192111E-2</v>
      </c>
    </row>
    <row r="539" spans="1:28" x14ac:dyDescent="0.45">
      <c r="A539" s="121">
        <v>45980</v>
      </c>
      <c r="B539" s="124">
        <v>662.63</v>
      </c>
      <c r="C539" s="124">
        <v>268.56</v>
      </c>
      <c r="D539" s="124">
        <v>487.12</v>
      </c>
      <c r="E539" s="124">
        <v>303.27</v>
      </c>
      <c r="F539" s="124">
        <v>117.35</v>
      </c>
      <c r="G539" s="124">
        <v>202.51</v>
      </c>
      <c r="H539" s="124">
        <v>222.69</v>
      </c>
      <c r="I539" s="124">
        <v>71.11</v>
      </c>
      <c r="J539" s="125">
        <v>100.61</v>
      </c>
      <c r="L539" s="39">
        <f t="shared" si="104"/>
        <v>3.8631681008361933E-3</v>
      </c>
      <c r="M539" s="40">
        <f t="shared" si="96"/>
        <v>4.1878552198624163E-3</v>
      </c>
      <c r="N539" s="40">
        <f t="shared" si="97"/>
        <v>-1.3507766459426104E-2</v>
      </c>
      <c r="O539" s="40">
        <f t="shared" si="98"/>
        <v>1.2892020974583201E-2</v>
      </c>
      <c r="P539" s="40">
        <f t="shared" si="99"/>
        <v>-1.4114088885155061E-2</v>
      </c>
      <c r="Q539" s="40">
        <f t="shared" si="100"/>
        <v>1.2549999999999955E-2</v>
      </c>
      <c r="R539" s="40">
        <f t="shared" si="101"/>
        <v>6.2907211862496678E-4</v>
      </c>
      <c r="S539" s="40">
        <f t="shared" si="102"/>
        <v>-1.5445099691097927E-3</v>
      </c>
      <c r="T539" s="41">
        <f t="shared" si="103"/>
        <v>-7.6930663773547795E-3</v>
      </c>
      <c r="V539" s="39">
        <f t="shared" si="105"/>
        <v>3.8631681008361933E-3</v>
      </c>
      <c r="W539" s="40" cm="1">
        <f t="array" ref="W539">IF(M539="","",SUMPRODUCT(M539:T539,TRANSPOSE('04_Dashboard'!$C$53:$C$60)))</f>
        <v>3.4119834831086281E-3</v>
      </c>
      <c r="X539" s="42">
        <f t="shared" si="106"/>
        <v>1.5507008963047861</v>
      </c>
      <c r="Y539" s="118">
        <f t="shared" si="107"/>
        <v>1.6328712056598329</v>
      </c>
      <c r="AA539" s="43">
        <f>IF(X539="","",X539/MAX($X$4:X539)-1)</f>
        <v>-3.6020308703938242E-2</v>
      </c>
      <c r="AB539" s="44">
        <f>IF(Y539="","",Y539/MAX($Y$4:Y539)-1)</f>
        <v>-1.8731665453894264E-2</v>
      </c>
    </row>
    <row r="540" spans="1:28" x14ac:dyDescent="0.45">
      <c r="A540" s="121">
        <v>45981</v>
      </c>
      <c r="B540" s="124">
        <v>652.53</v>
      </c>
      <c r="C540" s="124">
        <v>266.25</v>
      </c>
      <c r="D540" s="124">
        <v>478.43</v>
      </c>
      <c r="E540" s="124">
        <v>298.38</v>
      </c>
      <c r="F540" s="124">
        <v>117.02</v>
      </c>
      <c r="G540" s="124">
        <v>203.07</v>
      </c>
      <c r="H540" s="124">
        <v>217.14</v>
      </c>
      <c r="I540" s="124">
        <v>71.209999999999994</v>
      </c>
      <c r="J540" s="125">
        <v>107.11</v>
      </c>
      <c r="L540" s="39">
        <f t="shared" si="104"/>
        <v>-1.5242292078535566E-2</v>
      </c>
      <c r="M540" s="40">
        <f t="shared" si="96"/>
        <v>-8.6014298480786497E-3</v>
      </c>
      <c r="N540" s="40">
        <f t="shared" si="97"/>
        <v>-1.7839546723599928E-2</v>
      </c>
      <c r="O540" s="40">
        <f t="shared" si="98"/>
        <v>-1.6124245721634144E-2</v>
      </c>
      <c r="P540" s="40">
        <f t="shared" si="99"/>
        <v>-2.8121005538985794E-3</v>
      </c>
      <c r="Q540" s="40">
        <f t="shared" si="100"/>
        <v>2.7652955409609515E-3</v>
      </c>
      <c r="R540" s="40">
        <f t="shared" si="101"/>
        <v>-2.4922538057389247E-2</v>
      </c>
      <c r="S540" s="40">
        <f t="shared" si="102"/>
        <v>1.4062719729994982E-3</v>
      </c>
      <c r="T540" s="41">
        <f t="shared" si="103"/>
        <v>6.4605903985687302E-2</v>
      </c>
      <c r="V540" s="39">
        <f t="shared" si="105"/>
        <v>-1.5242292078535566E-2</v>
      </c>
      <c r="W540" s="40" cm="1">
        <f t="array" ref="W540">IF(M540="","",SUMPRODUCT(M540:T540,TRANSPOSE('04_Dashboard'!$C$53:$C$60)))</f>
        <v>2.3835329123169007E-3</v>
      </c>
      <c r="X540" s="42">
        <f t="shared" si="106"/>
        <v>1.5270646603168616</v>
      </c>
      <c r="Y540" s="118">
        <f t="shared" si="107"/>
        <v>1.6367632079200978</v>
      </c>
      <c r="AA540" s="43">
        <f>IF(X540="","",X540/MAX($X$4:X540)-1)</f>
        <v>-5.0713568716449497E-2</v>
      </c>
      <c r="AB540" s="44">
        <f>IF(Y540="","",Y540/MAX($Y$4:Y540)-1)</f>
        <v>-1.6392780082689185E-2</v>
      </c>
    </row>
    <row r="541" spans="1:28" x14ac:dyDescent="0.45">
      <c r="A541" s="121">
        <v>45982</v>
      </c>
      <c r="B541" s="124">
        <v>659.03</v>
      </c>
      <c r="C541" s="124">
        <v>271.49</v>
      </c>
      <c r="D541" s="124">
        <v>472.12</v>
      </c>
      <c r="E541" s="124">
        <v>298.02</v>
      </c>
      <c r="F541" s="124">
        <v>117.08</v>
      </c>
      <c r="G541" s="124">
        <v>203.9</v>
      </c>
      <c r="H541" s="124">
        <v>220.69</v>
      </c>
      <c r="I541" s="124">
        <v>72.95</v>
      </c>
      <c r="J541" s="125">
        <v>105.32</v>
      </c>
      <c r="L541" s="39">
        <f t="shared" si="104"/>
        <v>9.9612278362680648E-3</v>
      </c>
      <c r="M541" s="40">
        <f t="shared" si="96"/>
        <v>1.9680751173708953E-2</v>
      </c>
      <c r="N541" s="40">
        <f t="shared" si="97"/>
        <v>-1.3188972263445023E-2</v>
      </c>
      <c r="O541" s="40">
        <f t="shared" si="98"/>
        <v>-1.2065151819827525E-3</v>
      </c>
      <c r="P541" s="40">
        <f t="shared" si="99"/>
        <v>5.1273286617674134E-4</v>
      </c>
      <c r="Q541" s="40">
        <f t="shared" si="100"/>
        <v>4.0872605505491337E-3</v>
      </c>
      <c r="R541" s="40">
        <f t="shared" si="101"/>
        <v>1.6348899327622787E-2</v>
      </c>
      <c r="S541" s="40">
        <f t="shared" si="102"/>
        <v>2.4434770397416223E-2</v>
      </c>
      <c r="T541" s="41">
        <f t="shared" si="103"/>
        <v>-1.6711791616095661E-2</v>
      </c>
      <c r="V541" s="39">
        <f t="shared" si="105"/>
        <v>9.9612278362680648E-3</v>
      </c>
      <c r="W541" s="40" cm="1">
        <f t="array" ref="W541">IF(M541="","",SUMPRODUCT(M541:T541,TRANSPOSE('04_Dashboard'!$C$53:$C$60)))</f>
        <v>3.1551283309994419E-3</v>
      </c>
      <c r="X541" s="42">
        <f t="shared" si="106"/>
        <v>1.542276099318991</v>
      </c>
      <c r="Y541" s="118">
        <f t="shared" si="107"/>
        <v>1.641927405888544</v>
      </c>
      <c r="AA541" s="43">
        <f>IF(X541="","",X541/MAX($X$4:X541)-1)</f>
        <v>-4.125751029255631E-2</v>
      </c>
      <c r="AB541" s="44">
        <f>IF(Y541="","",Y541/MAX($Y$4:Y541)-1)</f>
        <v>-1.3289373076552424E-2</v>
      </c>
    </row>
    <row r="542" spans="1:28" x14ac:dyDescent="0.45">
      <c r="A542" s="121">
        <v>45985</v>
      </c>
      <c r="B542" s="124">
        <v>668.73</v>
      </c>
      <c r="C542" s="124">
        <v>275.92</v>
      </c>
      <c r="D542" s="124">
        <v>474</v>
      </c>
      <c r="E542" s="124">
        <v>298</v>
      </c>
      <c r="F542" s="124">
        <v>115.97</v>
      </c>
      <c r="G542" s="124">
        <v>206.05</v>
      </c>
      <c r="H542" s="124">
        <v>226.28</v>
      </c>
      <c r="I542" s="124">
        <v>72.59</v>
      </c>
      <c r="J542" s="125">
        <v>104.06</v>
      </c>
      <c r="L542" s="39">
        <f t="shared" si="104"/>
        <v>1.4718601581111703E-2</v>
      </c>
      <c r="M542" s="40">
        <f t="shared" si="96"/>
        <v>1.6317359755423796E-2</v>
      </c>
      <c r="N542" s="40">
        <f t="shared" si="97"/>
        <v>3.9820384647970761E-3</v>
      </c>
      <c r="O542" s="40">
        <f t="shared" si="98"/>
        <v>-6.7109589960344314E-5</v>
      </c>
      <c r="P542" s="40">
        <f t="shared" si="99"/>
        <v>-9.4806969593440333E-3</v>
      </c>
      <c r="Q542" s="40">
        <f t="shared" si="100"/>
        <v>1.0544384502206992E-2</v>
      </c>
      <c r="R542" s="40">
        <f t="shared" si="101"/>
        <v>2.5329647922425137E-2</v>
      </c>
      <c r="S542" s="40">
        <f t="shared" si="102"/>
        <v>-4.9348869088416646E-3</v>
      </c>
      <c r="T542" s="41">
        <f t="shared" si="103"/>
        <v>-1.1963539688568088E-2</v>
      </c>
      <c r="V542" s="39">
        <f t="shared" si="105"/>
        <v>1.4718601581111703E-2</v>
      </c>
      <c r="W542" s="40" cm="1">
        <f t="array" ref="W542">IF(M542="","",SUMPRODUCT(M542:T542,TRANSPOSE('04_Dashboard'!$C$53:$C$60)))</f>
        <v>2.703880608663398E-3</v>
      </c>
      <c r="X542" s="42">
        <f t="shared" si="106"/>
        <v>1.5649762467529382</v>
      </c>
      <c r="Y542" s="118">
        <f t="shared" si="107"/>
        <v>1.6463669815621591</v>
      </c>
      <c r="AA542" s="43">
        <f>IF(X542="","",X542/MAX($X$4:X542)-1)</f>
        <v>-2.7146161567669358E-2</v>
      </c>
      <c r="AB542" s="44">
        <f>IF(Y542="","",Y542/MAX($Y$4:Y542)-1)</f>
        <v>-1.0621425346052038E-2</v>
      </c>
    </row>
    <row r="543" spans="1:28" x14ac:dyDescent="0.45">
      <c r="A543" s="121">
        <v>45986</v>
      </c>
      <c r="B543" s="124">
        <v>675.02</v>
      </c>
      <c r="C543" s="124">
        <v>276.97000000000003</v>
      </c>
      <c r="D543" s="124">
        <v>476.99</v>
      </c>
      <c r="E543" s="124">
        <v>303</v>
      </c>
      <c r="F543" s="124">
        <v>114.51</v>
      </c>
      <c r="G543" s="124">
        <v>206.67</v>
      </c>
      <c r="H543" s="124">
        <v>229.67</v>
      </c>
      <c r="I543" s="124">
        <v>72.61</v>
      </c>
      <c r="J543" s="125">
        <v>107</v>
      </c>
      <c r="L543" s="39">
        <f t="shared" si="104"/>
        <v>9.4058887742436616E-3</v>
      </c>
      <c r="M543" s="40">
        <f t="shared" si="96"/>
        <v>3.8054508553204236E-3</v>
      </c>
      <c r="N543" s="40">
        <f t="shared" si="97"/>
        <v>6.3080168776371501E-3</v>
      </c>
      <c r="O543" s="40">
        <f t="shared" si="98"/>
        <v>1.6778523489932886E-2</v>
      </c>
      <c r="P543" s="40">
        <f t="shared" si="99"/>
        <v>-1.2589462792101352E-2</v>
      </c>
      <c r="Q543" s="40">
        <f t="shared" si="100"/>
        <v>3.0089784033000538E-3</v>
      </c>
      <c r="R543" s="40">
        <f t="shared" si="101"/>
        <v>1.4981438925225325E-2</v>
      </c>
      <c r="S543" s="40">
        <f t="shared" si="102"/>
        <v>2.7552004408315224E-4</v>
      </c>
      <c r="T543" s="41">
        <f t="shared" si="103"/>
        <v>2.8252931001345356E-2</v>
      </c>
      <c r="V543" s="39">
        <f t="shared" si="105"/>
        <v>9.4058887742436616E-3</v>
      </c>
      <c r="W543" s="40" cm="1">
        <f t="array" ref="W543">IF(M543="","",SUMPRODUCT(M543:T543,TRANSPOSE('04_Dashboard'!$C$53:$C$60)))</f>
        <v>9.785217144461858E-3</v>
      </c>
      <c r="X543" s="42">
        <f t="shared" si="106"/>
        <v>1.5796962392642295</v>
      </c>
      <c r="Y543" s="118">
        <f t="shared" si="107"/>
        <v>1.6624770399762172</v>
      </c>
      <c r="AA543" s="43">
        <f>IF(X543="","",X543/MAX($X$4:X543)-1)</f>
        <v>-1.7995606569778944E-2</v>
      </c>
      <c r="AB543" s="44">
        <f>IF(Y543="","",Y543/MAX($Y$4:Y543)-1)</f>
        <v>-9.4014115498486373E-4</v>
      </c>
    </row>
    <row r="544" spans="1:28" x14ac:dyDescent="0.45">
      <c r="A544" s="121">
        <v>45987</v>
      </c>
      <c r="B544" s="124">
        <v>679.68</v>
      </c>
      <c r="C544" s="124">
        <v>277.55</v>
      </c>
      <c r="D544" s="124">
        <v>485.5</v>
      </c>
      <c r="E544" s="124">
        <v>307.64</v>
      </c>
      <c r="F544" s="124">
        <v>114.77</v>
      </c>
      <c r="G544" s="124">
        <v>207.56</v>
      </c>
      <c r="H544" s="124">
        <v>229.16</v>
      </c>
      <c r="I544" s="124">
        <v>72.88</v>
      </c>
      <c r="J544" s="125">
        <v>109.1</v>
      </c>
      <c r="L544" s="39">
        <f t="shared" si="104"/>
        <v>6.9034991555805281E-3</v>
      </c>
      <c r="M544" s="40">
        <f t="shared" si="96"/>
        <v>2.094089612593364E-3</v>
      </c>
      <c r="N544" s="40">
        <f t="shared" si="97"/>
        <v>1.7841044885636995E-2</v>
      </c>
      <c r="O544" s="40">
        <f t="shared" si="98"/>
        <v>1.5313531353135269E-2</v>
      </c>
      <c r="P544" s="40">
        <f t="shared" si="99"/>
        <v>2.2705440572874935E-3</v>
      </c>
      <c r="Q544" s="40">
        <f t="shared" si="100"/>
        <v>4.3063821551266018E-3</v>
      </c>
      <c r="R544" s="40">
        <f t="shared" si="101"/>
        <v>-2.2205773501109893E-3</v>
      </c>
      <c r="S544" s="40">
        <f t="shared" si="102"/>
        <v>3.7184960749207549E-3</v>
      </c>
      <c r="T544" s="41">
        <f t="shared" si="103"/>
        <v>1.9626168224299013E-2</v>
      </c>
      <c r="V544" s="39">
        <f t="shared" si="105"/>
        <v>6.9034991555805281E-3</v>
      </c>
      <c r="W544" s="40" cm="1">
        <f t="array" ref="W544">IF(M544="","",SUMPRODUCT(M544:T544,TRANSPOSE('04_Dashboard'!$C$53:$C$60)))</f>
        <v>9.1883496972240148E-3</v>
      </c>
      <c r="X544" s="42">
        <f t="shared" si="106"/>
        <v>1.5906016709180639</v>
      </c>
      <c r="Y544" s="118">
        <f t="shared" si="107"/>
        <v>1.6777524603831246</v>
      </c>
      <c r="AA544" s="43">
        <f>IF(X544="","",X544/MAX($X$4:X544)-1)</f>
        <v>-1.1216340068956998E-2</v>
      </c>
      <c r="AB544" s="44">
        <f>IF(Y544="","",Y544/MAX($Y$4:Y544)-1)</f>
        <v>0</v>
      </c>
    </row>
    <row r="545" spans="1:28" x14ac:dyDescent="0.45">
      <c r="A545" s="121">
        <v>45989</v>
      </c>
      <c r="B545" s="124">
        <v>683.39</v>
      </c>
      <c r="C545" s="124">
        <v>278.85000000000002</v>
      </c>
      <c r="D545" s="124">
        <v>492.01</v>
      </c>
      <c r="E545" s="124">
        <v>313.08</v>
      </c>
      <c r="F545" s="124">
        <v>115.92</v>
      </c>
      <c r="G545" s="124">
        <v>206.92</v>
      </c>
      <c r="H545" s="124">
        <v>233.22</v>
      </c>
      <c r="I545" s="124">
        <v>73.12</v>
      </c>
      <c r="J545" s="125">
        <v>110.51</v>
      </c>
      <c r="L545" s="39">
        <f t="shared" si="104"/>
        <v>5.4584510357815978E-3</v>
      </c>
      <c r="M545" s="40">
        <f t="shared" si="96"/>
        <v>4.6838407494145607E-3</v>
      </c>
      <c r="N545" s="40">
        <f t="shared" si="97"/>
        <v>1.3408856848609662E-2</v>
      </c>
      <c r="O545" s="40">
        <f t="shared" si="98"/>
        <v>1.768300611103887E-2</v>
      </c>
      <c r="P545" s="40">
        <f t="shared" si="99"/>
        <v>1.0020040080160371E-2</v>
      </c>
      <c r="Q545" s="40">
        <f t="shared" si="100"/>
        <v>-3.0834457506263963E-3</v>
      </c>
      <c r="R545" s="40">
        <f t="shared" si="101"/>
        <v>1.7716879036481073E-2</v>
      </c>
      <c r="S545" s="40">
        <f t="shared" si="102"/>
        <v>3.293084522502869E-3</v>
      </c>
      <c r="T545" s="41">
        <f t="shared" si="103"/>
        <v>1.2923923006416232E-2</v>
      </c>
      <c r="V545" s="39">
        <f t="shared" si="105"/>
        <v>5.4584510357815978E-3</v>
      </c>
      <c r="W545" s="40" cm="1">
        <f t="array" ref="W545">IF(M545="","",SUMPRODUCT(M545:T545,TRANSPOSE('04_Dashboard'!$C$53:$C$60)))</f>
        <v>8.6901063729922391E-3</v>
      </c>
      <c r="X545" s="42">
        <f t="shared" si="106"/>
        <v>1.5992838922562025</v>
      </c>
      <c r="Y545" s="118">
        <f t="shared" si="107"/>
        <v>1.6923323077314034</v>
      </c>
      <c r="AA545" s="43">
        <f>IF(X545="","",X545/MAX($X$4:X545)-1)</f>
        <v>-5.8191128762425937E-3</v>
      </c>
      <c r="AB545" s="44">
        <f>IF(Y545="","",Y545/MAX($Y$4:Y545)-1)</f>
        <v>0</v>
      </c>
    </row>
    <row r="546" spans="1:28" x14ac:dyDescent="0.45">
      <c r="A546" s="121">
        <v>45992</v>
      </c>
      <c r="B546" s="124">
        <v>680.27</v>
      </c>
      <c r="C546" s="124">
        <v>283.10000000000002</v>
      </c>
      <c r="D546" s="124">
        <v>486.74</v>
      </c>
      <c r="E546" s="124">
        <v>308.92</v>
      </c>
      <c r="F546" s="124">
        <v>116.63</v>
      </c>
      <c r="G546" s="124">
        <v>205.34</v>
      </c>
      <c r="H546" s="124">
        <v>233.88</v>
      </c>
      <c r="I546" s="124">
        <v>71.95</v>
      </c>
      <c r="J546" s="125">
        <v>111.53</v>
      </c>
      <c r="L546" s="39">
        <f t="shared" si="104"/>
        <v>-4.5654750581659151E-3</v>
      </c>
      <c r="M546" s="40">
        <f t="shared" si="96"/>
        <v>1.5241169087322932E-2</v>
      </c>
      <c r="N546" s="40">
        <f t="shared" si="97"/>
        <v>-1.0711164407227459E-2</v>
      </c>
      <c r="O546" s="40">
        <f t="shared" si="98"/>
        <v>-1.328733869937386E-2</v>
      </c>
      <c r="P546" s="40">
        <f t="shared" si="99"/>
        <v>6.1249137336093313E-3</v>
      </c>
      <c r="Q546" s="40">
        <f t="shared" si="100"/>
        <v>-7.6358012758553266E-3</v>
      </c>
      <c r="R546" s="40">
        <f t="shared" si="101"/>
        <v>2.8299459737586683E-3</v>
      </c>
      <c r="S546" s="40">
        <f t="shared" si="102"/>
        <v>-1.6001094091903742E-2</v>
      </c>
      <c r="T546" s="41">
        <f t="shared" si="103"/>
        <v>9.2299339426295899E-3</v>
      </c>
      <c r="V546" s="39">
        <f t="shared" si="105"/>
        <v>-4.5654750581659151E-3</v>
      </c>
      <c r="W546" s="40" cm="1">
        <f t="array" ref="W546">IF(M546="","",SUMPRODUCT(M546:T546,TRANSPOSE('04_Dashboard'!$C$53:$C$60)))</f>
        <v>-5.2709946873169249E-3</v>
      </c>
      <c r="X546" s="42">
        <f t="shared" si="106"/>
        <v>1.5919824015351802</v>
      </c>
      <c r="Y546" s="118">
        <f t="shared" si="107"/>
        <v>1.6834120331281763</v>
      </c>
      <c r="AA546" s="43">
        <f>IF(X546="","",X546/MAX($X$4:X546)-1)</f>
        <v>-1.0358020919711386E-2</v>
      </c>
      <c r="AB546" s="44">
        <f>IF(Y546="","",Y546/MAX($Y$4:Y546)-1)</f>
        <v>-5.2709946873169544E-3</v>
      </c>
    </row>
    <row r="547" spans="1:28" x14ac:dyDescent="0.45">
      <c r="A547" s="121">
        <v>45993</v>
      </c>
      <c r="B547" s="124">
        <v>681.53</v>
      </c>
      <c r="C547" s="124">
        <v>286.19</v>
      </c>
      <c r="D547" s="124">
        <v>490</v>
      </c>
      <c r="E547" s="124">
        <v>307.88</v>
      </c>
      <c r="F547" s="124">
        <v>115.38</v>
      </c>
      <c r="G547" s="124">
        <v>205.42</v>
      </c>
      <c r="H547" s="124">
        <v>234.42</v>
      </c>
      <c r="I547" s="124">
        <v>70.67</v>
      </c>
      <c r="J547" s="125">
        <v>112.41</v>
      </c>
      <c r="L547" s="39">
        <f t="shared" si="104"/>
        <v>1.8522057418377863E-3</v>
      </c>
      <c r="M547" s="40">
        <f t="shared" si="96"/>
        <v>1.0914871070293094E-2</v>
      </c>
      <c r="N547" s="40">
        <f t="shared" si="97"/>
        <v>6.6976209064387371E-3</v>
      </c>
      <c r="O547" s="40">
        <f t="shared" si="98"/>
        <v>-3.3665673960896684E-3</v>
      </c>
      <c r="P547" s="40">
        <f t="shared" si="99"/>
        <v>-1.0717654119866244E-2</v>
      </c>
      <c r="Q547" s="40">
        <f t="shared" si="100"/>
        <v>3.8959774033302854E-4</v>
      </c>
      <c r="R547" s="40">
        <f t="shared" si="101"/>
        <v>2.3088763468445015E-3</v>
      </c>
      <c r="S547" s="40">
        <f t="shared" si="102"/>
        <v>-1.7790132036136219E-2</v>
      </c>
      <c r="T547" s="41">
        <f t="shared" si="103"/>
        <v>7.890253743387388E-3</v>
      </c>
      <c r="V547" s="39">
        <f t="shared" si="105"/>
        <v>1.8522057418377863E-3</v>
      </c>
      <c r="W547" s="40" cm="1">
        <f t="array" ref="W547">IF(M547="","",SUMPRODUCT(M547:T547,TRANSPOSE('04_Dashboard'!$C$53:$C$60)))</f>
        <v>-1.3761184324616708E-3</v>
      </c>
      <c r="X547" s="42">
        <f t="shared" si="106"/>
        <v>1.5949310804802084</v>
      </c>
      <c r="Y547" s="118">
        <f t="shared" si="107"/>
        <v>1.6810954587999609</v>
      </c>
      <c r="AA547" s="43">
        <f>IF(X547="","",X547/MAX($X$4:X547)-1)</f>
        <v>-8.5250003636951899E-3</v>
      </c>
      <c r="AB547" s="44">
        <f>IF(Y547="","",Y547/MAX($Y$4:Y547)-1)</f>
        <v>-6.6398596068319993E-3</v>
      </c>
    </row>
    <row r="548" spans="1:28" x14ac:dyDescent="0.45">
      <c r="A548" s="121">
        <v>45994</v>
      </c>
      <c r="B548" s="124">
        <v>683.89</v>
      </c>
      <c r="C548" s="124">
        <v>284.14999999999998</v>
      </c>
      <c r="D548" s="124">
        <v>477.73</v>
      </c>
      <c r="E548" s="124">
        <v>312.13</v>
      </c>
      <c r="F548" s="124">
        <v>117.8</v>
      </c>
      <c r="G548" s="124">
        <v>205.33</v>
      </c>
      <c r="H548" s="124">
        <v>232.38</v>
      </c>
      <c r="I548" s="124">
        <v>70.81</v>
      </c>
      <c r="J548" s="125">
        <v>114.41</v>
      </c>
      <c r="L548" s="39">
        <f t="shared" si="104"/>
        <v>3.4627969421742459E-3</v>
      </c>
      <c r="M548" s="40">
        <f t="shared" si="96"/>
        <v>-7.1281316607848645E-3</v>
      </c>
      <c r="N548" s="40">
        <f t="shared" si="97"/>
        <v>-2.5040816326530574E-2</v>
      </c>
      <c r="O548" s="40">
        <f t="shared" si="98"/>
        <v>1.3804079511497987E-2</v>
      </c>
      <c r="P548" s="40">
        <f t="shared" si="99"/>
        <v>2.0974172300225358E-2</v>
      </c>
      <c r="Q548" s="40">
        <f t="shared" si="100"/>
        <v>-4.381267646771249E-4</v>
      </c>
      <c r="R548" s="40">
        <f t="shared" si="101"/>
        <v>-8.7023291528026282E-3</v>
      </c>
      <c r="S548" s="40">
        <f t="shared" si="102"/>
        <v>1.981038630253298E-3</v>
      </c>
      <c r="T548" s="41">
        <f t="shared" si="103"/>
        <v>1.779201138688729E-2</v>
      </c>
      <c r="V548" s="39">
        <f t="shared" si="105"/>
        <v>3.4627969421742459E-3</v>
      </c>
      <c r="W548" s="40" cm="1">
        <f t="array" ref="W548">IF(M548="","",SUMPRODUCT(M548:T548,TRANSPOSE('04_Dashboard'!$C$53:$C$60)))</f>
        <v>4.236341251004477E-3</v>
      </c>
      <c r="X548" s="42">
        <f t="shared" si="106"/>
        <v>1.600454002948674</v>
      </c>
      <c r="Y548" s="118">
        <f t="shared" si="107"/>
        <v>1.6882171528389516</v>
      </c>
      <c r="AA548" s="43">
        <f>IF(X548="","",X548/MAX($X$4:X548)-1)</f>
        <v>-5.0917237667122972E-3</v>
      </c>
      <c r="AB548" s="44">
        <f>IF(Y548="","",Y548/MAX($Y$4:Y548)-1)</f>
        <v>-2.4316470669807355E-3</v>
      </c>
    </row>
    <row r="549" spans="1:28" x14ac:dyDescent="0.45">
      <c r="A549" s="121">
        <v>45995</v>
      </c>
      <c r="B549" s="124">
        <v>684.39</v>
      </c>
      <c r="C549" s="124">
        <v>280.7</v>
      </c>
      <c r="D549" s="124">
        <v>480.84</v>
      </c>
      <c r="E549" s="124">
        <v>316.10000000000002</v>
      </c>
      <c r="F549" s="124">
        <v>117.14</v>
      </c>
      <c r="G549" s="124">
        <v>202.48</v>
      </c>
      <c r="H549" s="124">
        <v>229.11</v>
      </c>
      <c r="I549" s="124">
        <v>70.45</v>
      </c>
      <c r="J549" s="125">
        <v>114.84</v>
      </c>
      <c r="L549" s="39">
        <f t="shared" si="104"/>
        <v>7.311117284943485E-4</v>
      </c>
      <c r="M549" s="40">
        <f t="shared" si="96"/>
        <v>-1.2141474573288716E-2</v>
      </c>
      <c r="N549" s="40">
        <f t="shared" si="97"/>
        <v>6.5099533209133963E-3</v>
      </c>
      <c r="O549" s="40">
        <f t="shared" si="98"/>
        <v>1.2719059366289774E-2</v>
      </c>
      <c r="P549" s="40">
        <f t="shared" si="99"/>
        <v>-5.6027164685908031E-3</v>
      </c>
      <c r="Q549" s="40">
        <f t="shared" si="100"/>
        <v>-1.3880095456095176E-2</v>
      </c>
      <c r="R549" s="40">
        <f t="shared" si="101"/>
        <v>-1.4071778982700671E-2</v>
      </c>
      <c r="S549" s="40">
        <f t="shared" si="102"/>
        <v>-5.0840276797062484E-3</v>
      </c>
      <c r="T549" s="41">
        <f t="shared" si="103"/>
        <v>3.7584127261603606E-3</v>
      </c>
      <c r="V549" s="39">
        <f t="shared" si="105"/>
        <v>7.311117284943485E-4</v>
      </c>
      <c r="W549" s="40" cm="1">
        <f t="array" ref="W549">IF(M549="","",SUMPRODUCT(M549:T549,TRANSPOSE('04_Dashboard'!$C$53:$C$60)))</f>
        <v>-2.0138289405025869E-3</v>
      </c>
      <c r="X549" s="42">
        <f t="shared" si="106"/>
        <v>1.6016241136411453</v>
      </c>
      <c r="Y549" s="118">
        <f t="shared" si="107"/>
        <v>1.6848173722787116</v>
      </c>
      <c r="AA549" s="43">
        <f>IF(X549="","",X549/MAX($X$4:X549)-1)</f>
        <v>-4.3643346571821118E-3</v>
      </c>
      <c r="AB549" s="44">
        <f>IF(Y549="","",Y549/MAX($Y$4:Y549)-1)</f>
        <v>-4.440579086246732E-3</v>
      </c>
    </row>
    <row r="550" spans="1:28" x14ac:dyDescent="0.45">
      <c r="A550" s="121">
        <v>45996</v>
      </c>
      <c r="B550" s="124">
        <v>685.69</v>
      </c>
      <c r="C550" s="124">
        <v>278.77999999999997</v>
      </c>
      <c r="D550" s="124">
        <v>483.16</v>
      </c>
      <c r="E550" s="124">
        <v>315.04000000000002</v>
      </c>
      <c r="F550" s="124">
        <v>116.54</v>
      </c>
      <c r="G550" s="124">
        <v>201.93</v>
      </c>
      <c r="H550" s="124">
        <v>229.53</v>
      </c>
      <c r="I550" s="124">
        <v>70</v>
      </c>
      <c r="J550" s="125">
        <v>115.11</v>
      </c>
      <c r="L550" s="39">
        <f t="shared" si="104"/>
        <v>1.8995017460805509E-3</v>
      </c>
      <c r="M550" s="40">
        <f t="shared" si="96"/>
        <v>-6.8400427502672461E-3</v>
      </c>
      <c r="N550" s="40">
        <f t="shared" si="97"/>
        <v>4.8248897762250441E-3</v>
      </c>
      <c r="O550" s="40">
        <f t="shared" si="98"/>
        <v>-3.3533691869661571E-3</v>
      </c>
      <c r="P550" s="40">
        <f t="shared" si="99"/>
        <v>-5.1220761481986883E-3</v>
      </c>
      <c r="Q550" s="40">
        <f t="shared" si="100"/>
        <v>-2.7163176610034718E-3</v>
      </c>
      <c r="R550" s="40">
        <f t="shared" si="101"/>
        <v>1.8331805682859214E-3</v>
      </c>
      <c r="S550" s="40">
        <f t="shared" si="102"/>
        <v>-6.3875088715401396E-3</v>
      </c>
      <c r="T550" s="41">
        <f t="shared" si="103"/>
        <v>2.351097178683351E-3</v>
      </c>
      <c r="V550" s="39">
        <f t="shared" si="105"/>
        <v>1.8995017460805509E-3</v>
      </c>
      <c r="W550" s="40" cm="1">
        <f t="array" ref="W550">IF(M550="","",SUMPRODUCT(M550:T550,TRANSPOSE('04_Dashboard'!$C$53:$C$60)))</f>
        <v>-2.168588711745491E-3</v>
      </c>
      <c r="X550" s="42">
        <f t="shared" si="106"/>
        <v>1.6046664014415715</v>
      </c>
      <c r="Y550" s="118">
        <f t="shared" si="107"/>
        <v>1.6811636963438352</v>
      </c>
      <c r="AA550" s="43">
        <f>IF(X550="","",X550/MAX($X$4:X550)-1)</f>
        <v>-2.4731229724033188E-3</v>
      </c>
      <c r="AB550" s="44">
        <f>IF(Y550="","",Y550/MAX($Y$4:Y550)-1)</f>
        <v>-6.5995380083122557E-3</v>
      </c>
    </row>
    <row r="551" spans="1:28" x14ac:dyDescent="0.45">
      <c r="A551" s="121">
        <v>45999</v>
      </c>
      <c r="B551" s="124">
        <v>683.63</v>
      </c>
      <c r="C551" s="124">
        <v>277.89</v>
      </c>
      <c r="D551" s="124">
        <v>491.02</v>
      </c>
      <c r="E551" s="124">
        <v>315.20999999999998</v>
      </c>
      <c r="F551" s="124">
        <v>115.98</v>
      </c>
      <c r="G551" s="124">
        <v>201.62</v>
      </c>
      <c r="H551" s="124">
        <v>226.89</v>
      </c>
      <c r="I551" s="124">
        <v>70.25</v>
      </c>
      <c r="J551" s="125">
        <v>113.56</v>
      </c>
      <c r="L551" s="39">
        <f t="shared" si="104"/>
        <v>-3.0042730680045777E-3</v>
      </c>
      <c r="M551" s="40">
        <f t="shared" si="96"/>
        <v>-3.1924815266517917E-3</v>
      </c>
      <c r="N551" s="40">
        <f t="shared" si="97"/>
        <v>1.6267902972100248E-2</v>
      </c>
      <c r="O551" s="40">
        <f t="shared" si="98"/>
        <v>5.3961401726751858E-4</v>
      </c>
      <c r="P551" s="40">
        <f t="shared" si="99"/>
        <v>-4.8052170928436777E-3</v>
      </c>
      <c r="Q551" s="40">
        <f t="shared" si="100"/>
        <v>-1.5351854603080388E-3</v>
      </c>
      <c r="R551" s="40">
        <f t="shared" si="101"/>
        <v>-1.150176447523206E-2</v>
      </c>
      <c r="S551" s="40">
        <f t="shared" si="102"/>
        <v>3.5714285714285713E-3</v>
      </c>
      <c r="T551" s="41">
        <f t="shared" si="103"/>
        <v>-1.3465380939970439E-2</v>
      </c>
      <c r="V551" s="39">
        <f t="shared" si="105"/>
        <v>-3.0042730680045777E-3</v>
      </c>
      <c r="W551" s="40" cm="1">
        <f t="array" ref="W551">IF(M551="","",SUMPRODUCT(M551:T551,TRANSPOSE('04_Dashboard'!$C$53:$C$60)))</f>
        <v>-1.7775305352640356E-3</v>
      </c>
      <c r="X551" s="42">
        <f t="shared" si="106"/>
        <v>1.5998455453885887</v>
      </c>
      <c r="Y551" s="118">
        <f t="shared" si="107"/>
        <v>1.6781753765388066</v>
      </c>
      <c r="AA551" s="43">
        <f>IF(X551="","",X551/MAX($X$4:X551)-1)</f>
        <v>-5.4699661036681224E-3</v>
      </c>
      <c r="AB551" s="44">
        <f>IF(Y551="","",Y551/MAX($Y$4:Y551)-1)</f>
        <v>-8.3653376632479848E-3</v>
      </c>
    </row>
    <row r="552" spans="1:28" x14ac:dyDescent="0.45">
      <c r="A552" s="121">
        <v>46000</v>
      </c>
      <c r="B552" s="124">
        <v>683.04</v>
      </c>
      <c r="C552" s="124">
        <v>277.18</v>
      </c>
      <c r="D552" s="124">
        <v>492.02</v>
      </c>
      <c r="E552" s="124">
        <v>300.51</v>
      </c>
      <c r="F552" s="124">
        <v>118.25</v>
      </c>
      <c r="G552" s="124">
        <v>199.96</v>
      </c>
      <c r="H552" s="124">
        <v>227.92</v>
      </c>
      <c r="I552" s="124">
        <v>70.09</v>
      </c>
      <c r="J552" s="125">
        <v>115.06</v>
      </c>
      <c r="L552" s="39">
        <f t="shared" si="104"/>
        <v>-8.6303994851020562E-4</v>
      </c>
      <c r="M552" s="40">
        <f t="shared" si="96"/>
        <v>-2.5549677930115497E-3</v>
      </c>
      <c r="N552" s="40">
        <f t="shared" si="97"/>
        <v>2.0365769215103255E-3</v>
      </c>
      <c r="O552" s="40">
        <f t="shared" si="98"/>
        <v>-4.6635576282478317E-2</v>
      </c>
      <c r="P552" s="40">
        <f t="shared" si="99"/>
        <v>1.9572340058630764E-2</v>
      </c>
      <c r="Q552" s="40">
        <f t="shared" si="100"/>
        <v>-8.2333101874813835E-3</v>
      </c>
      <c r="R552" s="40">
        <f t="shared" si="101"/>
        <v>4.5396447617788412E-3</v>
      </c>
      <c r="S552" s="40">
        <f t="shared" si="102"/>
        <v>-2.2775800711743286E-3</v>
      </c>
      <c r="T552" s="41">
        <f t="shared" si="103"/>
        <v>1.3208876364917225E-2</v>
      </c>
      <c r="V552" s="39">
        <f t="shared" si="105"/>
        <v>-8.6303994851020562E-4</v>
      </c>
      <c r="W552" s="40" cm="1">
        <f t="array" ref="W552">IF(M552="","",SUMPRODUCT(M552:T552,TRANSPOSE('04_Dashboard'!$C$53:$C$60)))</f>
        <v>-1.0178698028629123E-2</v>
      </c>
      <c r="X552" s="42">
        <f t="shared" si="106"/>
        <v>1.5984648147714722</v>
      </c>
      <c r="Y552" s="118">
        <f t="shared" si="107"/>
        <v>1.6610937361419371</v>
      </c>
      <c r="AA552" s="43">
        <f>IF(X552="","",X552/MAX($X$4:X552)-1)</f>
        <v>-6.3282852529138456E-3</v>
      </c>
      <c r="AB552" s="44">
        <f>IF(Y552="","",Y552/MAX($Y$4:Y552)-1)</f>
        <v>-1.84588874458953E-2</v>
      </c>
    </row>
    <row r="553" spans="1:28" x14ac:dyDescent="0.45">
      <c r="A553" s="121">
        <v>46001</v>
      </c>
      <c r="B553" s="124">
        <v>687.57</v>
      </c>
      <c r="C553" s="124">
        <v>278.77999999999997</v>
      </c>
      <c r="D553" s="124">
        <v>478.56</v>
      </c>
      <c r="E553" s="124">
        <v>310.11</v>
      </c>
      <c r="F553" s="124">
        <v>119.54</v>
      </c>
      <c r="G553" s="124">
        <v>206.54</v>
      </c>
      <c r="H553" s="124">
        <v>231.78</v>
      </c>
      <c r="I553" s="124">
        <v>70.209999999999994</v>
      </c>
      <c r="J553" s="125">
        <v>113.18</v>
      </c>
      <c r="L553" s="39">
        <f t="shared" si="104"/>
        <v>6.6321152494730716E-3</v>
      </c>
      <c r="M553" s="40">
        <f t="shared" si="96"/>
        <v>5.7724222526876609E-3</v>
      </c>
      <c r="N553" s="40">
        <f t="shared" si="97"/>
        <v>-2.7356611519856876E-2</v>
      </c>
      <c r="O553" s="40">
        <f t="shared" si="98"/>
        <v>3.1945692323050889E-2</v>
      </c>
      <c r="P553" s="40">
        <f t="shared" si="99"/>
        <v>1.0909090909090962E-2</v>
      </c>
      <c r="Q553" s="40">
        <f t="shared" si="100"/>
        <v>3.2906581316263173E-2</v>
      </c>
      <c r="R553" s="40">
        <f t="shared" si="101"/>
        <v>1.6935766935766997E-2</v>
      </c>
      <c r="S553" s="40">
        <f t="shared" si="102"/>
        <v>1.7120844628333619E-3</v>
      </c>
      <c r="T553" s="41">
        <f t="shared" si="103"/>
        <v>-1.6339301234138671E-2</v>
      </c>
      <c r="V553" s="39">
        <f t="shared" si="105"/>
        <v>6.6321152494730716E-3</v>
      </c>
      <c r="W553" s="40" cm="1">
        <f t="array" ref="W553">IF(M553="","",SUMPRODUCT(M553:T553,TRANSPOSE('04_Dashboard'!$C$53:$C$60)))</f>
        <v>1.3619784812796649E-2</v>
      </c>
      <c r="X553" s="42">
        <f t="shared" si="106"/>
        <v>1.6090660176452642</v>
      </c>
      <c r="Y553" s="118">
        <f t="shared" si="107"/>
        <v>1.6837174753820745</v>
      </c>
      <c r="AA553" s="43">
        <f>IF(X553="","",X553/MAX($X$4:X553)-1)</f>
        <v>0</v>
      </c>
      <c r="AB553" s="44">
        <f>IF(Y553="","",Y553/MAX($Y$4:Y553)-1)</f>
        <v>-5.0905087079955447E-3</v>
      </c>
    </row>
    <row r="554" spans="1:28" x14ac:dyDescent="0.45">
      <c r="A554" s="121">
        <v>46002</v>
      </c>
      <c r="B554" s="124">
        <v>689.17</v>
      </c>
      <c r="C554" s="124">
        <v>278.02999999999997</v>
      </c>
      <c r="D554" s="124">
        <v>483.47</v>
      </c>
      <c r="E554" s="124">
        <v>317.38</v>
      </c>
      <c r="F554" s="124">
        <v>119.54</v>
      </c>
      <c r="G554" s="124">
        <v>210.01</v>
      </c>
      <c r="H554" s="124">
        <v>230.28</v>
      </c>
      <c r="I554" s="124">
        <v>69.11</v>
      </c>
      <c r="J554" s="125">
        <v>115.52</v>
      </c>
      <c r="L554" s="39">
        <f t="shared" si="104"/>
        <v>2.3270357927191545E-3</v>
      </c>
      <c r="M554" s="40">
        <f t="shared" si="96"/>
        <v>-2.6902934213358207E-3</v>
      </c>
      <c r="N554" s="40">
        <f t="shared" si="97"/>
        <v>1.0259946506185275E-2</v>
      </c>
      <c r="O554" s="40">
        <f t="shared" si="98"/>
        <v>2.3443294314920451E-2</v>
      </c>
      <c r="P554" s="40">
        <f t="shared" si="99"/>
        <v>0</v>
      </c>
      <c r="Q554" s="40">
        <f t="shared" si="100"/>
        <v>1.6800619734676087E-2</v>
      </c>
      <c r="R554" s="40">
        <f t="shared" si="101"/>
        <v>-6.4716541548019675E-3</v>
      </c>
      <c r="S554" s="40">
        <f t="shared" si="102"/>
        <v>-1.5667283862697542E-2</v>
      </c>
      <c r="T554" s="41">
        <f t="shared" si="103"/>
        <v>2.0675030924191456E-2</v>
      </c>
      <c r="V554" s="39">
        <f t="shared" si="105"/>
        <v>2.3270357927191545E-3</v>
      </c>
      <c r="W554" s="40" cm="1">
        <f t="array" ref="W554">IF(M554="","",SUMPRODUCT(M554:T554,TRANSPOSE('04_Dashboard'!$C$53:$C$60)))</f>
        <v>1.0349623582863014E-2</v>
      </c>
      <c r="X554" s="42">
        <f t="shared" si="106"/>
        <v>1.6128103718611728</v>
      </c>
      <c r="Y554" s="118">
        <f t="shared" si="107"/>
        <v>1.7011433174721675</v>
      </c>
      <c r="AA554" s="43">
        <f>IF(X554="","",X554/MAX($X$4:X554)-1)</f>
        <v>0</v>
      </c>
      <c r="AB554" s="44">
        <f>IF(Y554="","",Y554/MAX($Y$4:Y554)-1)</f>
        <v>0</v>
      </c>
    </row>
    <row r="555" spans="1:28" x14ac:dyDescent="0.45">
      <c r="A555" s="121">
        <v>46003</v>
      </c>
      <c r="B555" s="124">
        <v>681.76</v>
      </c>
      <c r="C555" s="124">
        <v>278.27999999999997</v>
      </c>
      <c r="D555" s="124">
        <v>478.53</v>
      </c>
      <c r="E555" s="124">
        <v>318.52</v>
      </c>
      <c r="F555" s="124">
        <v>118.82</v>
      </c>
      <c r="G555" s="124">
        <v>211.58</v>
      </c>
      <c r="H555" s="124">
        <v>226.19</v>
      </c>
      <c r="I555" s="124">
        <v>70.52</v>
      </c>
      <c r="J555" s="125">
        <v>116.7</v>
      </c>
      <c r="L555" s="39">
        <f t="shared" si="104"/>
        <v>-1.0752064077078179E-2</v>
      </c>
      <c r="M555" s="40">
        <f t="shared" si="96"/>
        <v>8.9918354134445929E-4</v>
      </c>
      <c r="N555" s="40">
        <f t="shared" si="97"/>
        <v>-1.0217800484001187E-2</v>
      </c>
      <c r="O555" s="40">
        <f t="shared" si="98"/>
        <v>3.5919087529144443E-3</v>
      </c>
      <c r="P555" s="40">
        <f t="shared" si="99"/>
        <v>-6.023088505939544E-3</v>
      </c>
      <c r="Q555" s="40">
        <f t="shared" si="100"/>
        <v>7.4758344840722898E-3</v>
      </c>
      <c r="R555" s="40">
        <f t="shared" si="101"/>
        <v>-1.7760986624978301E-2</v>
      </c>
      <c r="S555" s="40">
        <f t="shared" si="102"/>
        <v>2.0402257271017171E-2</v>
      </c>
      <c r="T555" s="41">
        <f t="shared" si="103"/>
        <v>1.0214681440443272E-2</v>
      </c>
      <c r="V555" s="39">
        <f t="shared" si="105"/>
        <v>-1.0752064077078179E-2</v>
      </c>
      <c r="W555" s="40" cm="1">
        <f t="array" ref="W555">IF(M555="","",SUMPRODUCT(M555:T555,TRANSPOSE('04_Dashboard'!$C$53:$C$60)))</f>
        <v>4.6296272807957286E-3</v>
      </c>
      <c r="X555" s="42">
        <f t="shared" si="106"/>
        <v>1.5954693313987451</v>
      </c>
      <c r="Y555" s="118">
        <f t="shared" si="107"/>
        <v>1.70901897698328</v>
      </c>
      <c r="AA555" s="43">
        <f>IF(X555="","",X555/MAX($X$4:X555)-1)</f>
        <v>-1.0752064077078183E-2</v>
      </c>
      <c r="AB555" s="44">
        <f>IF(Y555="","",Y555/MAX($Y$4:Y555)-1)</f>
        <v>0</v>
      </c>
    </row>
    <row r="556" spans="1:28" x14ac:dyDescent="0.45">
      <c r="A556" s="121">
        <v>46006</v>
      </c>
      <c r="B556" s="124">
        <v>680.73</v>
      </c>
      <c r="C556" s="124">
        <v>274.11</v>
      </c>
      <c r="D556" s="124">
        <v>474.82</v>
      </c>
      <c r="E556" s="124">
        <v>320.02</v>
      </c>
      <c r="F556" s="124">
        <v>117.76</v>
      </c>
      <c r="G556" s="124">
        <v>214.17</v>
      </c>
      <c r="H556" s="124">
        <v>222.54</v>
      </c>
      <c r="I556" s="124">
        <v>70.97</v>
      </c>
      <c r="J556" s="125">
        <v>116.79</v>
      </c>
      <c r="L556" s="39">
        <f t="shared" si="104"/>
        <v>-1.5107955878901267E-3</v>
      </c>
      <c r="M556" s="40">
        <f t="shared" si="96"/>
        <v>-1.498490728762383E-2</v>
      </c>
      <c r="N556" s="40">
        <f t="shared" si="97"/>
        <v>-7.752909953398909E-3</v>
      </c>
      <c r="O556" s="40">
        <f t="shared" si="98"/>
        <v>4.7092804219515264E-3</v>
      </c>
      <c r="P556" s="40">
        <f t="shared" si="99"/>
        <v>-8.9210570611007248E-3</v>
      </c>
      <c r="Q556" s="40">
        <f t="shared" si="100"/>
        <v>1.2241232630683311E-2</v>
      </c>
      <c r="R556" s="40">
        <f t="shared" si="101"/>
        <v>-1.6136876077633873E-2</v>
      </c>
      <c r="S556" s="40">
        <f t="shared" si="102"/>
        <v>6.3811684628474596E-3</v>
      </c>
      <c r="T556" s="41">
        <f t="shared" si="103"/>
        <v>7.7120822622110891E-4</v>
      </c>
      <c r="V556" s="39">
        <f t="shared" si="105"/>
        <v>-1.5107955878901267E-3</v>
      </c>
      <c r="W556" s="40" cm="1">
        <f t="array" ref="W556">IF(M556="","",SUMPRODUCT(M556:T556,TRANSPOSE('04_Dashboard'!$C$53:$C$60)))</f>
        <v>2.0381210305195222E-3</v>
      </c>
      <c r="X556" s="42">
        <f t="shared" si="106"/>
        <v>1.593058903372254</v>
      </c>
      <c r="Y556" s="118">
        <f t="shared" si="107"/>
        <v>1.7125021645018266</v>
      </c>
      <c r="AA556" s="43">
        <f>IF(X556="","",X556/MAX($X$4:X556)-1)</f>
        <v>-1.2246615493999968E-2</v>
      </c>
      <c r="AB556" s="44">
        <f>IF(Y556="","",Y556/MAX($Y$4:Y556)-1)</f>
        <v>0</v>
      </c>
    </row>
    <row r="557" spans="1:28" x14ac:dyDescent="0.45">
      <c r="A557" s="121">
        <v>46007</v>
      </c>
      <c r="B557" s="124">
        <v>678.87</v>
      </c>
      <c r="C557" s="124">
        <v>274.61</v>
      </c>
      <c r="D557" s="124">
        <v>476.39</v>
      </c>
      <c r="E557" s="124">
        <v>315.55</v>
      </c>
      <c r="F557" s="124">
        <v>114.68</v>
      </c>
      <c r="G557" s="124">
        <v>209.3</v>
      </c>
      <c r="H557" s="124">
        <v>222.56</v>
      </c>
      <c r="I557" s="124">
        <v>70.37</v>
      </c>
      <c r="J557" s="125">
        <v>115.42</v>
      </c>
      <c r="L557" s="39">
        <f t="shared" si="104"/>
        <v>-2.7323608479132896E-3</v>
      </c>
      <c r="M557" s="40">
        <f t="shared" si="96"/>
        <v>1.8240852212615373E-3</v>
      </c>
      <c r="N557" s="40">
        <f t="shared" si="97"/>
        <v>3.306516153489729E-3</v>
      </c>
      <c r="O557" s="40">
        <f t="shared" si="98"/>
        <v>-1.3967877007686928E-2</v>
      </c>
      <c r="P557" s="40">
        <f t="shared" si="99"/>
        <v>-2.615489130434781E-2</v>
      </c>
      <c r="Q557" s="40">
        <f t="shared" si="100"/>
        <v>-2.2738945697343121E-2</v>
      </c>
      <c r="R557" s="40">
        <f t="shared" si="101"/>
        <v>8.9871483778243154E-5</v>
      </c>
      <c r="S557" s="40">
        <f t="shared" si="102"/>
        <v>-8.4542764548399939E-3</v>
      </c>
      <c r="T557" s="41">
        <f t="shared" si="103"/>
        <v>-1.1730456374689653E-2</v>
      </c>
      <c r="V557" s="39">
        <f t="shared" si="105"/>
        <v>-2.7323608479132896E-3</v>
      </c>
      <c r="W557" s="40" cm="1">
        <f t="array" ref="W557">IF(M557="","",SUMPRODUCT(M557:T557,TRANSPOSE('04_Dashboard'!$C$53:$C$60)))</f>
        <v>-1.2512336895829097E-2</v>
      </c>
      <c r="X557" s="42">
        <f t="shared" si="106"/>
        <v>1.5887060915962599</v>
      </c>
      <c r="Y557" s="118">
        <f t="shared" si="107"/>
        <v>1.6910747604847431</v>
      </c>
      <c r="AA557" s="43">
        <f>IF(X557="","",X557/MAX($X$4:X557)-1)</f>
        <v>-1.4945514169218077E-2</v>
      </c>
      <c r="AB557" s="44">
        <f>IF(Y557="","",Y557/MAX($Y$4:Y557)-1)</f>
        <v>-1.251233689582909E-2</v>
      </c>
    </row>
    <row r="558" spans="1:28" x14ac:dyDescent="0.45">
      <c r="A558" s="121">
        <v>46008</v>
      </c>
      <c r="B558" s="124">
        <v>671.4</v>
      </c>
      <c r="C558" s="124">
        <v>271.83999999999997</v>
      </c>
      <c r="D558" s="124">
        <v>476.12</v>
      </c>
      <c r="E558" s="124">
        <v>314.98</v>
      </c>
      <c r="F558" s="124">
        <v>117.41</v>
      </c>
      <c r="G558" s="124">
        <v>210.33</v>
      </c>
      <c r="H558" s="124">
        <v>221.27</v>
      </c>
      <c r="I558" s="124">
        <v>70.67</v>
      </c>
      <c r="J558" s="125">
        <v>115.66</v>
      </c>
      <c r="L558" s="39">
        <f t="shared" si="104"/>
        <v>-1.1003579477661448E-2</v>
      </c>
      <c r="M558" s="40">
        <f t="shared" si="96"/>
        <v>-1.0087032518845048E-2</v>
      </c>
      <c r="N558" s="40">
        <f t="shared" si="97"/>
        <v>-5.6676252650135776E-4</v>
      </c>
      <c r="O558" s="40">
        <f t="shared" si="98"/>
        <v>-1.8063698304547399E-3</v>
      </c>
      <c r="P558" s="40">
        <f t="shared" si="99"/>
        <v>2.3805371468433811E-2</v>
      </c>
      <c r="Q558" s="40">
        <f t="shared" si="100"/>
        <v>4.9211657907310136E-3</v>
      </c>
      <c r="R558" s="40">
        <f t="shared" si="101"/>
        <v>-5.7961897915168583E-3</v>
      </c>
      <c r="S558" s="40">
        <f t="shared" si="102"/>
        <v>4.2631803325280252E-3</v>
      </c>
      <c r="T558" s="41">
        <f t="shared" si="103"/>
        <v>2.0793623288857641E-3</v>
      </c>
      <c r="V558" s="39">
        <f t="shared" si="105"/>
        <v>-1.1003579477661448E-2</v>
      </c>
      <c r="W558" s="40" cm="1">
        <f t="array" ref="W558">IF(M558="","",SUMPRODUCT(M558:T558,TRANSPOSE('04_Dashboard'!$C$53:$C$60)))</f>
        <v>1.794260551125801E-3</v>
      </c>
      <c r="X558" s="42">
        <f t="shared" si="106"/>
        <v>1.5712246378507355</v>
      </c>
      <c r="Y558" s="118">
        <f t="shared" si="107"/>
        <v>1.6941089892164856</v>
      </c>
      <c r="AA558" s="43">
        <f>IF(X558="","",X558/MAX($X$4:X558)-1)</f>
        <v>-2.5784639493883987E-2</v>
      </c>
      <c r="AB558" s="44">
        <f>IF(Y558="","",Y558/MAX($Y$4:Y558)-1)</f>
        <v>-1.0740526737197831E-2</v>
      </c>
    </row>
    <row r="559" spans="1:28" x14ac:dyDescent="0.45">
      <c r="A559" s="121">
        <v>46009</v>
      </c>
      <c r="B559" s="124">
        <v>676.47</v>
      </c>
      <c r="C559" s="124">
        <v>272.19</v>
      </c>
      <c r="D559" s="124">
        <v>483.98</v>
      </c>
      <c r="E559" s="124">
        <v>313</v>
      </c>
      <c r="F559" s="124">
        <v>116.54</v>
      </c>
      <c r="G559" s="124">
        <v>208.31</v>
      </c>
      <c r="H559" s="124">
        <v>226.76</v>
      </c>
      <c r="I559" s="124">
        <v>70.36</v>
      </c>
      <c r="J559" s="125">
        <v>114.83</v>
      </c>
      <c r="L559" s="39">
        <f t="shared" si="104"/>
        <v>7.5513851653262586E-3</v>
      </c>
      <c r="M559" s="40">
        <f t="shared" si="96"/>
        <v>1.287522071807029E-3</v>
      </c>
      <c r="N559" s="40">
        <f t="shared" si="97"/>
        <v>1.6508443249600969E-2</v>
      </c>
      <c r="O559" s="40">
        <f t="shared" si="98"/>
        <v>-6.2861134040257099E-3</v>
      </c>
      <c r="P559" s="40">
        <f t="shared" si="99"/>
        <v>-7.4099310109870574E-3</v>
      </c>
      <c r="Q559" s="40">
        <f t="shared" si="100"/>
        <v>-9.6039556886797425E-3</v>
      </c>
      <c r="R559" s="40">
        <f t="shared" si="101"/>
        <v>2.4811316491164553E-2</v>
      </c>
      <c r="S559" s="40">
        <f t="shared" si="102"/>
        <v>-4.3865855384180317E-3</v>
      </c>
      <c r="T559" s="41">
        <f t="shared" si="103"/>
        <v>-7.1762061213902677E-3</v>
      </c>
      <c r="V559" s="39">
        <f t="shared" si="105"/>
        <v>7.5513851653262586E-3</v>
      </c>
      <c r="W559" s="40" cm="1">
        <f t="array" ref="W559">IF(M559="","",SUMPRODUCT(M559:T559,TRANSPOSE('04_Dashboard'!$C$53:$C$60)))</f>
        <v>-2.738807060377566E-3</v>
      </c>
      <c r="X559" s="42">
        <f t="shared" si="106"/>
        <v>1.5830895602723964</v>
      </c>
      <c r="Y559" s="118">
        <f t="shared" si="107"/>
        <v>1.6894691515557705</v>
      </c>
      <c r="AA559" s="43">
        <f>IF(X559="","",X559/MAX($X$4:X559)-1)</f>
        <v>-1.8427964072725289E-2</v>
      </c>
      <c r="AB559" s="44">
        <f>IF(Y559="","",Y559/MAX($Y$4:Y559)-1)</f>
        <v>-1.3449917567115333E-2</v>
      </c>
    </row>
    <row r="560" spans="1:28" x14ac:dyDescent="0.45">
      <c r="A560" s="121">
        <v>46010</v>
      </c>
      <c r="B560" s="124">
        <v>680.59</v>
      </c>
      <c r="C560" s="124">
        <v>273.67</v>
      </c>
      <c r="D560" s="124">
        <v>485.92</v>
      </c>
      <c r="E560" s="124">
        <v>317.20999999999998</v>
      </c>
      <c r="F560" s="124">
        <v>116.69</v>
      </c>
      <c r="G560" s="124">
        <v>206.37</v>
      </c>
      <c r="H560" s="124">
        <v>227.35</v>
      </c>
      <c r="I560" s="124">
        <v>70.06</v>
      </c>
      <c r="J560" s="125">
        <v>114.36</v>
      </c>
      <c r="L560" s="39">
        <f t="shared" si="104"/>
        <v>6.0904400786435534E-3</v>
      </c>
      <c r="M560" s="40">
        <f t="shared" si="96"/>
        <v>5.4373783019215187E-3</v>
      </c>
      <c r="N560" s="40">
        <f t="shared" si="97"/>
        <v>4.0084301004173675E-3</v>
      </c>
      <c r="O560" s="40">
        <f t="shared" si="98"/>
        <v>1.3450479233226773E-2</v>
      </c>
      <c r="P560" s="40">
        <f t="shared" si="99"/>
        <v>1.2871117212973353E-3</v>
      </c>
      <c r="Q560" s="40">
        <f t="shared" si="100"/>
        <v>-9.3130430608228017E-3</v>
      </c>
      <c r="R560" s="40">
        <f t="shared" si="101"/>
        <v>2.6018698183101229E-3</v>
      </c>
      <c r="S560" s="40">
        <f t="shared" si="102"/>
        <v>-4.2637862421830179E-3</v>
      </c>
      <c r="T560" s="41">
        <f t="shared" si="103"/>
        <v>-4.0930070539057636E-3</v>
      </c>
      <c r="V560" s="39">
        <f t="shared" si="105"/>
        <v>6.0904400786435534E-3</v>
      </c>
      <c r="W560" s="40" cm="1">
        <f t="array" ref="W560">IF(M560="","",SUMPRODUCT(M560:T560,TRANSPOSE('04_Dashboard'!$C$53:$C$60)))</f>
        <v>6.3572336996479636E-4</v>
      </c>
      <c r="X560" s="42">
        <f t="shared" si="106"/>
        <v>1.5927312723783615</v>
      </c>
      <c r="Y560" s="118">
        <f t="shared" si="107"/>
        <v>1.690543186578249</v>
      </c>
      <c r="AA560" s="43">
        <f>IF(X560="","",X560/MAX($X$4:X560)-1)</f>
        <v>-1.2449758405038147E-2</v>
      </c>
      <c r="AB560" s="44">
        <f>IF(Y560="","",Y560/MAX($Y$4:Y560)-1)</f>
        <v>-1.2822744624072069E-2</v>
      </c>
    </row>
    <row r="561" spans="1:28" x14ac:dyDescent="0.45">
      <c r="A561" s="121">
        <v>46013</v>
      </c>
      <c r="B561" s="124">
        <v>684.83</v>
      </c>
      <c r="C561" s="124">
        <v>270.97000000000003</v>
      </c>
      <c r="D561" s="124">
        <v>484.92</v>
      </c>
      <c r="E561" s="124">
        <v>323.08999999999997</v>
      </c>
      <c r="F561" s="124">
        <v>118.15</v>
      </c>
      <c r="G561" s="124">
        <v>207.32</v>
      </c>
      <c r="H561" s="124">
        <v>228.43</v>
      </c>
      <c r="I561" s="124">
        <v>70.209999999999994</v>
      </c>
      <c r="J561" s="125">
        <v>112.6</v>
      </c>
      <c r="L561" s="39">
        <f t="shared" si="104"/>
        <v>6.229888772976401E-3</v>
      </c>
      <c r="M561" s="40">
        <f t="shared" si="96"/>
        <v>-9.8658968831073501E-3</v>
      </c>
      <c r="N561" s="40">
        <f t="shared" si="97"/>
        <v>-2.057951926243003E-3</v>
      </c>
      <c r="O561" s="40">
        <f t="shared" si="98"/>
        <v>1.8536616121812035E-2</v>
      </c>
      <c r="P561" s="40">
        <f t="shared" si="99"/>
        <v>1.251178335761426E-2</v>
      </c>
      <c r="Q561" s="40">
        <f t="shared" si="100"/>
        <v>4.6033822745553546E-3</v>
      </c>
      <c r="R561" s="40">
        <f t="shared" si="101"/>
        <v>4.7503848691445461E-3</v>
      </c>
      <c r="S561" s="40">
        <f t="shared" si="102"/>
        <v>2.1410219811588849E-3</v>
      </c>
      <c r="T561" s="41">
        <f t="shared" si="103"/>
        <v>-1.5389996502273568E-2</v>
      </c>
      <c r="V561" s="39">
        <f t="shared" si="105"/>
        <v>6.229888772976401E-3</v>
      </c>
      <c r="W561" s="40" cm="1">
        <f t="array" ref="W561">IF(M561="","",SUMPRODUCT(M561:T561,TRANSPOSE('04_Dashboard'!$C$53:$C$60)))</f>
        <v>3.9313289446479766E-3</v>
      </c>
      <c r="X561" s="42">
        <f t="shared" si="106"/>
        <v>1.60265381105052</v>
      </c>
      <c r="Y561" s="118">
        <f t="shared" si="107"/>
        <v>1.6971892679398213</v>
      </c>
      <c r="AA561" s="43">
        <f>IF(X561="","",X561/MAX($X$4:X561)-1)</f>
        <v>-6.2974302421755501E-3</v>
      </c>
      <c r="AB561" s="44">
        <f>IF(Y561="","",Y561/MAX($Y$4:Y561)-1)</f>
        <v>-8.9418261065146165E-3</v>
      </c>
    </row>
    <row r="562" spans="1:28" x14ac:dyDescent="0.45">
      <c r="A562" s="121">
        <v>46014</v>
      </c>
      <c r="B562" s="124">
        <v>687.96</v>
      </c>
      <c r="C562" s="124">
        <v>272.36</v>
      </c>
      <c r="D562" s="124">
        <v>486.85</v>
      </c>
      <c r="E562" s="124">
        <v>325.93</v>
      </c>
      <c r="F562" s="124">
        <v>119.42</v>
      </c>
      <c r="G562" s="124">
        <v>205.78</v>
      </c>
      <c r="H562" s="124">
        <v>232.14</v>
      </c>
      <c r="I562" s="124">
        <v>69.87</v>
      </c>
      <c r="J562" s="125">
        <v>110.9</v>
      </c>
      <c r="L562" s="39">
        <f t="shared" si="104"/>
        <v>4.5704773447424836E-3</v>
      </c>
      <c r="M562" s="40">
        <f t="shared" si="96"/>
        <v>5.129719157102211E-3</v>
      </c>
      <c r="N562" s="40">
        <f t="shared" si="97"/>
        <v>3.9800379444032141E-3</v>
      </c>
      <c r="O562" s="40">
        <f t="shared" si="98"/>
        <v>8.7901203998886745E-3</v>
      </c>
      <c r="P562" s="40">
        <f t="shared" si="99"/>
        <v>1.0749047820567041E-2</v>
      </c>
      <c r="Q562" s="40">
        <f t="shared" si="100"/>
        <v>-7.4281304263939425E-3</v>
      </c>
      <c r="R562" s="40">
        <f t="shared" si="101"/>
        <v>1.6241299303944225E-2</v>
      </c>
      <c r="S562" s="40">
        <f t="shared" si="102"/>
        <v>-4.8426150121063842E-3</v>
      </c>
      <c r="T562" s="41">
        <f t="shared" si="103"/>
        <v>-1.5097690941385335E-2</v>
      </c>
      <c r="V562" s="39">
        <f t="shared" si="105"/>
        <v>4.5704773447424836E-3</v>
      </c>
      <c r="W562" s="40" cm="1">
        <f t="array" ref="W562">IF(M562="","",SUMPRODUCT(M562:T562,TRANSPOSE('04_Dashboard'!$C$53:$C$60)))</f>
        <v>-1.778232532168079E-4</v>
      </c>
      <c r="X562" s="42">
        <f t="shared" si="106"/>
        <v>1.6099787039853917</v>
      </c>
      <c r="Y562" s="118">
        <f t="shared" si="107"/>
        <v>1.6968874682228716</v>
      </c>
      <c r="AA562" s="43">
        <f>IF(X562="","",X562/MAX($X$4:X562)-1)</f>
        <v>-1.7557351596848569E-3</v>
      </c>
      <c r="AB562" s="44">
        <f>IF(Y562="","",Y562/MAX($Y$4:Y562)-1)</f>
        <v>-9.1180592951234374E-3</v>
      </c>
    </row>
    <row r="563" spans="1:28" x14ac:dyDescent="0.45">
      <c r="A563" s="121">
        <v>46015</v>
      </c>
      <c r="B563" s="124">
        <v>690.38</v>
      </c>
      <c r="C563" s="124">
        <v>273.81</v>
      </c>
      <c r="D563" s="124">
        <v>488.02</v>
      </c>
      <c r="E563" s="124">
        <v>329.17</v>
      </c>
      <c r="F563" s="124">
        <v>119.22</v>
      </c>
      <c r="G563" s="124">
        <v>207.78</v>
      </c>
      <c r="H563" s="124">
        <v>232.38</v>
      </c>
      <c r="I563" s="124">
        <v>70.11</v>
      </c>
      <c r="J563" s="125">
        <v>111.61</v>
      </c>
      <c r="L563" s="39">
        <f t="shared" si="104"/>
        <v>3.5176463747891721E-3</v>
      </c>
      <c r="M563" s="40">
        <f t="shared" si="96"/>
        <v>5.323836099280322E-3</v>
      </c>
      <c r="N563" s="40">
        <f t="shared" si="97"/>
        <v>2.4032042723630665E-3</v>
      </c>
      <c r="O563" s="40">
        <f t="shared" si="98"/>
        <v>9.9407848310987292E-3</v>
      </c>
      <c r="P563" s="40">
        <f t="shared" si="99"/>
        <v>-1.6747613465081463E-3</v>
      </c>
      <c r="Q563" s="40">
        <f t="shared" si="100"/>
        <v>9.7191175041306255E-3</v>
      </c>
      <c r="R563" s="40">
        <f t="shared" si="101"/>
        <v>1.0338588782631563E-3</v>
      </c>
      <c r="S563" s="40">
        <f t="shared" si="102"/>
        <v>3.4349506225847268E-3</v>
      </c>
      <c r="T563" s="41">
        <f t="shared" si="103"/>
        <v>6.4021641118123867E-3</v>
      </c>
      <c r="V563" s="39">
        <f t="shared" si="105"/>
        <v>3.5176463747891721E-3</v>
      </c>
      <c r="W563" s="40" cm="1">
        <f t="array" ref="W563">IF(M563="","",SUMPRODUCT(M563:T563,TRANSPOSE('04_Dashboard'!$C$53:$C$60)))</f>
        <v>6.4904300226655554E-3</v>
      </c>
      <c r="X563" s="42">
        <f t="shared" si="106"/>
        <v>1.6156420397369538</v>
      </c>
      <c r="Y563" s="118">
        <f t="shared" si="107"/>
        <v>1.7079009975917103</v>
      </c>
      <c r="AA563" s="43">
        <f>IF(X563="","",X563/MAX($X$4:X563)-1)</f>
        <v>0</v>
      </c>
      <c r="AB563" s="44">
        <f>IF(Y563="","",Y563/MAX($Y$4:Y563)-1)</f>
        <v>-2.6868093982553853E-3</v>
      </c>
    </row>
    <row r="564" spans="1:28" x14ac:dyDescent="0.45">
      <c r="A564" s="121">
        <v>46017</v>
      </c>
      <c r="B564" s="124">
        <v>690.31</v>
      </c>
      <c r="C564" s="124">
        <v>273.39999999999998</v>
      </c>
      <c r="D564" s="124">
        <v>487.71</v>
      </c>
      <c r="E564" s="124">
        <v>327.91</v>
      </c>
      <c r="F564" s="124">
        <v>119.11</v>
      </c>
      <c r="G564" s="124">
        <v>207.63</v>
      </c>
      <c r="H564" s="124">
        <v>232.52</v>
      </c>
      <c r="I564" s="124">
        <v>69.87</v>
      </c>
      <c r="J564" s="125">
        <v>111.74</v>
      </c>
      <c r="L564" s="39">
        <f t="shared" si="104"/>
        <v>-1.013934354993627E-4</v>
      </c>
      <c r="M564" s="40">
        <f t="shared" si="96"/>
        <v>-1.4973887001936562E-3</v>
      </c>
      <c r="N564" s="40">
        <f t="shared" si="97"/>
        <v>-6.3521986803819982E-4</v>
      </c>
      <c r="O564" s="40">
        <f t="shared" si="98"/>
        <v>-3.8278093386395809E-3</v>
      </c>
      <c r="P564" s="40">
        <f t="shared" si="99"/>
        <v>-9.2266398255325816E-4</v>
      </c>
      <c r="Q564" s="40">
        <f t="shared" si="100"/>
        <v>-7.2191741264802044E-4</v>
      </c>
      <c r="R564" s="40">
        <f t="shared" si="101"/>
        <v>6.0246148549795498E-4</v>
      </c>
      <c r="S564" s="40">
        <f t="shared" si="102"/>
        <v>-3.4231921266580359E-3</v>
      </c>
      <c r="T564" s="41">
        <f t="shared" si="103"/>
        <v>1.164770181883303E-3</v>
      </c>
      <c r="V564" s="39">
        <f t="shared" si="105"/>
        <v>-1.013934354993627E-4</v>
      </c>
      <c r="W564" s="40" cm="1">
        <f t="array" ref="W564">IF(M564="","",SUMPRODUCT(M564:T564,TRANSPOSE('04_Dashboard'!$C$53:$C$60)))</f>
        <v>-1.5183740332235913E-3</v>
      </c>
      <c r="X564" s="42">
        <f t="shared" si="106"/>
        <v>1.6154782242400076</v>
      </c>
      <c r="Y564" s="118">
        <f t="shared" si="107"/>
        <v>1.7053077650656503</v>
      </c>
      <c r="AA564" s="43">
        <f>IF(X564="","",X564/MAX($X$4:X564)-1)</f>
        <v>-1.0139343549930846E-4</v>
      </c>
      <c r="AB564" s="44">
        <f>IF(Y564="","",Y564/MAX($Y$4:Y564)-1)</f>
        <v>-4.2011038498565023E-3</v>
      </c>
    </row>
    <row r="565" spans="1:28" x14ac:dyDescent="0.45">
      <c r="A565" s="121">
        <v>46020</v>
      </c>
      <c r="B565" s="124">
        <v>687.85</v>
      </c>
      <c r="C565" s="124">
        <v>273.76</v>
      </c>
      <c r="D565" s="124">
        <v>487.1</v>
      </c>
      <c r="E565" s="124">
        <v>323.75</v>
      </c>
      <c r="F565" s="124">
        <v>120.53</v>
      </c>
      <c r="G565" s="124">
        <v>207.56</v>
      </c>
      <c r="H565" s="124">
        <v>232.07</v>
      </c>
      <c r="I565" s="124">
        <v>70.16</v>
      </c>
      <c r="J565" s="125">
        <v>112.53</v>
      </c>
      <c r="L565" s="39">
        <f t="shared" si="104"/>
        <v>-3.563616346279096E-3</v>
      </c>
      <c r="M565" s="40">
        <f t="shared" si="96"/>
        <v>1.3167520117045124E-3</v>
      </c>
      <c r="N565" s="40">
        <f t="shared" si="97"/>
        <v>-1.250743269565842E-3</v>
      </c>
      <c r="O565" s="40">
        <f t="shared" si="98"/>
        <v>-1.268640785581417E-2</v>
      </c>
      <c r="P565" s="40">
        <f t="shared" si="99"/>
        <v>1.1921753001427267E-2</v>
      </c>
      <c r="Q565" s="40">
        <f t="shared" si="100"/>
        <v>-3.3713817849055134E-4</v>
      </c>
      <c r="R565" s="40">
        <f t="shared" si="101"/>
        <v>-1.9353173920523699E-3</v>
      </c>
      <c r="S565" s="40">
        <f t="shared" si="102"/>
        <v>4.1505653356231865E-3</v>
      </c>
      <c r="T565" s="41">
        <f t="shared" si="103"/>
        <v>7.0699838911760004E-3</v>
      </c>
      <c r="V565" s="39">
        <f t="shared" si="105"/>
        <v>-3.563616346279096E-3</v>
      </c>
      <c r="W565" s="40" cm="1">
        <f t="array" ref="W565">IF(M565="","",SUMPRODUCT(M565:T565,TRANSPOSE('04_Dashboard'!$C$53:$C$60)))</f>
        <v>-1.0852667362753964E-3</v>
      </c>
      <c r="X565" s="42">
        <f t="shared" si="106"/>
        <v>1.609721279633048</v>
      </c>
      <c r="Y565" s="118">
        <f t="shared" si="107"/>
        <v>1.7034570512731124</v>
      </c>
      <c r="AA565" s="43">
        <f>IF(X565="","",X565/MAX($X$4:X565)-1)</f>
        <v>-3.6646484544743396E-3</v>
      </c>
      <c r="AB565" s="44">
        <f>IF(Y565="","",Y565/MAX($Y$4:Y565)-1)</f>
        <v>-5.2818112678680862E-3</v>
      </c>
    </row>
    <row r="566" spans="1:28" x14ac:dyDescent="0.45">
      <c r="A566" s="121">
        <v>46021</v>
      </c>
      <c r="B566" s="124">
        <v>687.01</v>
      </c>
      <c r="C566" s="124">
        <v>273.08</v>
      </c>
      <c r="D566" s="124">
        <v>487.48</v>
      </c>
      <c r="E566" s="124">
        <v>323.52</v>
      </c>
      <c r="F566" s="124">
        <v>120.99</v>
      </c>
      <c r="G566" s="124">
        <v>206.91</v>
      </c>
      <c r="H566" s="124">
        <v>232.53</v>
      </c>
      <c r="I566" s="124">
        <v>70.069999999999993</v>
      </c>
      <c r="J566" s="125">
        <v>111.92</v>
      </c>
      <c r="L566" s="39">
        <f t="shared" si="104"/>
        <v>-1.2211964817911345E-3</v>
      </c>
      <c r="M566" s="40">
        <f t="shared" si="96"/>
        <v>-2.4839275277615679E-3</v>
      </c>
      <c r="N566" s="40">
        <f t="shared" si="97"/>
        <v>7.8012728392526267E-4</v>
      </c>
      <c r="O566" s="40">
        <f t="shared" si="98"/>
        <v>-7.1042471042476662E-4</v>
      </c>
      <c r="P566" s="40">
        <f t="shared" si="99"/>
        <v>3.8164772255869389E-3</v>
      </c>
      <c r="Q566" s="40">
        <f t="shared" si="100"/>
        <v>-3.1316245904798885E-3</v>
      </c>
      <c r="R566" s="40">
        <f t="shared" si="101"/>
        <v>1.9821605550049896E-3</v>
      </c>
      <c r="S566" s="40">
        <f t="shared" si="102"/>
        <v>-1.2827822120867077E-3</v>
      </c>
      <c r="T566" s="41">
        <f t="shared" si="103"/>
        <v>-5.4207766817737438E-3</v>
      </c>
      <c r="V566" s="39">
        <f t="shared" si="105"/>
        <v>-1.2211964817911345E-3</v>
      </c>
      <c r="W566" s="40" cm="1">
        <f t="array" ref="W566">IF(M566="","",SUMPRODUCT(M566:T566,TRANSPOSE('04_Dashboard'!$C$53:$C$60)))</f>
        <v>-1.5957765827374921E-3</v>
      </c>
      <c r="X566" s="42">
        <f t="shared" si="106"/>
        <v>1.6077554936696958</v>
      </c>
      <c r="Y566" s="118">
        <f t="shared" si="107"/>
        <v>1.7007387144009918</v>
      </c>
      <c r="AA566" s="43">
        <f>IF(X566="","",X566/MAX($X$4:X566)-1)</f>
        <v>-4.8813696804658191E-3</v>
      </c>
      <c r="AB566" s="44">
        <f>IF(Y566="","",Y566/MAX($Y$4:Y566)-1)</f>
        <v>-6.8691592598697504E-3</v>
      </c>
    </row>
    <row r="567" spans="1:28" x14ac:dyDescent="0.45">
      <c r="A567" s="121">
        <v>46022</v>
      </c>
      <c r="B567" s="124">
        <v>681.92</v>
      </c>
      <c r="C567" s="124">
        <v>271.86</v>
      </c>
      <c r="D567" s="124">
        <v>483.62</v>
      </c>
      <c r="E567" s="124">
        <v>322.22000000000003</v>
      </c>
      <c r="F567" s="124">
        <v>120.34</v>
      </c>
      <c r="G567" s="124">
        <v>206.95</v>
      </c>
      <c r="H567" s="124">
        <v>230.82</v>
      </c>
      <c r="I567" s="124">
        <v>69.91</v>
      </c>
      <c r="J567" s="125">
        <v>111.41</v>
      </c>
      <c r="L567" s="39">
        <f t="shared" si="104"/>
        <v>-7.4089169007729612E-3</v>
      </c>
      <c r="M567" s="40">
        <f t="shared" si="96"/>
        <v>-4.4675552951514959E-3</v>
      </c>
      <c r="N567" s="40">
        <f t="shared" si="97"/>
        <v>-7.9182735701977796E-3</v>
      </c>
      <c r="O567" s="40">
        <f t="shared" si="98"/>
        <v>-4.0182987141442715E-3</v>
      </c>
      <c r="P567" s="40">
        <f t="shared" si="99"/>
        <v>-5.372344821886036E-3</v>
      </c>
      <c r="Q567" s="40">
        <f t="shared" si="100"/>
        <v>1.9332076748340845E-4</v>
      </c>
      <c r="R567" s="40">
        <f t="shared" si="101"/>
        <v>-7.3538898206683351E-3</v>
      </c>
      <c r="S567" s="40">
        <f t="shared" si="102"/>
        <v>-2.2834308548593777E-3</v>
      </c>
      <c r="T567" s="41">
        <f t="shared" si="103"/>
        <v>-4.5568263045032619E-3</v>
      </c>
      <c r="V567" s="39">
        <f t="shared" si="105"/>
        <v>-7.4089169007729612E-3</v>
      </c>
      <c r="W567" s="40" cm="1">
        <f t="array" ref="W567">IF(M567="","",SUMPRODUCT(M567:T567,TRANSPOSE('04_Dashboard'!$C$53:$C$60)))</f>
        <v>-3.4527033578115995E-3</v>
      </c>
      <c r="X567" s="42">
        <f t="shared" si="106"/>
        <v>1.5958437668203358</v>
      </c>
      <c r="Y567" s="118">
        <f t="shared" si="107"/>
        <v>1.6948665681310193</v>
      </c>
      <c r="AA567" s="43">
        <f>IF(X567="","",X567/MAX($X$4:X567)-1)</f>
        <v>-1.2254120918914313E-2</v>
      </c>
      <c r="AB567" s="44">
        <f>IF(Y567="","",Y567/MAX($Y$4:Y567)-1)</f>
        <v>-1.0298145448439433E-2</v>
      </c>
    </row>
    <row r="568" spans="1:28" x14ac:dyDescent="0.45">
      <c r="A568" s="121">
        <v>46024</v>
      </c>
      <c r="B568" s="124">
        <v>683.17</v>
      </c>
      <c r="C568" s="124">
        <v>271.01</v>
      </c>
      <c r="D568" s="124">
        <v>472.94</v>
      </c>
      <c r="E568" s="124">
        <v>325.48</v>
      </c>
      <c r="F568" s="124">
        <v>122.65</v>
      </c>
      <c r="G568" s="124">
        <v>207.35</v>
      </c>
      <c r="H568" s="124">
        <v>226.5</v>
      </c>
      <c r="I568" s="124">
        <v>69.12</v>
      </c>
      <c r="J568" s="125">
        <v>112.76</v>
      </c>
      <c r="L568" s="39">
        <f t="shared" si="104"/>
        <v>1.8330595964335993E-3</v>
      </c>
      <c r="M568" s="40">
        <f t="shared" si="96"/>
        <v>-3.1266092841904757E-3</v>
      </c>
      <c r="N568" s="40">
        <f t="shared" si="97"/>
        <v>-2.2083453951449498E-2</v>
      </c>
      <c r="O568" s="40">
        <f t="shared" si="98"/>
        <v>1.0117311153869997E-2</v>
      </c>
      <c r="P568" s="40">
        <f t="shared" si="99"/>
        <v>1.919561243144426E-2</v>
      </c>
      <c r="Q568" s="40">
        <f t="shared" si="100"/>
        <v>1.9328340178787421E-3</v>
      </c>
      <c r="R568" s="40">
        <f t="shared" si="101"/>
        <v>-1.8715882505848686E-2</v>
      </c>
      <c r="S568" s="40">
        <f t="shared" si="102"/>
        <v>-1.1300243169789616E-2</v>
      </c>
      <c r="T568" s="41">
        <f t="shared" si="103"/>
        <v>1.2117404182748483E-2</v>
      </c>
      <c r="V568" s="39">
        <f t="shared" si="105"/>
        <v>1.8330595964335993E-3</v>
      </c>
      <c r="W568" s="40" cm="1">
        <f t="array" ref="W568">IF(M568="","",SUMPRODUCT(M568:T568,TRANSPOSE('04_Dashboard'!$C$53:$C$60)))</f>
        <v>8.9339819782077376E-4</v>
      </c>
      <c r="X568" s="42">
        <f t="shared" si="106"/>
        <v>1.5987690435515145</v>
      </c>
      <c r="Y568" s="118">
        <f t="shared" si="107"/>
        <v>1.6963807588685342</v>
      </c>
      <c r="AA568" s="43">
        <f>IF(X568="","",X568/MAX($X$4:X568)-1)</f>
        <v>-1.0443523856426995E-2</v>
      </c>
      <c r="AB568" s="44">
        <f>IF(Y568="","",Y568/MAX($Y$4:Y568)-1)</f>
        <v>-9.4139475952033091E-3</v>
      </c>
    </row>
    <row r="569" spans="1:28" x14ac:dyDescent="0.45">
      <c r="A569" s="121">
        <v>46027</v>
      </c>
      <c r="B569" s="124">
        <v>687.72</v>
      </c>
      <c r="C569" s="124">
        <v>267.26</v>
      </c>
      <c r="D569" s="124">
        <v>472.85</v>
      </c>
      <c r="E569" s="124">
        <v>334.04</v>
      </c>
      <c r="F569" s="124">
        <v>125.36</v>
      </c>
      <c r="G569" s="124">
        <v>204.31</v>
      </c>
      <c r="H569" s="124">
        <v>233.06</v>
      </c>
      <c r="I569" s="124">
        <v>67.94</v>
      </c>
      <c r="J569" s="125">
        <v>112.71</v>
      </c>
      <c r="L569" s="39">
        <f t="shared" si="104"/>
        <v>6.6601285185240401E-3</v>
      </c>
      <c r="M569" s="40">
        <f t="shared" si="96"/>
        <v>-1.3837127781262684E-2</v>
      </c>
      <c r="N569" s="40">
        <f t="shared" si="97"/>
        <v>-1.9029898084318305E-4</v>
      </c>
      <c r="O569" s="40">
        <f t="shared" si="98"/>
        <v>2.6299619024210401E-2</v>
      </c>
      <c r="P569" s="40">
        <f t="shared" si="99"/>
        <v>2.2095393395841774E-2</v>
      </c>
      <c r="Q569" s="40">
        <f t="shared" si="100"/>
        <v>-1.4661200868097381E-2</v>
      </c>
      <c r="R569" s="40">
        <f t="shared" si="101"/>
        <v>2.8962472406181026E-2</v>
      </c>
      <c r="S569" s="40">
        <f t="shared" si="102"/>
        <v>-1.7071759259259356E-2</v>
      </c>
      <c r="T569" s="41">
        <f t="shared" si="103"/>
        <v>-4.4341965235909336E-4</v>
      </c>
      <c r="V569" s="39">
        <f t="shared" si="105"/>
        <v>6.6601285185240401E-3</v>
      </c>
      <c r="W569" s="40" cm="1">
        <f t="array" ref="W569">IF(M569="","",SUMPRODUCT(M569:T569,TRANSPOSE('04_Dashboard'!$C$53:$C$60)))</f>
        <v>2.7739705879838796E-3</v>
      </c>
      <c r="X569" s="42">
        <f t="shared" si="106"/>
        <v>1.6094170508530052</v>
      </c>
      <c r="Y569" s="118">
        <f t="shared" si="107"/>
        <v>1.7010864691996574</v>
      </c>
      <c r="AA569" s="43">
        <f>IF(X569="","",X569/MAX($X$4:X569)-1)</f>
        <v>-3.8529505489730553E-3</v>
      </c>
      <c r="AB569" s="44">
        <f>IF(Y569="","",Y569/MAX($Y$4:Y569)-1)</f>
        <v>-6.6660910209652702E-3</v>
      </c>
    </row>
    <row r="570" spans="1:28" x14ac:dyDescent="0.45">
      <c r="A570" s="121">
        <v>46028</v>
      </c>
      <c r="B570" s="124">
        <v>691.81</v>
      </c>
      <c r="C570" s="124">
        <v>262.36</v>
      </c>
      <c r="D570" s="124">
        <v>478.51</v>
      </c>
      <c r="E570" s="124">
        <v>334.61</v>
      </c>
      <c r="F570" s="124">
        <v>121.05</v>
      </c>
      <c r="G570" s="124">
        <v>204.79</v>
      </c>
      <c r="H570" s="124">
        <v>240.93</v>
      </c>
      <c r="I570" s="124">
        <v>67.84</v>
      </c>
      <c r="J570" s="125">
        <v>114.34</v>
      </c>
      <c r="L570" s="39">
        <f t="shared" si="104"/>
        <v>5.9471878089919121E-3</v>
      </c>
      <c r="M570" s="40">
        <f t="shared" si="96"/>
        <v>-1.8334206390780428E-2</v>
      </c>
      <c r="N570" s="40">
        <f t="shared" si="97"/>
        <v>1.1969969334884145E-2</v>
      </c>
      <c r="O570" s="40">
        <f t="shared" si="98"/>
        <v>1.7063824691653489E-3</v>
      </c>
      <c r="P570" s="40">
        <f t="shared" si="99"/>
        <v>-3.4380982769623501E-2</v>
      </c>
      <c r="Q570" s="40">
        <f t="shared" si="100"/>
        <v>2.3493710537907581E-3</v>
      </c>
      <c r="R570" s="40">
        <f t="shared" si="101"/>
        <v>3.3768128378958227E-2</v>
      </c>
      <c r="S570" s="40">
        <f t="shared" si="102"/>
        <v>-1.4718869590814589E-3</v>
      </c>
      <c r="T570" s="41">
        <f t="shared" si="103"/>
        <v>1.4461893354627005E-2</v>
      </c>
      <c r="V570" s="39">
        <f t="shared" si="105"/>
        <v>5.9471878089919121E-3</v>
      </c>
      <c r="W570" s="40" cm="1">
        <f t="array" ref="W570">IF(M570="","",SUMPRODUCT(M570:T570,TRANSPOSE('04_Dashboard'!$C$53:$C$60)))</f>
        <v>3.3463748977345547E-3</v>
      </c>
      <c r="X570" s="42">
        <f t="shared" si="106"/>
        <v>1.6189885563174218</v>
      </c>
      <c r="Y570" s="118">
        <f t="shared" si="107"/>
        <v>1.7067789422590629</v>
      </c>
      <c r="AA570" s="43">
        <f>IF(X570="","",X570/MAX($X$4:X570)-1)</f>
        <v>0</v>
      </c>
      <c r="AB570" s="44">
        <f>IF(Y570="","",Y570/MAX($Y$4:Y570)-1)</f>
        <v>-3.342023362889357E-3</v>
      </c>
    </row>
    <row r="571" spans="1:28" x14ac:dyDescent="0.45">
      <c r="A571" s="121">
        <v>46029</v>
      </c>
      <c r="B571" s="124">
        <v>689.58</v>
      </c>
      <c r="C571" s="124">
        <v>260.33</v>
      </c>
      <c r="D571" s="124">
        <v>483.47</v>
      </c>
      <c r="E571" s="124">
        <v>326.99</v>
      </c>
      <c r="F571" s="124">
        <v>118.49</v>
      </c>
      <c r="G571" s="124">
        <v>207.49</v>
      </c>
      <c r="H571" s="124">
        <v>241.56</v>
      </c>
      <c r="I571" s="124">
        <v>67.540000000000006</v>
      </c>
      <c r="J571" s="125">
        <v>112.72</v>
      </c>
      <c r="L571" s="39">
        <f t="shared" si="104"/>
        <v>-3.2234283979704031E-3</v>
      </c>
      <c r="M571" s="40">
        <f t="shared" si="96"/>
        <v>-7.7374599786553949E-3</v>
      </c>
      <c r="N571" s="40">
        <f t="shared" si="97"/>
        <v>1.0365509602725202E-2</v>
      </c>
      <c r="O571" s="40">
        <f t="shared" si="98"/>
        <v>-2.2772780251636246E-2</v>
      </c>
      <c r="P571" s="40">
        <f t="shared" si="99"/>
        <v>-2.1148285832300721E-2</v>
      </c>
      <c r="Q571" s="40">
        <f t="shared" si="100"/>
        <v>1.318423751159733E-2</v>
      </c>
      <c r="R571" s="40">
        <f t="shared" si="101"/>
        <v>2.6148673888681168E-3</v>
      </c>
      <c r="S571" s="40">
        <f t="shared" si="102"/>
        <v>-4.422169811320713E-3</v>
      </c>
      <c r="T571" s="41">
        <f t="shared" si="103"/>
        <v>-1.4168270071715974E-2</v>
      </c>
      <c r="V571" s="39">
        <f t="shared" si="105"/>
        <v>-3.2234283979704031E-3</v>
      </c>
      <c r="W571" s="40" cm="1">
        <f t="array" ref="W571">IF(M571="","",SUMPRODUCT(M571:T571,TRANSPOSE('04_Dashboard'!$C$53:$C$60)))</f>
        <v>-5.4314281653763917E-3</v>
      </c>
      <c r="X571" s="42">
        <f t="shared" si="106"/>
        <v>1.6137698626289991</v>
      </c>
      <c r="Y571" s="118">
        <f t="shared" si="107"/>
        <v>1.6975086950400058</v>
      </c>
      <c r="AA571" s="43">
        <f>IF(X571="","",X571/MAX($X$4:X571)-1)</f>
        <v>-3.223428397970407E-3</v>
      </c>
      <c r="AB571" s="44">
        <f>IF(Y571="","",Y571/MAX($Y$4:Y571)-1)</f>
        <v>-8.7552995684431201E-3</v>
      </c>
    </row>
    <row r="572" spans="1:28" x14ac:dyDescent="0.45">
      <c r="A572" s="121">
        <v>46030</v>
      </c>
      <c r="B572" s="124">
        <v>689.51</v>
      </c>
      <c r="C572" s="124">
        <v>259.04000000000002</v>
      </c>
      <c r="D572" s="124">
        <v>478.11</v>
      </c>
      <c r="E572" s="124">
        <v>329.79</v>
      </c>
      <c r="F572" s="124">
        <v>122.91</v>
      </c>
      <c r="G572" s="124">
        <v>205.75</v>
      </c>
      <c r="H572" s="124">
        <v>246.29</v>
      </c>
      <c r="I572" s="124">
        <v>69.37</v>
      </c>
      <c r="J572" s="125">
        <v>113.07</v>
      </c>
      <c r="L572" s="39">
        <f t="shared" si="104"/>
        <v>-1.0151106470612549E-4</v>
      </c>
      <c r="M572" s="40">
        <f t="shared" si="96"/>
        <v>-4.9552491069026379E-3</v>
      </c>
      <c r="N572" s="40">
        <f t="shared" si="97"/>
        <v>-1.1086520363207673E-2</v>
      </c>
      <c r="O572" s="40">
        <f t="shared" si="98"/>
        <v>8.5629529955044848E-3</v>
      </c>
      <c r="P572" s="40">
        <f t="shared" si="99"/>
        <v>3.7302725968436173E-2</v>
      </c>
      <c r="Q572" s="40">
        <f t="shared" si="100"/>
        <v>-8.3859463106656183E-3</v>
      </c>
      <c r="R572" s="40">
        <f t="shared" si="101"/>
        <v>1.9581056466302326E-2</v>
      </c>
      <c r="S572" s="40">
        <f t="shared" si="102"/>
        <v>2.709505478235117E-2</v>
      </c>
      <c r="T572" s="41">
        <f t="shared" si="103"/>
        <v>3.1050390347763866E-3</v>
      </c>
      <c r="V572" s="39">
        <f t="shared" si="105"/>
        <v>-1.0151106470612549E-4</v>
      </c>
      <c r="W572" s="40" cm="1">
        <f t="array" ref="W572">IF(M572="","",SUMPRODUCT(M572:T572,TRANSPOSE('04_Dashboard'!$C$53:$C$60)))</f>
        <v>6.4936388243469114E-3</v>
      </c>
      <c r="X572" s="42">
        <f t="shared" si="106"/>
        <v>1.613606047132053</v>
      </c>
      <c r="Y572" s="118">
        <f t="shared" si="107"/>
        <v>1.708531703406784</v>
      </c>
      <c r="AA572" s="43">
        <f>IF(X572="","",X572/MAX($X$4:X572)-1)</f>
        <v>-3.3246122490278029E-3</v>
      </c>
      <c r="AB572" s="44">
        <f>IF(Y572="","",Y572/MAX($Y$4:Y572)-1)</f>
        <v>-2.3185144972927008E-3</v>
      </c>
    </row>
    <row r="573" spans="1:28" x14ac:dyDescent="0.45">
      <c r="A573" s="121">
        <v>46031</v>
      </c>
      <c r="B573" s="124">
        <v>694.07</v>
      </c>
      <c r="C573" s="124">
        <v>259.37</v>
      </c>
      <c r="D573" s="124">
        <v>479.28</v>
      </c>
      <c r="E573" s="124">
        <v>329.19</v>
      </c>
      <c r="F573" s="124">
        <v>124.61</v>
      </c>
      <c r="G573" s="124">
        <v>204.39</v>
      </c>
      <c r="H573" s="124">
        <v>247.38</v>
      </c>
      <c r="I573" s="124">
        <v>70.510000000000005</v>
      </c>
      <c r="J573" s="125">
        <v>114.53</v>
      </c>
      <c r="L573" s="39">
        <f t="shared" si="104"/>
        <v>6.6133921190411442E-3</v>
      </c>
      <c r="M573" s="40">
        <f t="shared" si="96"/>
        <v>1.273934527486041E-3</v>
      </c>
      <c r="N573" s="40">
        <f t="shared" si="97"/>
        <v>2.4471355964107823E-3</v>
      </c>
      <c r="O573" s="40">
        <f t="shared" si="98"/>
        <v>-1.8193395797326259E-3</v>
      </c>
      <c r="P573" s="40">
        <f t="shared" si="99"/>
        <v>1.3831258644536677E-2</v>
      </c>
      <c r="Q573" s="40">
        <f t="shared" si="100"/>
        <v>-6.6099635479952065E-3</v>
      </c>
      <c r="R573" s="40">
        <f t="shared" si="101"/>
        <v>4.4256770473831801E-3</v>
      </c>
      <c r="S573" s="40">
        <f t="shared" si="102"/>
        <v>1.6433616837249539E-2</v>
      </c>
      <c r="T573" s="41">
        <f t="shared" si="103"/>
        <v>1.2912355178208261E-2</v>
      </c>
      <c r="V573" s="39">
        <f t="shared" si="105"/>
        <v>6.6133921190411442E-3</v>
      </c>
      <c r="W573" s="40" cm="1">
        <f t="array" ref="W573">IF(M573="","",SUMPRODUCT(M573:T573,TRANSPOSE('04_Dashboard'!$C$53:$C$60)))</f>
        <v>3.3239204347887312E-3</v>
      </c>
      <c r="X573" s="42">
        <f t="shared" si="106"/>
        <v>1.6242774566473934</v>
      </c>
      <c r="Y573" s="118">
        <f t="shared" si="107"/>
        <v>1.7142107268492224</v>
      </c>
      <c r="AA573" s="43">
        <f>IF(X573="","",X573/MAX($X$4:X573)-1)</f>
        <v>0</v>
      </c>
      <c r="AB573" s="44">
        <f>IF(Y573="","",Y573/MAX($Y$4:Y573)-1)</f>
        <v>0</v>
      </c>
    </row>
    <row r="574" spans="1:28" x14ac:dyDescent="0.45">
      <c r="A574" s="121">
        <v>46034</v>
      </c>
      <c r="B574" s="124">
        <v>695.16</v>
      </c>
      <c r="C574" s="124">
        <v>260.25</v>
      </c>
      <c r="D574" s="124">
        <v>477.18</v>
      </c>
      <c r="E574" s="124">
        <v>324.49</v>
      </c>
      <c r="F574" s="124">
        <v>124.03</v>
      </c>
      <c r="G574" s="124">
        <v>209.72</v>
      </c>
      <c r="H574" s="124">
        <v>246.47</v>
      </c>
      <c r="I574" s="124">
        <v>70.5</v>
      </c>
      <c r="J574" s="125">
        <v>117.97</v>
      </c>
      <c r="L574" s="39">
        <f t="shared" si="104"/>
        <v>1.5704467849063034E-3</v>
      </c>
      <c r="M574" s="40">
        <f t="shared" si="96"/>
        <v>3.3928364884142168E-3</v>
      </c>
      <c r="N574" s="40">
        <f t="shared" si="97"/>
        <v>-4.3815723585377362E-3</v>
      </c>
      <c r="O574" s="40">
        <f t="shared" si="98"/>
        <v>-1.4277468938910624E-2</v>
      </c>
      <c r="P574" s="40">
        <f t="shared" si="99"/>
        <v>-4.6545221089800042E-3</v>
      </c>
      <c r="Q574" s="40">
        <f t="shared" si="100"/>
        <v>2.6077596751308836E-2</v>
      </c>
      <c r="R574" s="40">
        <f t="shared" si="101"/>
        <v>-3.6785512167515425E-3</v>
      </c>
      <c r="S574" s="40">
        <f t="shared" si="102"/>
        <v>-1.4182385477244525E-4</v>
      </c>
      <c r="T574" s="41">
        <f t="shared" si="103"/>
        <v>3.0035798480747382E-2</v>
      </c>
      <c r="V574" s="39">
        <f t="shared" si="105"/>
        <v>1.5704467849063034E-3</v>
      </c>
      <c r="W574" s="40" cm="1">
        <f t="array" ref="W574">IF(M574="","",SUMPRODUCT(M574:T574,TRANSPOSE('04_Dashboard'!$C$53:$C$60)))</f>
        <v>6.3865079289990752E-3</v>
      </c>
      <c r="X574" s="42">
        <f t="shared" si="106"/>
        <v>1.626828297956981</v>
      </c>
      <c r="Y574" s="118">
        <f t="shared" si="107"/>
        <v>1.7251585472482203</v>
      </c>
      <c r="AA574" s="43">
        <f>IF(X574="","",X574/MAX($X$4:X574)-1)</f>
        <v>0</v>
      </c>
      <c r="AB574" s="44">
        <f>IF(Y574="","",Y574/MAX($Y$4:Y574)-1)</f>
        <v>0</v>
      </c>
    </row>
    <row r="575" spans="1:28" x14ac:dyDescent="0.45">
      <c r="A575" s="121">
        <v>46035</v>
      </c>
      <c r="B575" s="124">
        <v>693.77</v>
      </c>
      <c r="C575" s="124">
        <v>261.05</v>
      </c>
      <c r="D575" s="124">
        <v>470.67</v>
      </c>
      <c r="E575" s="124">
        <v>310.89999999999998</v>
      </c>
      <c r="F575" s="124">
        <v>126.54</v>
      </c>
      <c r="G575" s="124">
        <v>213.65</v>
      </c>
      <c r="H575" s="124">
        <v>242.6</v>
      </c>
      <c r="I575" s="124">
        <v>71.239999999999995</v>
      </c>
      <c r="J575" s="125">
        <v>120.36</v>
      </c>
      <c r="L575" s="39">
        <f t="shared" si="104"/>
        <v>-1.9995396743195614E-3</v>
      </c>
      <c r="M575" s="40">
        <f t="shared" si="96"/>
        <v>3.0739673390970659E-3</v>
      </c>
      <c r="N575" s="40">
        <f t="shared" si="97"/>
        <v>-1.3642650572111134E-2</v>
      </c>
      <c r="O575" s="40">
        <f t="shared" si="98"/>
        <v>-4.1881105735153724E-2</v>
      </c>
      <c r="P575" s="40">
        <f t="shared" si="99"/>
        <v>2.0237039425945378E-2</v>
      </c>
      <c r="Q575" s="40">
        <f t="shared" si="100"/>
        <v>1.8739271409498413E-2</v>
      </c>
      <c r="R575" s="40">
        <f t="shared" si="101"/>
        <v>-1.5701708118635145E-2</v>
      </c>
      <c r="S575" s="40">
        <f t="shared" si="102"/>
        <v>1.0496453900709147E-2</v>
      </c>
      <c r="T575" s="41">
        <f t="shared" si="103"/>
        <v>2.0259387979994919E-2</v>
      </c>
      <c r="V575" s="39">
        <f t="shared" si="105"/>
        <v>-1.9995396743195614E-3</v>
      </c>
      <c r="W575" s="40" cm="1">
        <f t="array" ref="W575">IF(M575="","",SUMPRODUCT(M575:T575,TRANSPOSE('04_Dashboard'!$C$53:$C$60)))</f>
        <v>-2.0837256699429785E-3</v>
      </c>
      <c r="X575" s="42">
        <f t="shared" si="106"/>
        <v>1.6235753902319103</v>
      </c>
      <c r="Y575" s="118">
        <f t="shared" si="107"/>
        <v>1.7215637900985976</v>
      </c>
      <c r="AA575" s="43">
        <f>IF(X575="","",X575/MAX($X$4:X575)-1)</f>
        <v>-1.9995396743195393E-3</v>
      </c>
      <c r="AB575" s="44">
        <f>IF(Y575="","",Y575/MAX($Y$4:Y575)-1)</f>
        <v>-2.0837256699429707E-3</v>
      </c>
    </row>
    <row r="576" spans="1:28" x14ac:dyDescent="0.45">
      <c r="A576" s="121">
        <v>46036</v>
      </c>
      <c r="B576" s="124">
        <v>690.36</v>
      </c>
      <c r="C576" s="124">
        <v>259.95999999999998</v>
      </c>
      <c r="D576" s="124">
        <v>459.38</v>
      </c>
      <c r="E576" s="124">
        <v>307.87</v>
      </c>
      <c r="F576" s="124">
        <v>130.19999999999999</v>
      </c>
      <c r="G576" s="124">
        <v>218.55</v>
      </c>
      <c r="H576" s="124">
        <v>236.65</v>
      </c>
      <c r="I576" s="124">
        <v>71.44</v>
      </c>
      <c r="J576" s="125">
        <v>120.04</v>
      </c>
      <c r="L576" s="39">
        <f t="shared" si="104"/>
        <v>-4.9151736166164126E-3</v>
      </c>
      <c r="M576" s="40">
        <f t="shared" si="96"/>
        <v>-4.1754453169892047E-3</v>
      </c>
      <c r="N576" s="40">
        <f t="shared" si="97"/>
        <v>-2.3987082244460067E-2</v>
      </c>
      <c r="O576" s="40">
        <f t="shared" si="98"/>
        <v>-9.7458990028947336E-3</v>
      </c>
      <c r="P576" s="40">
        <f t="shared" si="99"/>
        <v>2.892366050260773E-2</v>
      </c>
      <c r="Q576" s="40">
        <f t="shared" si="100"/>
        <v>2.2934706295342878E-2</v>
      </c>
      <c r="R576" s="40">
        <f t="shared" si="101"/>
        <v>-2.4525968672712239E-2</v>
      </c>
      <c r="S576" s="40">
        <f t="shared" si="102"/>
        <v>2.8074115665356943E-3</v>
      </c>
      <c r="T576" s="41">
        <f t="shared" si="103"/>
        <v>-2.658690594881964E-3</v>
      </c>
      <c r="V576" s="39">
        <f t="shared" si="105"/>
        <v>-4.9151736166164126E-3</v>
      </c>
      <c r="W576" s="40" cm="1">
        <f t="array" ref="W576">IF(M576="","",SUMPRODUCT(M576:T576,TRANSPOSE('04_Dashboard'!$C$53:$C$60)))</f>
        <v>9.5341566771447875E-4</v>
      </c>
      <c r="X576" s="42">
        <f t="shared" si="106"/>
        <v>1.6155952353092546</v>
      </c>
      <c r="Y576" s="118">
        <f t="shared" si="107"/>
        <v>1.7232051559890476</v>
      </c>
      <c r="AA576" s="43">
        <f>IF(X576="","",X576/MAX($X$4:X576)-1)</f>
        <v>-6.9048852062834065E-3</v>
      </c>
      <c r="AB576" s="44">
        <f>IF(Y576="","",Y576/MAX($Y$4:Y576)-1)</f>
        <v>-1.1322966589294436E-3</v>
      </c>
    </row>
    <row r="577" spans="1:28" x14ac:dyDescent="0.45">
      <c r="A577" s="121">
        <v>46037</v>
      </c>
      <c r="B577" s="124">
        <v>692.24</v>
      </c>
      <c r="C577" s="124">
        <v>258.20999999999998</v>
      </c>
      <c r="D577" s="124">
        <v>456.66</v>
      </c>
      <c r="E577" s="124">
        <v>309.33999999999997</v>
      </c>
      <c r="F577" s="124">
        <v>129.13</v>
      </c>
      <c r="G577" s="124">
        <v>219.57</v>
      </c>
      <c r="H577" s="124">
        <v>238.18</v>
      </c>
      <c r="I577" s="124">
        <v>70.48</v>
      </c>
      <c r="J577" s="125">
        <v>119.2</v>
      </c>
      <c r="L577" s="39">
        <f t="shared" si="104"/>
        <v>2.723216872356445E-3</v>
      </c>
      <c r="M577" s="40">
        <f t="shared" si="96"/>
        <v>-6.7318048930604711E-3</v>
      </c>
      <c r="N577" s="40">
        <f t="shared" si="97"/>
        <v>-5.9210239888544784E-3</v>
      </c>
      <c r="O577" s="40">
        <f t="shared" si="98"/>
        <v>4.7747425861563988E-3</v>
      </c>
      <c r="P577" s="40">
        <f t="shared" si="99"/>
        <v>-8.218125960061393E-3</v>
      </c>
      <c r="Q577" s="40">
        <f t="shared" si="100"/>
        <v>4.6671242278653931E-3</v>
      </c>
      <c r="R577" s="40">
        <f t="shared" si="101"/>
        <v>6.4652440312698125E-3</v>
      </c>
      <c r="S577" s="40">
        <f t="shared" si="102"/>
        <v>-1.3437849944008871E-2</v>
      </c>
      <c r="T577" s="41">
        <f t="shared" si="103"/>
        <v>-6.9976674441852996E-3</v>
      </c>
      <c r="V577" s="39">
        <f t="shared" si="105"/>
        <v>2.723216872356445E-3</v>
      </c>
      <c r="W577" s="40" cm="1">
        <f t="array" ref="W577">IF(M577="","",SUMPRODUCT(M577:T577,TRANSPOSE('04_Dashboard'!$C$53:$C$60)))</f>
        <v>-1.3019699596027215E-3</v>
      </c>
      <c r="X577" s="42">
        <f t="shared" si="106"/>
        <v>1.6199948515129476</v>
      </c>
      <c r="Y577" s="118">
        <f t="shared" si="107"/>
        <v>1.7209615946417172</v>
      </c>
      <c r="AA577" s="43">
        <f>IF(X577="","",X577/MAX($X$4:X577)-1)</f>
        <v>-4.2004718338223279E-3</v>
      </c>
      <c r="AB577" s="44">
        <f>IF(Y577="","",Y577/MAX($Y$4:Y577)-1)</f>
        <v>-2.4327924022969905E-3</v>
      </c>
    </row>
    <row r="578" spans="1:28" x14ac:dyDescent="0.45">
      <c r="A578" s="121">
        <v>46038</v>
      </c>
      <c r="B578" s="124">
        <v>691.66</v>
      </c>
      <c r="C578" s="124">
        <v>255.53</v>
      </c>
      <c r="D578" s="124">
        <v>459.86</v>
      </c>
      <c r="E578" s="124">
        <v>312.47000000000003</v>
      </c>
      <c r="F578" s="124">
        <v>129.88999999999999</v>
      </c>
      <c r="G578" s="124">
        <v>218.66</v>
      </c>
      <c r="H578" s="124">
        <v>239.12</v>
      </c>
      <c r="I578" s="124">
        <v>70.44</v>
      </c>
      <c r="J578" s="125">
        <v>119.7</v>
      </c>
      <c r="L578" s="39">
        <f t="shared" si="104"/>
        <v>-8.3785970183757215E-4</v>
      </c>
      <c r="M578" s="40">
        <f t="shared" si="96"/>
        <v>-1.0379148754889348E-2</v>
      </c>
      <c r="N578" s="40">
        <f t="shared" si="97"/>
        <v>7.0074015679060754E-3</v>
      </c>
      <c r="O578" s="40">
        <f t="shared" si="98"/>
        <v>1.0118316415594662E-2</v>
      </c>
      <c r="P578" s="40">
        <f t="shared" si="99"/>
        <v>5.8855417021605435E-3</v>
      </c>
      <c r="Q578" s="40">
        <f t="shared" si="100"/>
        <v>-4.1444641799881429E-3</v>
      </c>
      <c r="R578" s="40">
        <f t="shared" si="101"/>
        <v>3.9465950121756561E-3</v>
      </c>
      <c r="S578" s="40">
        <f t="shared" si="102"/>
        <v>-5.6753688989793203E-4</v>
      </c>
      <c r="T578" s="41">
        <f t="shared" si="103"/>
        <v>4.1946308724832215E-3</v>
      </c>
      <c r="V578" s="39">
        <f t="shared" si="105"/>
        <v>-8.3785970183757215E-4</v>
      </c>
      <c r="W578" s="40" cm="1">
        <f t="array" ref="W578">IF(M578="","",SUMPRODUCT(M578:T578,TRANSPOSE('04_Dashboard'!$C$53:$C$60)))</f>
        <v>2.4065136759941902E-3</v>
      </c>
      <c r="X578" s="42">
        <f t="shared" si="106"/>
        <v>1.6186375231096806</v>
      </c>
      <c r="Y578" s="118">
        <f t="shared" si="107"/>
        <v>1.7251031122550831</v>
      </c>
      <c r="AA578" s="43">
        <f>IF(X578="","",X578/MAX($X$4:X578)-1)</f>
        <v>-5.0348121295816783E-3</v>
      </c>
      <c r="AB578" s="44">
        <f>IF(Y578="","",Y578/MAX($Y$4:Y578)-1)</f>
        <v>-3.2133274489809516E-5</v>
      </c>
    </row>
    <row r="579" spans="1:28" x14ac:dyDescent="0.45">
      <c r="A579" s="121">
        <v>46042</v>
      </c>
      <c r="B579" s="124">
        <v>677.58</v>
      </c>
      <c r="C579" s="124">
        <v>246.7</v>
      </c>
      <c r="D579" s="124">
        <v>454.52</v>
      </c>
      <c r="E579" s="124">
        <v>302.74</v>
      </c>
      <c r="F579" s="124">
        <v>130.46</v>
      </c>
      <c r="G579" s="124">
        <v>218.21</v>
      </c>
      <c r="H579" s="124">
        <v>231</v>
      </c>
      <c r="I579" s="124">
        <v>71.75</v>
      </c>
      <c r="J579" s="125">
        <v>118.71</v>
      </c>
      <c r="L579" s="39">
        <f t="shared" si="104"/>
        <v>-2.0356822716363427E-2</v>
      </c>
      <c r="M579" s="40">
        <f t="shared" si="96"/>
        <v>-3.4555629475991126E-2</v>
      </c>
      <c r="N579" s="40">
        <f t="shared" si="97"/>
        <v>-1.1612229809072396E-2</v>
      </c>
      <c r="O579" s="40">
        <f t="shared" si="98"/>
        <v>-3.1138989342976982E-2</v>
      </c>
      <c r="P579" s="40">
        <f t="shared" si="99"/>
        <v>4.388328585726551E-3</v>
      </c>
      <c r="Q579" s="40">
        <f t="shared" si="100"/>
        <v>-2.0579895728527788E-3</v>
      </c>
      <c r="R579" s="40">
        <f t="shared" si="101"/>
        <v>-3.3957845433255286E-2</v>
      </c>
      <c r="S579" s="40">
        <f t="shared" si="102"/>
        <v>1.8597387847813774E-2</v>
      </c>
      <c r="T579" s="41">
        <f t="shared" si="103"/>
        <v>-8.2706766917293988E-3</v>
      </c>
      <c r="V579" s="39">
        <f t="shared" si="105"/>
        <v>-2.0356822716363427E-2</v>
      </c>
      <c r="W579" s="40" cm="1">
        <f t="array" ref="W579">IF(M579="","",SUMPRODUCT(M579:T579,TRANSPOSE('04_Dashboard'!$C$53:$C$60)))</f>
        <v>-1.1423543297231564E-2</v>
      </c>
      <c r="X579" s="42">
        <f t="shared" si="106"/>
        <v>1.5856872060096832</v>
      </c>
      <c r="Y579" s="118">
        <f t="shared" si="107"/>
        <v>1.7053963221600481</v>
      </c>
      <c r="AA579" s="43">
        <f>IF(X579="","",X579/MAX($X$4:X579)-1)</f>
        <v>-2.5289142068013026E-2</v>
      </c>
      <c r="AB579" s="44">
        <f>IF(Y579="","",Y579/MAX($Y$4:Y579)-1)</f>
        <v>-1.1455309495869037E-2</v>
      </c>
    </row>
    <row r="580" spans="1:28" x14ac:dyDescent="0.45">
      <c r="A580" s="121">
        <v>46043</v>
      </c>
      <c r="B580" s="124">
        <v>685.4</v>
      </c>
      <c r="C580" s="124">
        <v>247.65</v>
      </c>
      <c r="D580" s="124">
        <v>444.11</v>
      </c>
      <c r="E580" s="124">
        <v>302.04000000000002</v>
      </c>
      <c r="F580" s="124">
        <v>133.61000000000001</v>
      </c>
      <c r="G580" s="124">
        <v>218.01</v>
      </c>
      <c r="H580" s="124">
        <v>231.31</v>
      </c>
      <c r="I580" s="124">
        <v>72.010000000000005</v>
      </c>
      <c r="J580" s="125">
        <v>119.36</v>
      </c>
      <c r="L580" s="39">
        <f t="shared" si="104"/>
        <v>1.154107264086888E-2</v>
      </c>
      <c r="M580" s="40">
        <f t="shared" ref="M580:M643" si="108">IF(C580="","",(C580-C579)/C579)</f>
        <v>3.850830968788071E-3</v>
      </c>
      <c r="N580" s="40">
        <f t="shared" ref="N580:N643" si="109">IF(D580="","",(D580-D579)/D579)</f>
        <v>-2.2903282583824625E-2</v>
      </c>
      <c r="O580" s="40">
        <f t="shared" ref="O580:O643" si="110">IF(E580="","",(E580-E579)/E579)</f>
        <v>-2.3122151020677434E-3</v>
      </c>
      <c r="P580" s="40">
        <f t="shared" ref="P580:P643" si="111">IF(F580="","",(F580-F579)/F579)</f>
        <v>2.4145331902498891E-2</v>
      </c>
      <c r="Q580" s="40">
        <f t="shared" ref="Q580:Q643" si="112">IF(G580="","",(G580-G579)/G579)</f>
        <v>-9.1654827918068399E-4</v>
      </c>
      <c r="R580" s="40">
        <f t="shared" ref="R580:R643" si="113">IF(H580="","",(H580-H579)/H579)</f>
        <v>1.3419913419913517E-3</v>
      </c>
      <c r="S580" s="40">
        <f t="shared" ref="S580:S643" si="114">IF(I580="","",(I580-I579)/I579)</f>
        <v>3.6236933797910119E-3</v>
      </c>
      <c r="T580" s="41">
        <f t="shared" ref="T580:T643" si="115">IF(J580="","",(J580-J579)/J579)</f>
        <v>5.4755285991071158E-3</v>
      </c>
      <c r="V580" s="39">
        <f t="shared" si="105"/>
        <v>1.154107264086888E-2</v>
      </c>
      <c r="W580" s="40" cm="1">
        <f t="array" ref="W580">IF(M580="","",SUMPRODUCT(M580:T580,TRANSPOSE('04_Dashboard'!$C$53:$C$60)))</f>
        <v>4.5921913962708851E-4</v>
      </c>
      <c r="X580" s="42">
        <f t="shared" si="106"/>
        <v>1.6039877372399374</v>
      </c>
      <c r="Y580" s="118">
        <f t="shared" si="107"/>
        <v>1.7061794727918336</v>
      </c>
      <c r="AA580" s="43">
        <f>IF(X580="","",X580/MAX($X$4:X580)-1)</f>
        <v>-1.4039933252776304E-2</v>
      </c>
      <c r="AB580" s="44">
        <f>IF(Y580="","",Y580/MAX($Y$4:Y580)-1)</f>
        <v>-1.1001350853612868E-2</v>
      </c>
    </row>
    <row r="581" spans="1:28" x14ac:dyDescent="0.45">
      <c r="A581" s="121">
        <v>46044</v>
      </c>
      <c r="B581" s="124">
        <v>688.98</v>
      </c>
      <c r="C581" s="124">
        <v>248.35</v>
      </c>
      <c r="D581" s="124">
        <v>451.14</v>
      </c>
      <c r="E581" s="124">
        <v>303.63</v>
      </c>
      <c r="F581" s="124">
        <v>133.63999999999999</v>
      </c>
      <c r="G581" s="124">
        <v>218.49</v>
      </c>
      <c r="H581" s="124">
        <v>234.34</v>
      </c>
      <c r="I581" s="124">
        <v>71.87</v>
      </c>
      <c r="J581" s="125">
        <v>117.83</v>
      </c>
      <c r="L581" s="39">
        <f t="shared" ref="L581:L644" si="116">IF(B581="","",(B581-B580)/B580)</f>
        <v>5.2232273125182973E-3</v>
      </c>
      <c r="M581" s="40">
        <f t="shared" si="108"/>
        <v>2.826569755703568E-3</v>
      </c>
      <c r="N581" s="40">
        <f t="shared" si="109"/>
        <v>1.582941163225321E-2</v>
      </c>
      <c r="O581" s="40">
        <f t="shared" si="110"/>
        <v>5.2642034167659085E-3</v>
      </c>
      <c r="P581" s="40">
        <f t="shared" si="111"/>
        <v>2.245340917593946E-4</v>
      </c>
      <c r="Q581" s="40">
        <f t="shared" si="112"/>
        <v>2.201733865419101E-3</v>
      </c>
      <c r="R581" s="40">
        <f t="shared" si="113"/>
        <v>1.3099303964376816E-2</v>
      </c>
      <c r="S581" s="40">
        <f t="shared" si="114"/>
        <v>-1.9441744202194217E-3</v>
      </c>
      <c r="T581" s="41">
        <f t="shared" si="115"/>
        <v>-1.2818364611260064E-2</v>
      </c>
      <c r="V581" s="39">
        <f t="shared" ref="V581:V644" si="117">L581</f>
        <v>5.2232273125182973E-3</v>
      </c>
      <c r="W581" s="40" cm="1">
        <f t="array" ref="W581">IF(M581="","",SUMPRODUCT(M581:T581,TRANSPOSE('04_Dashboard'!$C$53:$C$60)))</f>
        <v>1.9223587477773805E-3</v>
      </c>
      <c r="X581" s="42">
        <f t="shared" si="106"/>
        <v>1.6123657297980336</v>
      </c>
      <c r="Y581" s="118">
        <f t="shared" si="107"/>
        <v>1.7094593618266334</v>
      </c>
      <c r="AA581" s="43">
        <f>IF(X581="","",X581/MAX($X$4:X581)-1)</f>
        <v>-8.8900397030896583E-3</v>
      </c>
      <c r="AB581" s="44">
        <f>IF(Y581="","",Y581/MAX($Y$4:Y581)-1)</f>
        <v>-9.1001406488860903E-3</v>
      </c>
    </row>
    <row r="582" spans="1:28" x14ac:dyDescent="0.45">
      <c r="A582" s="121">
        <v>46045</v>
      </c>
      <c r="B582" s="124">
        <v>689.23</v>
      </c>
      <c r="C582" s="124">
        <v>248.04</v>
      </c>
      <c r="D582" s="124">
        <v>465.95</v>
      </c>
      <c r="E582" s="124">
        <v>297.72000000000003</v>
      </c>
      <c r="F582" s="124">
        <v>134.97</v>
      </c>
      <c r="G582" s="124">
        <v>220.14</v>
      </c>
      <c r="H582" s="124">
        <v>239.16</v>
      </c>
      <c r="I582" s="124">
        <v>72.88</v>
      </c>
      <c r="J582" s="125">
        <v>117.73</v>
      </c>
      <c r="L582" s="39">
        <f t="shared" si="116"/>
        <v>3.6285523527533457E-4</v>
      </c>
      <c r="M582" s="40">
        <f t="shared" si="108"/>
        <v>-1.2482383732635486E-3</v>
      </c>
      <c r="N582" s="40">
        <f t="shared" si="109"/>
        <v>3.2827946978764913E-2</v>
      </c>
      <c r="O582" s="40">
        <f t="shared" si="110"/>
        <v>-1.9464479794486605E-2</v>
      </c>
      <c r="P582" s="40">
        <f t="shared" si="111"/>
        <v>9.9521101466627706E-3</v>
      </c>
      <c r="Q582" s="40">
        <f t="shared" si="112"/>
        <v>7.5518330358367762E-3</v>
      </c>
      <c r="R582" s="40">
        <f t="shared" si="113"/>
        <v>2.0568404881795652E-2</v>
      </c>
      <c r="S582" s="40">
        <f t="shared" si="114"/>
        <v>1.4053151523584122E-2</v>
      </c>
      <c r="T582" s="41">
        <f t="shared" si="115"/>
        <v>-8.4868030213013936E-4</v>
      </c>
      <c r="V582" s="39">
        <f t="shared" si="117"/>
        <v>3.6285523527533457E-4</v>
      </c>
      <c r="W582" s="40" cm="1">
        <f t="array" ref="W582">IF(M582="","",SUMPRODUCT(M582:T582,TRANSPOSE('04_Dashboard'!$C$53:$C$60)))</f>
        <v>3.1878947673928313E-3</v>
      </c>
      <c r="X582" s="42">
        <f t="shared" ref="X582:X645" si="118">IF(V582="","",X581*(1+V582))</f>
        <v>1.6129507851442693</v>
      </c>
      <c r="Y582" s="118">
        <f t="shared" ref="Y582:Y645" si="119">IF(W582="","",Y581*(1+W582))</f>
        <v>1.7149089383812712</v>
      </c>
      <c r="AA582" s="43">
        <f>IF(X582="","",X582/MAX($X$4:X582)-1)</f>
        <v>-8.5304102652624669E-3</v>
      </c>
      <c r="AB582" s="44">
        <f>IF(Y582="","",Y582/MAX($Y$4:Y582)-1)</f>
        <v>-5.9412561722503865E-3</v>
      </c>
    </row>
    <row r="583" spans="1:28" x14ac:dyDescent="0.45">
      <c r="A583" s="121">
        <v>46048</v>
      </c>
      <c r="B583" s="124">
        <v>692.73</v>
      </c>
      <c r="C583" s="124">
        <v>255.41</v>
      </c>
      <c r="D583" s="124">
        <v>470.28</v>
      </c>
      <c r="E583" s="124">
        <v>301.04000000000002</v>
      </c>
      <c r="F583" s="124">
        <v>134.84</v>
      </c>
      <c r="G583" s="124">
        <v>221.49</v>
      </c>
      <c r="H583" s="124">
        <v>238.42</v>
      </c>
      <c r="I583" s="124">
        <v>72.56</v>
      </c>
      <c r="J583" s="125">
        <v>117.64</v>
      </c>
      <c r="L583" s="39">
        <f t="shared" si="116"/>
        <v>5.0781306675565484E-3</v>
      </c>
      <c r="M583" s="40">
        <f t="shared" si="108"/>
        <v>2.97129495242703E-2</v>
      </c>
      <c r="N583" s="40">
        <f t="shared" si="109"/>
        <v>9.2928425796758966E-3</v>
      </c>
      <c r="O583" s="40">
        <f t="shared" si="110"/>
        <v>1.1151417439204598E-2</v>
      </c>
      <c r="P583" s="40">
        <f t="shared" si="111"/>
        <v>-9.6317700229677297E-4</v>
      </c>
      <c r="Q583" s="40">
        <f t="shared" si="112"/>
        <v>6.1324611610794168E-3</v>
      </c>
      <c r="R583" s="40">
        <f t="shared" si="113"/>
        <v>-3.0941629034956057E-3</v>
      </c>
      <c r="S583" s="40">
        <f t="shared" si="114"/>
        <v>-4.3907793633368988E-3</v>
      </c>
      <c r="T583" s="41">
        <f t="shared" si="115"/>
        <v>-7.6446105495628477E-4</v>
      </c>
      <c r="V583" s="39">
        <f t="shared" si="117"/>
        <v>5.0781306675565484E-3</v>
      </c>
      <c r="W583" s="40" cm="1">
        <f t="array" ref="W583">IF(M583="","",SUMPRODUCT(M583:T583,TRANSPOSE('04_Dashboard'!$C$53:$C$60)))</f>
        <v>5.3844859916023918E-3</v>
      </c>
      <c r="X583" s="42">
        <f t="shared" si="118"/>
        <v>1.6211415599915697</v>
      </c>
      <c r="Y583" s="118">
        <f t="shared" si="119"/>
        <v>1.7241428415368589</v>
      </c>
      <c r="AA583" s="43">
        <f>IF(X583="","",X583/MAX($X$4:X583)-1)</f>
        <v>-3.4955981356808996E-3</v>
      </c>
      <c r="AB583" s="44">
        <f>IF(Y583="","",Y583/MAX($Y$4:Y583)-1)</f>
        <v>-5.8876079128000747E-4</v>
      </c>
    </row>
    <row r="584" spans="1:28" x14ac:dyDescent="0.45">
      <c r="A584" s="121">
        <v>46049</v>
      </c>
      <c r="B584" s="124">
        <v>695.49</v>
      </c>
      <c r="C584" s="124">
        <v>258.27</v>
      </c>
      <c r="D584" s="124">
        <v>480.58</v>
      </c>
      <c r="E584" s="124">
        <v>300.31</v>
      </c>
      <c r="F584" s="124">
        <v>136.83000000000001</v>
      </c>
      <c r="G584" s="124">
        <v>224.44</v>
      </c>
      <c r="H584" s="124">
        <v>244.68</v>
      </c>
      <c r="I584" s="124">
        <v>73.55</v>
      </c>
      <c r="J584" s="125">
        <v>116.94</v>
      </c>
      <c r="L584" s="39">
        <f t="shared" si="116"/>
        <v>3.9842362825343071E-3</v>
      </c>
      <c r="M584" s="40">
        <f t="shared" si="108"/>
        <v>1.1197682158098686E-2</v>
      </c>
      <c r="N584" s="40">
        <f t="shared" si="109"/>
        <v>2.1901845708939379E-2</v>
      </c>
      <c r="O584" s="40">
        <f t="shared" si="110"/>
        <v>-2.42492692001069E-3</v>
      </c>
      <c r="P584" s="40">
        <f t="shared" si="111"/>
        <v>1.475823197864142E-2</v>
      </c>
      <c r="Q584" s="40">
        <f t="shared" si="112"/>
        <v>1.3318885728475274E-2</v>
      </c>
      <c r="R584" s="40">
        <f t="shared" si="113"/>
        <v>2.6256186561530157E-2</v>
      </c>
      <c r="S584" s="40">
        <f t="shared" si="114"/>
        <v>1.3643880926130029E-2</v>
      </c>
      <c r="T584" s="41">
        <f t="shared" si="115"/>
        <v>-5.950357021421309E-3</v>
      </c>
      <c r="V584" s="39">
        <f t="shared" si="117"/>
        <v>3.9842362825343071E-3</v>
      </c>
      <c r="W584" s="40" cm="1">
        <f t="array" ref="W584">IF(M584="","",SUMPRODUCT(M584:T584,TRANSPOSE('04_Dashboard'!$C$53:$C$60)))</f>
        <v>8.4341945858296859E-3</v>
      </c>
      <c r="X584" s="42">
        <f t="shared" si="118"/>
        <v>1.6276005710140127</v>
      </c>
      <c r="Y584" s="118">
        <f t="shared" si="119"/>
        <v>1.7386845977561463</v>
      </c>
      <c r="AA584" s="43">
        <f>IF(X584="","",X584/MAX($X$4:X584)-1)</f>
        <v>0</v>
      </c>
      <c r="AB584" s="44">
        <f>IF(Y584="","",Y584/MAX($Y$4:Y584)-1)</f>
        <v>0</v>
      </c>
    </row>
    <row r="585" spans="1:28" x14ac:dyDescent="0.45">
      <c r="A585" s="121">
        <v>46050</v>
      </c>
      <c r="B585" s="124">
        <v>695.42</v>
      </c>
      <c r="C585" s="124">
        <v>256.44</v>
      </c>
      <c r="D585" s="124">
        <v>481.63</v>
      </c>
      <c r="E585" s="124">
        <v>300.77</v>
      </c>
      <c r="F585" s="124">
        <v>137.58000000000001</v>
      </c>
      <c r="G585" s="124">
        <v>227.72</v>
      </c>
      <c r="H585" s="124">
        <v>243.01</v>
      </c>
      <c r="I585" s="124">
        <v>73.06</v>
      </c>
      <c r="J585" s="125">
        <v>116.57</v>
      </c>
      <c r="L585" s="39">
        <f t="shared" si="116"/>
        <v>-1.0064846367316572E-4</v>
      </c>
      <c r="M585" s="40">
        <f t="shared" si="108"/>
        <v>-7.0856080845626062E-3</v>
      </c>
      <c r="N585" s="40">
        <f t="shared" si="109"/>
        <v>2.1848599608806263E-3</v>
      </c>
      <c r="O585" s="40">
        <f t="shared" si="110"/>
        <v>1.5317505244579919E-3</v>
      </c>
      <c r="P585" s="40">
        <f t="shared" si="111"/>
        <v>5.4812541109405827E-3</v>
      </c>
      <c r="Q585" s="40">
        <f t="shared" si="112"/>
        <v>1.4614150775262881E-2</v>
      </c>
      <c r="R585" s="40">
        <f t="shared" si="113"/>
        <v>-6.8252411312735651E-3</v>
      </c>
      <c r="S585" s="40">
        <f t="shared" si="114"/>
        <v>-6.6621346023112834E-3</v>
      </c>
      <c r="T585" s="41">
        <f t="shared" si="115"/>
        <v>-3.1640157345647732E-3</v>
      </c>
      <c r="V585" s="39">
        <f t="shared" si="117"/>
        <v>-1.0064846367316572E-4</v>
      </c>
      <c r="W585" s="40" cm="1">
        <f t="array" ref="W585">IF(M585="","",SUMPRODUCT(M585:T585,TRANSPOSE('04_Dashboard'!$C$53:$C$60)))</f>
        <v>2.0120735915494892E-3</v>
      </c>
      <c r="X585" s="42">
        <f t="shared" si="118"/>
        <v>1.6274367555170666</v>
      </c>
      <c r="Y585" s="118">
        <f t="shared" si="119"/>
        <v>1.7421829591193252</v>
      </c>
      <c r="AA585" s="43">
        <f>IF(X585="","",X585/MAX($X$4:X585)-1)</f>
        <v>-1.0064846367319191E-4</v>
      </c>
      <c r="AB585" s="44">
        <f>IF(Y585="","",Y585/MAX($Y$4:Y585)-1)</f>
        <v>0</v>
      </c>
    </row>
    <row r="586" spans="1:28" x14ac:dyDescent="0.45">
      <c r="A586" s="121">
        <v>46051</v>
      </c>
      <c r="B586" s="124">
        <v>694.04</v>
      </c>
      <c r="C586" s="124">
        <v>258.27999999999997</v>
      </c>
      <c r="D586" s="124">
        <v>433.5</v>
      </c>
      <c r="E586" s="124">
        <v>306.42</v>
      </c>
      <c r="F586" s="124">
        <v>140.51</v>
      </c>
      <c r="G586" s="124">
        <v>227.29</v>
      </c>
      <c r="H586" s="124">
        <v>241.73</v>
      </c>
      <c r="I586" s="124">
        <v>73.430000000000007</v>
      </c>
      <c r="J586" s="125">
        <v>117.41</v>
      </c>
      <c r="L586" s="39">
        <f t="shared" si="116"/>
        <v>-1.9844122976043189E-3</v>
      </c>
      <c r="M586" s="40">
        <f t="shared" si="108"/>
        <v>7.1751676805489589E-3</v>
      </c>
      <c r="N586" s="40">
        <f t="shared" si="109"/>
        <v>-9.9931482673421501E-2</v>
      </c>
      <c r="O586" s="40">
        <f t="shared" si="110"/>
        <v>1.8785118196628769E-2</v>
      </c>
      <c r="P586" s="40">
        <f t="shared" si="111"/>
        <v>2.1296700101758818E-2</v>
      </c>
      <c r="Q586" s="40">
        <f t="shared" si="112"/>
        <v>-1.8882838573687285E-3</v>
      </c>
      <c r="R586" s="40">
        <f t="shared" si="113"/>
        <v>-5.2672729517303863E-3</v>
      </c>
      <c r="S586" s="40">
        <f t="shared" si="114"/>
        <v>5.0643306871065502E-3</v>
      </c>
      <c r="T586" s="41">
        <f t="shared" si="115"/>
        <v>7.2059706614051935E-3</v>
      </c>
      <c r="V586" s="39">
        <f t="shared" si="117"/>
        <v>-1.9844122976043189E-3</v>
      </c>
      <c r="W586" s="40" cm="1">
        <f t="array" ref="W586">IF(M586="","",SUMPRODUCT(M586:T586,TRANSPOSE('04_Dashboard'!$C$53:$C$60)))</f>
        <v>-1.6141294749854197E-5</v>
      </c>
      <c r="X586" s="42">
        <f t="shared" si="118"/>
        <v>1.6242072500058453</v>
      </c>
      <c r="Y586" s="118">
        <f t="shared" si="119"/>
        <v>1.7421548380306739</v>
      </c>
      <c r="AA586" s="43">
        <f>IF(X586="","",X586/MAX($X$4:X586)-1)</f>
        <v>-2.0848610332283579E-3</v>
      </c>
      <c r="AB586" s="44">
        <f>IF(Y586="","",Y586/MAX($Y$4:Y586)-1)</f>
        <v>-1.6141294749805191E-5</v>
      </c>
    </row>
    <row r="587" spans="1:28" x14ac:dyDescent="0.45">
      <c r="A587" s="121">
        <v>46052</v>
      </c>
      <c r="B587" s="124">
        <v>691.97</v>
      </c>
      <c r="C587" s="124">
        <v>259.48</v>
      </c>
      <c r="D587" s="124">
        <v>430.29</v>
      </c>
      <c r="E587" s="124">
        <v>305.89</v>
      </c>
      <c r="F587" s="124">
        <v>141.4</v>
      </c>
      <c r="G587" s="124">
        <v>227.25</v>
      </c>
      <c r="H587" s="124">
        <v>239.3</v>
      </c>
      <c r="I587" s="124">
        <v>74.81</v>
      </c>
      <c r="J587" s="125">
        <v>119.14</v>
      </c>
      <c r="L587" s="39">
        <f t="shared" si="116"/>
        <v>-2.9825370295659278E-3</v>
      </c>
      <c r="M587" s="40">
        <f t="shared" si="108"/>
        <v>4.6461204893915344E-3</v>
      </c>
      <c r="N587" s="40">
        <f t="shared" si="109"/>
        <v>-7.4048442906573921E-3</v>
      </c>
      <c r="O587" s="40">
        <f t="shared" si="110"/>
        <v>-1.7296521114810702E-3</v>
      </c>
      <c r="P587" s="40">
        <f t="shared" si="111"/>
        <v>6.3340687495552972E-3</v>
      </c>
      <c r="Q587" s="40">
        <f t="shared" si="112"/>
        <v>-1.7598662501646373E-4</v>
      </c>
      <c r="R587" s="40">
        <f t="shared" si="113"/>
        <v>-1.0052537955570175E-2</v>
      </c>
      <c r="S587" s="40">
        <f t="shared" si="114"/>
        <v>1.8793408688546853E-2</v>
      </c>
      <c r="T587" s="41">
        <f t="shared" si="115"/>
        <v>1.4734690401158369E-2</v>
      </c>
      <c r="V587" s="39">
        <f t="shared" si="117"/>
        <v>-2.9825370295659278E-3</v>
      </c>
      <c r="W587" s="40" cm="1">
        <f t="array" ref="W587">IF(M587="","",SUMPRODUCT(M587:T587,TRANSPOSE('04_Dashboard'!$C$53:$C$60)))</f>
        <v>3.5353193400696112E-3</v>
      </c>
      <c r="X587" s="42">
        <f t="shared" si="118"/>
        <v>1.6193629917390133</v>
      </c>
      <c r="Y587" s="118">
        <f t="shared" si="119"/>
        <v>1.7483139117229596</v>
      </c>
      <c r="AA587" s="43">
        <f>IF(X587="","",X587/MAX($X$4:X587)-1)</f>
        <v>-5.0611798875612735E-3</v>
      </c>
      <c r="AB587" s="44">
        <f>IF(Y587="","",Y587/MAX($Y$4:Y587)-1)</f>
        <v>0</v>
      </c>
    </row>
    <row r="588" spans="1:28" x14ac:dyDescent="0.45">
      <c r="A588" s="121">
        <v>46055</v>
      </c>
      <c r="B588" s="124">
        <v>695.41</v>
      </c>
      <c r="C588" s="124">
        <v>270.01</v>
      </c>
      <c r="D588" s="124">
        <v>423.37</v>
      </c>
      <c r="E588" s="124">
        <v>308.14</v>
      </c>
      <c r="F588" s="124">
        <v>138.4</v>
      </c>
      <c r="G588" s="124">
        <v>230.75</v>
      </c>
      <c r="H588" s="124">
        <v>242.96</v>
      </c>
      <c r="I588" s="124">
        <v>75.33</v>
      </c>
      <c r="J588" s="125">
        <v>124.06</v>
      </c>
      <c r="L588" s="39">
        <f t="shared" si="116"/>
        <v>4.9713137852796232E-3</v>
      </c>
      <c r="M588" s="40">
        <f t="shared" si="108"/>
        <v>4.0581162324649193E-2</v>
      </c>
      <c r="N588" s="40">
        <f t="shared" si="109"/>
        <v>-1.6082177136349941E-2</v>
      </c>
      <c r="O588" s="40">
        <f t="shared" si="110"/>
        <v>7.3555853411357026E-3</v>
      </c>
      <c r="P588" s="40">
        <f t="shared" si="111"/>
        <v>-2.1216407355021217E-2</v>
      </c>
      <c r="Q588" s="40">
        <f t="shared" si="112"/>
        <v>1.5401540154015401E-2</v>
      </c>
      <c r="R588" s="40">
        <f t="shared" si="113"/>
        <v>1.5294609277058072E-2</v>
      </c>
      <c r="S588" s="40">
        <f t="shared" si="114"/>
        <v>6.9509423873813127E-3</v>
      </c>
      <c r="T588" s="41">
        <f t="shared" si="115"/>
        <v>4.1295954339432617E-2</v>
      </c>
      <c r="V588" s="39">
        <f t="shared" si="117"/>
        <v>4.9713137852796232E-3</v>
      </c>
      <c r="W588" s="40" cm="1">
        <f t="array" ref="W588">IF(M588="","",SUMPRODUCT(M588:T588,TRANSPOSE('04_Dashboard'!$C$53:$C$60)))</f>
        <v>1.334436049404486E-2</v>
      </c>
      <c r="X588" s="42">
        <f t="shared" si="118"/>
        <v>1.6274133533032171</v>
      </c>
      <c r="Y588" s="118">
        <f t="shared" si="119"/>
        <v>1.7716440428177445</v>
      </c>
      <c r="AA588" s="43">
        <f>IF(X588="","",X588/MAX($X$4:X588)-1)</f>
        <v>-1.1502681562647332E-4</v>
      </c>
      <c r="AB588" s="44">
        <f>IF(Y588="","",Y588/MAX($Y$4:Y588)-1)</f>
        <v>0</v>
      </c>
    </row>
    <row r="589" spans="1:28" x14ac:dyDescent="0.45">
      <c r="A589" s="121">
        <v>46056</v>
      </c>
      <c r="B589" s="124">
        <v>689.53</v>
      </c>
      <c r="C589" s="124">
        <v>269.48</v>
      </c>
      <c r="D589" s="124">
        <v>411.21</v>
      </c>
      <c r="E589" s="124">
        <v>314.85000000000002</v>
      </c>
      <c r="F589" s="124">
        <v>143.72999999999999</v>
      </c>
      <c r="G589" s="124">
        <v>233.1</v>
      </c>
      <c r="H589" s="124">
        <v>238.62</v>
      </c>
      <c r="I589" s="124">
        <v>76.89</v>
      </c>
      <c r="J589" s="125">
        <v>127.71</v>
      </c>
      <c r="L589" s="39">
        <f t="shared" si="116"/>
        <v>-8.4554435512862857E-3</v>
      </c>
      <c r="M589" s="40">
        <f t="shared" si="108"/>
        <v>-1.9628902633234795E-3</v>
      </c>
      <c r="N589" s="40">
        <f t="shared" si="109"/>
        <v>-2.8721921723315363E-2</v>
      </c>
      <c r="O589" s="40">
        <f t="shared" si="110"/>
        <v>2.1775816187447384E-2</v>
      </c>
      <c r="P589" s="40">
        <f t="shared" si="111"/>
        <v>3.8511560693641499E-2</v>
      </c>
      <c r="Q589" s="40">
        <f t="shared" si="112"/>
        <v>1.0184182015167907E-2</v>
      </c>
      <c r="R589" s="40">
        <f t="shared" si="113"/>
        <v>-1.7863022719789279E-2</v>
      </c>
      <c r="S589" s="40">
        <f t="shared" si="114"/>
        <v>2.0708880923934719E-2</v>
      </c>
      <c r="T589" s="41">
        <f t="shared" si="115"/>
        <v>2.9421247783330579E-2</v>
      </c>
      <c r="V589" s="39">
        <f t="shared" si="117"/>
        <v>-8.4554435512862857E-3</v>
      </c>
      <c r="W589" s="40" cm="1">
        <f t="array" ref="W589">IF(M589="","",SUMPRODUCT(M589:T589,TRANSPOSE('04_Dashboard'!$C$53:$C$60)))</f>
        <v>1.3109907212871499E-2</v>
      </c>
      <c r="X589" s="42">
        <f t="shared" si="118"/>
        <v>1.6136528515597524</v>
      </c>
      <c r="Y589" s="118">
        <f t="shared" si="119"/>
        <v>1.7948701318333218</v>
      </c>
      <c r="AA589" s="43">
        <f>IF(X589="","",X589/MAX($X$4:X589)-1)</f>
        <v>-8.5694977641662673E-3</v>
      </c>
      <c r="AB589" s="44">
        <f>IF(Y589="","",Y589/MAX($Y$4:Y589)-1)</f>
        <v>0</v>
      </c>
    </row>
    <row r="590" spans="1:28" x14ac:dyDescent="0.45">
      <c r="A590" s="121">
        <v>46057</v>
      </c>
      <c r="B590" s="124">
        <v>686.19</v>
      </c>
      <c r="C590" s="124">
        <v>276.49</v>
      </c>
      <c r="D590" s="124">
        <v>414.19</v>
      </c>
      <c r="E590" s="124">
        <v>317.27</v>
      </c>
      <c r="F590" s="124">
        <v>147.59</v>
      </c>
      <c r="G590" s="124">
        <v>234.47</v>
      </c>
      <c r="H590" s="124">
        <v>232.99</v>
      </c>
      <c r="I590" s="124">
        <v>77.349999999999994</v>
      </c>
      <c r="J590" s="125">
        <v>128</v>
      </c>
      <c r="L590" s="39">
        <f t="shared" si="116"/>
        <v>-4.8438791640681598E-3</v>
      </c>
      <c r="M590" s="40">
        <f t="shared" si="108"/>
        <v>2.6013062193854797E-2</v>
      </c>
      <c r="N590" s="40">
        <f t="shared" si="109"/>
        <v>7.2469054740887098E-3</v>
      </c>
      <c r="O590" s="40">
        <f t="shared" si="110"/>
        <v>7.6861997776717771E-3</v>
      </c>
      <c r="P590" s="40">
        <f t="shared" si="111"/>
        <v>2.6855910387532274E-2</v>
      </c>
      <c r="Q590" s="40">
        <f t="shared" si="112"/>
        <v>5.8773058773058965E-3</v>
      </c>
      <c r="R590" s="40">
        <f t="shared" si="113"/>
        <v>-2.3593998826586183E-2</v>
      </c>
      <c r="S590" s="40">
        <f t="shared" si="114"/>
        <v>5.9825725061775749E-3</v>
      </c>
      <c r="T590" s="41">
        <f t="shared" si="115"/>
        <v>2.2707697126302267E-3</v>
      </c>
      <c r="V590" s="39">
        <f t="shared" si="117"/>
        <v>-4.8438791640681598E-3</v>
      </c>
      <c r="W590" s="40" cm="1">
        <f t="array" ref="W590">IF(M590="","",SUMPRODUCT(M590:T590,TRANSPOSE('04_Dashboard'!$C$53:$C$60)))</f>
        <v>5.9019917697648678E-3</v>
      </c>
      <c r="X590" s="42">
        <f t="shared" si="118"/>
        <v>1.605836512134043</v>
      </c>
      <c r="Y590" s="118">
        <f t="shared" si="119"/>
        <v>1.8054634405791989</v>
      </c>
      <c r="AA590" s="43">
        <f>IF(X590="","",X590/MAX($X$4:X590)-1)</f>
        <v>-1.3371867316568031E-2</v>
      </c>
      <c r="AB590" s="44">
        <f>IF(Y590="","",Y590/MAX($Y$4:Y590)-1)</f>
        <v>0</v>
      </c>
    </row>
    <row r="591" spans="1:28" x14ac:dyDescent="0.45">
      <c r="A591" s="121">
        <v>46058</v>
      </c>
      <c r="B591" s="124">
        <v>677.62</v>
      </c>
      <c r="C591" s="124">
        <v>275.91000000000003</v>
      </c>
      <c r="D591" s="124">
        <v>393.67</v>
      </c>
      <c r="E591" s="124">
        <v>310.16000000000003</v>
      </c>
      <c r="F591" s="124">
        <v>146.08000000000001</v>
      </c>
      <c r="G591" s="124">
        <v>237.79</v>
      </c>
      <c r="H591" s="124">
        <v>222.69</v>
      </c>
      <c r="I591" s="124">
        <v>78.510000000000005</v>
      </c>
      <c r="J591" s="125">
        <v>126.94</v>
      </c>
      <c r="L591" s="39">
        <f t="shared" si="116"/>
        <v>-1.2489252247919745E-2</v>
      </c>
      <c r="M591" s="40">
        <f t="shared" si="108"/>
        <v>-2.0977250533472606E-3</v>
      </c>
      <c r="N591" s="40">
        <f t="shared" si="109"/>
        <v>-4.9542480504116422E-2</v>
      </c>
      <c r="O591" s="40">
        <f t="shared" si="110"/>
        <v>-2.240993475588602E-2</v>
      </c>
      <c r="P591" s="40">
        <f t="shared" si="111"/>
        <v>-1.0231045463784748E-2</v>
      </c>
      <c r="Q591" s="40">
        <f t="shared" si="112"/>
        <v>1.4159593977907593E-2</v>
      </c>
      <c r="R591" s="40">
        <f t="shared" si="113"/>
        <v>-4.4207905918709003E-2</v>
      </c>
      <c r="S591" s="40">
        <f t="shared" si="114"/>
        <v>1.499676793794455E-2</v>
      </c>
      <c r="T591" s="41">
        <f t="shared" si="115"/>
        <v>-8.2812500000000178E-3</v>
      </c>
      <c r="V591" s="39">
        <f t="shared" si="117"/>
        <v>-1.2489252247919745E-2</v>
      </c>
      <c r="W591" s="40" cm="1">
        <f t="array" ref="W591">IF(M591="","",SUMPRODUCT(M591:T591,TRANSPOSE('04_Dashboard'!$C$53:$C$60)))</f>
        <v>-8.2657234018736828E-3</v>
      </c>
      <c r="X591" s="42">
        <f t="shared" si="118"/>
        <v>1.5857808148650814</v>
      </c>
      <c r="Y591" s="118">
        <f t="shared" si="119"/>
        <v>1.7905399791671761</v>
      </c>
      <c r="AA591" s="43">
        <f>IF(X591="","",X591/MAX($X$4:X591)-1)</f>
        <v>-2.5694114940545409E-2</v>
      </c>
      <c r="AB591" s="44">
        <f>IF(Y591="","",Y591/MAX($Y$4:Y591)-1)</f>
        <v>-8.2657234018737036E-3</v>
      </c>
    </row>
    <row r="592" spans="1:28" x14ac:dyDescent="0.45">
      <c r="A592" s="121">
        <v>46059</v>
      </c>
      <c r="B592" s="124">
        <v>690.62</v>
      </c>
      <c r="C592" s="124">
        <v>278.12</v>
      </c>
      <c r="D592" s="124">
        <v>401.14</v>
      </c>
      <c r="E592" s="124">
        <v>322.39999999999998</v>
      </c>
      <c r="F592" s="124">
        <v>149.05000000000001</v>
      </c>
      <c r="G592" s="124">
        <v>239.99</v>
      </c>
      <c r="H592" s="124">
        <v>210.32</v>
      </c>
      <c r="I592" s="124">
        <v>79.03</v>
      </c>
      <c r="J592" s="125">
        <v>131.18</v>
      </c>
      <c r="L592" s="39">
        <f t="shared" si="116"/>
        <v>1.9184793837253918E-2</v>
      </c>
      <c r="M592" s="40">
        <f t="shared" si="108"/>
        <v>8.0098582871225375E-3</v>
      </c>
      <c r="N592" s="40">
        <f t="shared" si="109"/>
        <v>1.897528386719834E-2</v>
      </c>
      <c r="O592" s="40">
        <f t="shared" si="110"/>
        <v>3.946350270827944E-2</v>
      </c>
      <c r="P592" s="40">
        <f t="shared" si="111"/>
        <v>2.0331325301204808E-2</v>
      </c>
      <c r="Q592" s="40">
        <f t="shared" si="112"/>
        <v>9.2518608856554819E-3</v>
      </c>
      <c r="R592" s="40">
        <f t="shared" si="113"/>
        <v>-5.5548071309892699E-2</v>
      </c>
      <c r="S592" s="40">
        <f t="shared" si="114"/>
        <v>6.6233600815182271E-3</v>
      </c>
      <c r="T592" s="41">
        <f t="shared" si="115"/>
        <v>3.3401607058452881E-2</v>
      </c>
      <c r="V592" s="39">
        <f t="shared" si="117"/>
        <v>1.9184793837253918E-2</v>
      </c>
      <c r="W592" s="40" cm="1">
        <f t="array" ref="W592">IF(M592="","",SUMPRODUCT(M592:T592,TRANSPOSE('04_Dashboard'!$C$53:$C$60)))</f>
        <v>1.579946373387096E-2</v>
      </c>
      <c r="X592" s="42">
        <f t="shared" si="118"/>
        <v>1.6162036928693406</v>
      </c>
      <c r="Y592" s="118">
        <f t="shared" si="119"/>
        <v>1.818829550632074</v>
      </c>
      <c r="AA592" s="43">
        <f>IF(X592="","",X592/MAX($X$4:X592)-1)</f>
        <v>-7.0022574012563732E-3</v>
      </c>
      <c r="AB592" s="44">
        <f>IF(Y592="","",Y592/MAX($Y$4:Y592)-1)</f>
        <v>0</v>
      </c>
    </row>
    <row r="593" spans="1:28" x14ac:dyDescent="0.45">
      <c r="A593" s="121">
        <v>46062</v>
      </c>
      <c r="B593" s="124">
        <v>693.95</v>
      </c>
      <c r="C593" s="124">
        <v>274.62</v>
      </c>
      <c r="D593" s="124">
        <v>413.6</v>
      </c>
      <c r="E593" s="124">
        <v>322.10000000000002</v>
      </c>
      <c r="F593" s="124">
        <v>151.21</v>
      </c>
      <c r="G593" s="124">
        <v>238.64</v>
      </c>
      <c r="H593" s="124">
        <v>208.72</v>
      </c>
      <c r="I593" s="124">
        <v>77.97</v>
      </c>
      <c r="J593" s="125">
        <v>129.02000000000001</v>
      </c>
      <c r="L593" s="39">
        <f t="shared" si="116"/>
        <v>4.8217543656425251E-3</v>
      </c>
      <c r="M593" s="40">
        <f t="shared" si="108"/>
        <v>-1.2584495901049906E-2</v>
      </c>
      <c r="N593" s="40">
        <f t="shared" si="109"/>
        <v>3.1061474796829129E-2</v>
      </c>
      <c r="O593" s="40">
        <f t="shared" si="110"/>
        <v>-9.3052109181127344E-4</v>
      </c>
      <c r="P593" s="40">
        <f t="shared" si="111"/>
        <v>1.4491781281449154E-2</v>
      </c>
      <c r="Q593" s="40">
        <f t="shared" si="112"/>
        <v>-5.6252343847661267E-3</v>
      </c>
      <c r="R593" s="40">
        <f t="shared" si="113"/>
        <v>-7.6074553062000496E-3</v>
      </c>
      <c r="S593" s="40">
        <f t="shared" si="114"/>
        <v>-1.341262811590538E-2</v>
      </c>
      <c r="T593" s="41">
        <f t="shared" si="115"/>
        <v>-1.6465924683640772E-2</v>
      </c>
      <c r="V593" s="39">
        <f t="shared" si="117"/>
        <v>4.8217543656425251E-3</v>
      </c>
      <c r="W593" s="40" cm="1">
        <f t="array" ref="W593">IF(M593="","",SUMPRODUCT(M593:T593,TRANSPOSE('04_Dashboard'!$C$53:$C$60)))</f>
        <v>-4.1307157342229291E-3</v>
      </c>
      <c r="X593" s="42">
        <f t="shared" si="118"/>
        <v>1.623996630081201</v>
      </c>
      <c r="Y593" s="118">
        <f t="shared" si="119"/>
        <v>1.8113164827894084</v>
      </c>
      <c r="AA593" s="43">
        <f>IF(X593="","",X593/MAX($X$4:X593)-1)</f>
        <v>-2.2142662008077796E-3</v>
      </c>
      <c r="AB593" s="44">
        <f>IF(Y593="","",Y593/MAX($Y$4:Y593)-1)</f>
        <v>-4.1307157342229672E-3</v>
      </c>
    </row>
    <row r="594" spans="1:28" x14ac:dyDescent="0.45">
      <c r="A594" s="121">
        <v>46063</v>
      </c>
      <c r="B594" s="124">
        <v>692.12</v>
      </c>
      <c r="C594" s="124">
        <v>273.68</v>
      </c>
      <c r="D594" s="124">
        <v>413.27</v>
      </c>
      <c r="E594" s="124">
        <v>318.24</v>
      </c>
      <c r="F594" s="124">
        <v>151.59</v>
      </c>
      <c r="G594" s="124">
        <v>238.35</v>
      </c>
      <c r="H594" s="124">
        <v>206.96</v>
      </c>
      <c r="I594" s="124">
        <v>76.81</v>
      </c>
      <c r="J594" s="125">
        <v>126.7</v>
      </c>
      <c r="L594" s="39">
        <f t="shared" si="116"/>
        <v>-2.6370775992507253E-3</v>
      </c>
      <c r="M594" s="40">
        <f t="shared" si="108"/>
        <v>-3.4229116597480069E-3</v>
      </c>
      <c r="N594" s="40">
        <f t="shared" si="109"/>
        <v>-7.9787234042563086E-4</v>
      </c>
      <c r="O594" s="40">
        <f t="shared" si="110"/>
        <v>-1.1983855945358626E-2</v>
      </c>
      <c r="P594" s="40">
        <f t="shared" si="111"/>
        <v>2.5130613054691847E-3</v>
      </c>
      <c r="Q594" s="40">
        <f t="shared" si="112"/>
        <v>-1.2152195776064033E-3</v>
      </c>
      <c r="R594" s="40">
        <f t="shared" si="113"/>
        <v>-8.4323495592180473E-3</v>
      </c>
      <c r="S594" s="40">
        <f t="shared" si="114"/>
        <v>-1.4877516993715489E-2</v>
      </c>
      <c r="T594" s="41">
        <f t="shared" si="115"/>
        <v>-1.7981708262284974E-2</v>
      </c>
      <c r="V594" s="39">
        <f t="shared" si="117"/>
        <v>-2.6370775992507253E-3</v>
      </c>
      <c r="W594" s="40" cm="1">
        <f t="array" ref="W594">IF(M594="","",SUMPRODUCT(M594:T594,TRANSPOSE('04_Dashboard'!$C$53:$C$60)))</f>
        <v>-8.4360855926524769E-3</v>
      </c>
      <c r="X594" s="42">
        <f t="shared" si="118"/>
        <v>1.6197140249467552</v>
      </c>
      <c r="Y594" s="118">
        <f t="shared" si="119"/>
        <v>1.7960360619052147</v>
      </c>
      <c r="AA594" s="43">
        <f>IF(X594="","",X594/MAX($X$4:X594)-1)</f>
        <v>-4.8455046082614972E-3</v>
      </c>
      <c r="AB594" s="44">
        <f>IF(Y594="","",Y594/MAX($Y$4:Y594)-1)</f>
        <v>-1.253195425538256E-2</v>
      </c>
    </row>
    <row r="595" spans="1:28" x14ac:dyDescent="0.45">
      <c r="A595" s="121">
        <v>46064</v>
      </c>
      <c r="B595" s="124">
        <v>691.96</v>
      </c>
      <c r="C595" s="124">
        <v>275.5</v>
      </c>
      <c r="D595" s="124">
        <v>404.37</v>
      </c>
      <c r="E595" s="124">
        <v>310.82</v>
      </c>
      <c r="F595" s="124">
        <v>155.56</v>
      </c>
      <c r="G595" s="124">
        <v>240.86</v>
      </c>
      <c r="H595" s="124">
        <v>204.08</v>
      </c>
      <c r="I595" s="124">
        <v>78.599999999999994</v>
      </c>
      <c r="J595" s="125">
        <v>128.77000000000001</v>
      </c>
      <c r="L595" s="39">
        <f t="shared" si="116"/>
        <v>-2.3117378489274717E-4</v>
      </c>
      <c r="M595" s="40">
        <f t="shared" si="108"/>
        <v>6.6501023092662712E-3</v>
      </c>
      <c r="N595" s="40">
        <f t="shared" si="109"/>
        <v>-2.1535557867737743E-2</v>
      </c>
      <c r="O595" s="40">
        <f t="shared" si="110"/>
        <v>-2.3315736551030718E-2</v>
      </c>
      <c r="P595" s="40">
        <f t="shared" si="111"/>
        <v>2.6189062603074072E-2</v>
      </c>
      <c r="Q595" s="40">
        <f t="shared" si="112"/>
        <v>1.0530732116635282E-2</v>
      </c>
      <c r="R595" s="40">
        <f t="shared" si="113"/>
        <v>-1.391573250869731E-2</v>
      </c>
      <c r="S595" s="40">
        <f t="shared" si="114"/>
        <v>2.3304257258169404E-2</v>
      </c>
      <c r="T595" s="41">
        <f t="shared" si="115"/>
        <v>1.6337805840568331E-2</v>
      </c>
      <c r="V595" s="39">
        <f t="shared" si="117"/>
        <v>-2.3117378489274717E-4</v>
      </c>
      <c r="W595" s="40" cm="1">
        <f t="array" ref="W595">IF(M595="","",SUMPRODUCT(M595:T595,TRANSPOSE('04_Dashboard'!$C$53:$C$60)))</f>
        <v>1.6760273702884471E-3</v>
      </c>
      <c r="X595" s="42">
        <f t="shared" si="118"/>
        <v>1.6193395895251643</v>
      </c>
      <c r="Y595" s="118">
        <f t="shared" si="119"/>
        <v>1.799046267502993</v>
      </c>
      <c r="AA595" s="43">
        <f>IF(X595="","",X595/MAX($X$4:X595)-1)</f>
        <v>-5.0755582395143328E-3</v>
      </c>
      <c r="AB595" s="44">
        <f>IF(Y595="","",Y595/MAX($Y$4:Y595)-1)</f>
        <v>-1.0876930783429328E-2</v>
      </c>
    </row>
    <row r="596" spans="1:28" x14ac:dyDescent="0.45">
      <c r="A596" s="121">
        <v>46065</v>
      </c>
      <c r="B596" s="124">
        <v>681.27</v>
      </c>
      <c r="C596" s="124">
        <v>261.73</v>
      </c>
      <c r="D596" s="124">
        <v>401.84</v>
      </c>
      <c r="E596" s="124">
        <v>302.64</v>
      </c>
      <c r="F596" s="124">
        <v>149.93</v>
      </c>
      <c r="G596" s="124">
        <v>244.55</v>
      </c>
      <c r="H596" s="124">
        <v>199.6</v>
      </c>
      <c r="I596" s="124">
        <v>79</v>
      </c>
      <c r="J596" s="125">
        <v>133.63999999999999</v>
      </c>
      <c r="L596" s="39">
        <f t="shared" si="116"/>
        <v>-1.5448869876871574E-2</v>
      </c>
      <c r="M596" s="40">
        <f t="shared" si="108"/>
        <v>-4.9981851179673256E-2</v>
      </c>
      <c r="N596" s="40">
        <f t="shared" si="109"/>
        <v>-6.2566461409106254E-3</v>
      </c>
      <c r="O596" s="40">
        <f t="shared" si="110"/>
        <v>-2.6317482787465436E-2</v>
      </c>
      <c r="P596" s="40">
        <f t="shared" si="111"/>
        <v>-3.6191823090768807E-2</v>
      </c>
      <c r="Q596" s="40">
        <f t="shared" si="112"/>
        <v>1.5320102964377637E-2</v>
      </c>
      <c r="R596" s="40">
        <f t="shared" si="113"/>
        <v>-2.1952175617405027E-2</v>
      </c>
      <c r="S596" s="40">
        <f t="shared" si="114"/>
        <v>5.0890585241731004E-3</v>
      </c>
      <c r="T596" s="41">
        <f t="shared" si="115"/>
        <v>3.7819367865185805E-2</v>
      </c>
      <c r="V596" s="39">
        <f t="shared" si="117"/>
        <v>-1.5448869876871574E-2</v>
      </c>
      <c r="W596" s="40" cm="1">
        <f t="array" ref="W596">IF(M596="","",SUMPRODUCT(M596:T596,TRANSPOSE('04_Dashboard'!$C$53:$C$60)))</f>
        <v>-3.2114873013438404E-3</v>
      </c>
      <c r="X596" s="42">
        <f t="shared" si="118"/>
        <v>1.5943226229201235</v>
      </c>
      <c r="Y596" s="118">
        <f t="shared" si="119"/>
        <v>1.7932686532603772</v>
      </c>
      <c r="AA596" s="43">
        <f>IF(X596="","",X596/MAX($X$4:X596)-1)</f>
        <v>-2.0446016477591145E-2</v>
      </c>
      <c r="AB596" s="44">
        <f>IF(Y596="","",Y596/MAX($Y$4:Y596)-1)</f>
        <v>-1.4053486959684558E-2</v>
      </c>
    </row>
    <row r="597" spans="1:28" x14ac:dyDescent="0.45">
      <c r="A597" s="121">
        <v>46066</v>
      </c>
      <c r="B597" s="124">
        <v>681.75</v>
      </c>
      <c r="C597" s="124">
        <v>255.78</v>
      </c>
      <c r="D597" s="124">
        <v>401.32</v>
      </c>
      <c r="E597" s="124">
        <v>302.55</v>
      </c>
      <c r="F597" s="124">
        <v>148.44999999999999</v>
      </c>
      <c r="G597" s="124">
        <v>243.45</v>
      </c>
      <c r="H597" s="124">
        <v>198.79</v>
      </c>
      <c r="I597" s="124">
        <v>78.680000000000007</v>
      </c>
      <c r="J597" s="125">
        <v>133.88999999999999</v>
      </c>
      <c r="L597" s="39">
        <f t="shared" si="116"/>
        <v>7.0456647144306688E-4</v>
      </c>
      <c r="M597" s="40">
        <f t="shared" si="108"/>
        <v>-2.2733351163412741E-2</v>
      </c>
      <c r="N597" s="40">
        <f t="shared" si="109"/>
        <v>-1.2940473820425588E-3</v>
      </c>
      <c r="O597" s="40">
        <f t="shared" si="110"/>
        <v>-2.9738302934170959E-4</v>
      </c>
      <c r="P597" s="40">
        <f t="shared" si="111"/>
        <v>-9.8712732608551863E-3</v>
      </c>
      <c r="Q597" s="40">
        <f t="shared" si="112"/>
        <v>-4.4980576569209679E-3</v>
      </c>
      <c r="R597" s="40">
        <f t="shared" si="113"/>
        <v>-4.058116232464941E-3</v>
      </c>
      <c r="S597" s="40">
        <f t="shared" si="114"/>
        <v>-4.0506329113923186E-3</v>
      </c>
      <c r="T597" s="41">
        <f t="shared" si="115"/>
        <v>1.8706973959892251E-3</v>
      </c>
      <c r="V597" s="39">
        <f t="shared" si="117"/>
        <v>7.0456647144306688E-4</v>
      </c>
      <c r="W597" s="40" cm="1">
        <f t="array" ref="W597">IF(M597="","",SUMPRODUCT(M597:T597,TRANSPOSE('04_Dashboard'!$C$53:$C$60)))</f>
        <v>-3.575409580794376E-3</v>
      </c>
      <c r="X597" s="42">
        <f t="shared" si="118"/>
        <v>1.5954459291848964</v>
      </c>
      <c r="Y597" s="118">
        <f t="shared" si="119"/>
        <v>1.7868569833365717</v>
      </c>
      <c r="AA597" s="43">
        <f>IF(X597="","",X597/MAX($X$4:X597)-1)</f>
        <v>-1.9755855583832638E-2</v>
      </c>
      <c r="AB597" s="44">
        <f>IF(Y597="","",Y597/MAX($Y$4:Y597)-1)</f>
        <v>-1.7578649568559701E-2</v>
      </c>
    </row>
    <row r="598" spans="1:28" x14ac:dyDescent="0.45">
      <c r="A598" s="121">
        <v>46070</v>
      </c>
      <c r="B598" s="124">
        <v>682.85</v>
      </c>
      <c r="C598" s="124">
        <v>263.88</v>
      </c>
      <c r="D598" s="124">
        <v>396.86</v>
      </c>
      <c r="E598" s="124">
        <v>307.13</v>
      </c>
      <c r="F598" s="124">
        <v>146.19</v>
      </c>
      <c r="G598" s="124">
        <v>243.33</v>
      </c>
      <c r="H598" s="124">
        <v>201.15</v>
      </c>
      <c r="I598" s="124">
        <v>79.56</v>
      </c>
      <c r="J598" s="125">
        <v>128.85</v>
      </c>
      <c r="L598" s="39">
        <f t="shared" si="116"/>
        <v>1.6134946828016469E-3</v>
      </c>
      <c r="M598" s="40">
        <f t="shared" si="108"/>
        <v>3.1667839549612928E-2</v>
      </c>
      <c r="N598" s="40">
        <f t="shared" si="109"/>
        <v>-1.1113326024120351E-2</v>
      </c>
      <c r="O598" s="40">
        <f t="shared" si="110"/>
        <v>1.5137993720046219E-2</v>
      </c>
      <c r="P598" s="40">
        <f t="shared" si="111"/>
        <v>-1.5223981138430388E-2</v>
      </c>
      <c r="Q598" s="40">
        <f t="shared" si="112"/>
        <v>-4.9291435613052427E-4</v>
      </c>
      <c r="R598" s="40">
        <f t="shared" si="113"/>
        <v>1.1871824538457738E-2</v>
      </c>
      <c r="S598" s="40">
        <f t="shared" si="114"/>
        <v>1.1184544992374115E-2</v>
      </c>
      <c r="T598" s="41">
        <f t="shared" si="115"/>
        <v>-3.7642841138247757E-2</v>
      </c>
      <c r="V598" s="39">
        <f t="shared" si="117"/>
        <v>1.6134946828016469E-3</v>
      </c>
      <c r="W598" s="40" cm="1">
        <f t="array" ref="W598">IF(M598="","",SUMPRODUCT(M598:T598,TRANSPOSE('04_Dashboard'!$C$53:$C$60)))</f>
        <v>8.6918963921591829E-4</v>
      </c>
      <c r="X598" s="42">
        <f t="shared" si="118"/>
        <v>1.5980201727083339</v>
      </c>
      <c r="Y598" s="118">
        <f t="shared" si="119"/>
        <v>1.7884101009132485</v>
      </c>
      <c r="AA598" s="43">
        <f>IF(X598="","",X598/MAX($X$4:X598)-1)</f>
        <v>-1.8174236868969573E-2</v>
      </c>
      <c r="AB598" s="44">
        <f>IF(Y598="","",Y598/MAX($Y$4:Y598)-1)</f>
        <v>-1.6724739109420295E-2</v>
      </c>
    </row>
    <row r="599" spans="1:28" x14ac:dyDescent="0.45">
      <c r="A599" s="121">
        <v>46071</v>
      </c>
      <c r="B599" s="124">
        <v>686.29</v>
      </c>
      <c r="C599" s="124">
        <v>264.35000000000002</v>
      </c>
      <c r="D599" s="124">
        <v>399.6</v>
      </c>
      <c r="E599" s="124">
        <v>308.77999999999997</v>
      </c>
      <c r="F599" s="124">
        <v>150.68</v>
      </c>
      <c r="G599" s="124">
        <v>244.99</v>
      </c>
      <c r="H599" s="124">
        <v>204.79</v>
      </c>
      <c r="I599" s="124">
        <v>79.489999999999995</v>
      </c>
      <c r="J599" s="125">
        <v>126.62</v>
      </c>
      <c r="L599" s="39">
        <f t="shared" si="116"/>
        <v>5.0377095994727115E-3</v>
      </c>
      <c r="M599" s="40">
        <f t="shared" si="108"/>
        <v>1.7811126269517482E-3</v>
      </c>
      <c r="N599" s="40">
        <f t="shared" si="109"/>
        <v>6.9041979539384395E-3</v>
      </c>
      <c r="O599" s="40">
        <f t="shared" si="110"/>
        <v>5.372317910982246E-3</v>
      </c>
      <c r="P599" s="40">
        <f t="shared" si="111"/>
        <v>3.071345509268766E-2</v>
      </c>
      <c r="Q599" s="40">
        <f t="shared" si="112"/>
        <v>6.8220112604282105E-3</v>
      </c>
      <c r="R599" s="40">
        <f t="shared" si="113"/>
        <v>1.8095948297290512E-2</v>
      </c>
      <c r="S599" s="40">
        <f t="shared" si="114"/>
        <v>-8.7983911513332561E-4</v>
      </c>
      <c r="T599" s="41">
        <f t="shared" si="115"/>
        <v>-1.7306946061311525E-2</v>
      </c>
      <c r="V599" s="39">
        <f t="shared" si="117"/>
        <v>5.0377095994727115E-3</v>
      </c>
      <c r="W599" s="40" cm="1">
        <f t="array" ref="W599">IF(M599="","",SUMPRODUCT(M599:T599,TRANSPOSE('04_Dashboard'!$C$53:$C$60)))</f>
        <v>3.7972951895568672E-3</v>
      </c>
      <c r="X599" s="42">
        <f t="shared" si="118"/>
        <v>1.6060705342725377</v>
      </c>
      <c r="Y599" s="118">
        <f t="shared" si="119"/>
        <v>1.7952012219864013</v>
      </c>
      <c r="AA599" s="43">
        <f>IF(X599="","",X599/MAX($X$4:X599)-1)</f>
        <v>-1.3228083797034773E-2</v>
      </c>
      <c r="AB599" s="44">
        <f>IF(Y599="","",Y599/MAX($Y$4:Y599)-1)</f>
        <v>-1.2990952691230184E-2</v>
      </c>
    </row>
    <row r="600" spans="1:28" x14ac:dyDescent="0.45">
      <c r="A600" s="121">
        <v>46072</v>
      </c>
      <c r="B600" s="124">
        <v>684.48</v>
      </c>
      <c r="C600" s="124">
        <v>260.58</v>
      </c>
      <c r="D600" s="124">
        <v>398.46</v>
      </c>
      <c r="E600" s="124">
        <v>308.05</v>
      </c>
      <c r="F600" s="124">
        <v>150.97</v>
      </c>
      <c r="G600" s="124">
        <v>246.91</v>
      </c>
      <c r="H600" s="124">
        <v>204.86</v>
      </c>
      <c r="I600" s="124">
        <v>78.91</v>
      </c>
      <c r="J600" s="125">
        <v>124.87</v>
      </c>
      <c r="L600" s="39">
        <f t="shared" si="116"/>
        <v>-2.6373690422415385E-3</v>
      </c>
      <c r="M600" s="40">
        <f t="shared" si="108"/>
        <v>-1.426139587667879E-2</v>
      </c>
      <c r="N600" s="40">
        <f t="shared" si="109"/>
        <v>-2.8528528528529609E-3</v>
      </c>
      <c r="O600" s="40">
        <f t="shared" si="110"/>
        <v>-2.3641427553596781E-3</v>
      </c>
      <c r="P600" s="40">
        <f t="shared" si="111"/>
        <v>1.9246084417307674E-3</v>
      </c>
      <c r="Q600" s="40">
        <f t="shared" si="112"/>
        <v>7.8370545736560163E-3</v>
      </c>
      <c r="R600" s="40">
        <f t="shared" si="113"/>
        <v>3.4181356511558963E-4</v>
      </c>
      <c r="S600" s="40">
        <f t="shared" si="114"/>
        <v>-7.2965152849414809E-3</v>
      </c>
      <c r="T600" s="41">
        <f t="shared" si="115"/>
        <v>-1.3820881377349549E-2</v>
      </c>
      <c r="V600" s="39">
        <f t="shared" si="117"/>
        <v>-2.6373690422415385E-3</v>
      </c>
      <c r="W600" s="40" cm="1">
        <f t="array" ref="W600">IF(M600="","",SUMPRODUCT(M600:T600,TRANSPOSE('04_Dashboard'!$C$53:$C$60)))</f>
        <v>-2.4899685148444652E-3</v>
      </c>
      <c r="X600" s="42">
        <f t="shared" si="118"/>
        <v>1.601834733565791</v>
      </c>
      <c r="Y600" s="118">
        <f t="shared" si="119"/>
        <v>1.7907312274658447</v>
      </c>
      <c r="AA600" s="43">
        <f>IF(X600="","",X600/MAX($X$4:X600)-1)</f>
        <v>-1.5830565500581817E-2</v>
      </c>
      <c r="AB600" s="44">
        <f>IF(Y600="","",Y600/MAX($Y$4:Y600)-1)</f>
        <v>-1.5448574142895688E-2</v>
      </c>
    </row>
    <row r="601" spans="1:28" x14ac:dyDescent="0.45">
      <c r="A601" s="121">
        <v>46073</v>
      </c>
      <c r="B601" s="124">
        <v>689.43</v>
      </c>
      <c r="C601" s="124">
        <v>264.58</v>
      </c>
      <c r="D601" s="124">
        <v>397.23</v>
      </c>
      <c r="E601" s="124">
        <v>310.79000000000002</v>
      </c>
      <c r="F601" s="124">
        <v>147.28</v>
      </c>
      <c r="G601" s="124">
        <v>242.49</v>
      </c>
      <c r="H601" s="124">
        <v>210.11</v>
      </c>
      <c r="I601" s="124">
        <v>79.84</v>
      </c>
      <c r="J601" s="125">
        <v>122.99</v>
      </c>
      <c r="L601" s="39">
        <f t="shared" si="116"/>
        <v>7.2317671809255663E-3</v>
      </c>
      <c r="M601" s="40">
        <f t="shared" si="108"/>
        <v>1.5350372246526979E-2</v>
      </c>
      <c r="N601" s="40">
        <f t="shared" si="109"/>
        <v>-3.0868845053454836E-3</v>
      </c>
      <c r="O601" s="40">
        <f t="shared" si="110"/>
        <v>8.8946599577990875E-3</v>
      </c>
      <c r="P601" s="40">
        <f t="shared" si="111"/>
        <v>-2.4441942107703504E-2</v>
      </c>
      <c r="Q601" s="40">
        <f t="shared" si="112"/>
        <v>-1.7901259568263689E-2</v>
      </c>
      <c r="R601" s="40">
        <f t="shared" si="113"/>
        <v>2.5627257639363465E-2</v>
      </c>
      <c r="S601" s="40">
        <f t="shared" si="114"/>
        <v>1.1785578507160143E-2</v>
      </c>
      <c r="T601" s="41">
        <f t="shared" si="115"/>
        <v>-1.5055657884199644E-2</v>
      </c>
      <c r="V601" s="39">
        <f t="shared" si="117"/>
        <v>7.2317671809255663E-3</v>
      </c>
      <c r="W601" s="40" cm="1">
        <f t="array" ref="W601">IF(M601="","",SUMPRODUCT(M601:T601,TRANSPOSE('04_Dashboard'!$C$53:$C$60)))</f>
        <v>-1.3274641244802139E-3</v>
      </c>
      <c r="X601" s="42">
        <f t="shared" si="118"/>
        <v>1.6134188294212588</v>
      </c>
      <c r="Y601" s="118">
        <f t="shared" si="119"/>
        <v>1.7883540960047972</v>
      </c>
      <c r="AA601" s="43">
        <f>IF(X601="","",X601/MAX($X$4:X601)-1)</f>
        <v>-8.7132812836987483E-3</v>
      </c>
      <c r="AB601" s="44">
        <f>IF(Y601="","",Y601/MAX($Y$4:Y601)-1)</f>
        <v>-1.6755530839426935E-2</v>
      </c>
    </row>
    <row r="602" spans="1:28" x14ac:dyDescent="0.45">
      <c r="A602" s="121">
        <v>46076</v>
      </c>
      <c r="B602" s="124">
        <v>682.39</v>
      </c>
      <c r="C602" s="124">
        <v>266.18</v>
      </c>
      <c r="D602" s="124">
        <v>384.47</v>
      </c>
      <c r="E602" s="124">
        <v>297.67</v>
      </c>
      <c r="F602" s="124">
        <v>150.76</v>
      </c>
      <c r="G602" s="124">
        <v>245.84</v>
      </c>
      <c r="H602" s="124">
        <v>205.27</v>
      </c>
      <c r="I602" s="124">
        <v>80.56</v>
      </c>
      <c r="J602" s="125">
        <v>125.81</v>
      </c>
      <c r="L602" s="39">
        <f t="shared" si="116"/>
        <v>-1.0211334000551128E-2</v>
      </c>
      <c r="M602" s="40">
        <f t="shared" si="108"/>
        <v>6.0473202812004797E-3</v>
      </c>
      <c r="N602" s="40">
        <f t="shared" si="109"/>
        <v>-3.2122447952068048E-2</v>
      </c>
      <c r="O602" s="40">
        <f t="shared" si="110"/>
        <v>-4.2215000482641027E-2</v>
      </c>
      <c r="P602" s="40">
        <f t="shared" si="111"/>
        <v>2.3628462791960823E-2</v>
      </c>
      <c r="Q602" s="40">
        <f t="shared" si="112"/>
        <v>1.3815002680522884E-2</v>
      </c>
      <c r="R602" s="40">
        <f t="shared" si="113"/>
        <v>-2.3035552805673234E-2</v>
      </c>
      <c r="S602" s="40">
        <f t="shared" si="114"/>
        <v>9.0180360721442733E-3</v>
      </c>
      <c r="T602" s="41">
        <f t="shared" si="115"/>
        <v>2.2928693389706541E-2</v>
      </c>
      <c r="V602" s="39">
        <f t="shared" si="117"/>
        <v>-1.0211334000551128E-2</v>
      </c>
      <c r="W602" s="40" cm="1">
        <f t="array" ref="W602">IF(M602="","",SUMPRODUCT(M602:T602,TRANSPOSE('04_Dashboard'!$C$53:$C$60)))</f>
        <v>-4.6317269296270881E-3</v>
      </c>
      <c r="X602" s="42">
        <f t="shared" si="118"/>
        <v>1.5969436708712601</v>
      </c>
      <c r="Y602" s="118">
        <f t="shared" si="119"/>
        <v>1.7800709281786229</v>
      </c>
      <c r="AA602" s="43">
        <f>IF(X602="","",X602/MAX($X$4:X602)-1)</f>
        <v>-1.8835641058821295E-2</v>
      </c>
      <c r="AB602" s="44">
        <f>IF(Y602="","",Y602/MAX($Y$4:Y602)-1)</f>
        <v>-2.1309650725644835E-2</v>
      </c>
    </row>
    <row r="603" spans="1:28" x14ac:dyDescent="0.45">
      <c r="A603" s="121">
        <v>46077</v>
      </c>
      <c r="B603" s="124">
        <v>687.35</v>
      </c>
      <c r="C603" s="124">
        <v>272.14</v>
      </c>
      <c r="D603" s="124">
        <v>389</v>
      </c>
      <c r="E603" s="124">
        <v>297.3</v>
      </c>
      <c r="F603" s="124">
        <v>149.26</v>
      </c>
      <c r="G603" s="124">
        <v>246.28</v>
      </c>
      <c r="H603" s="124">
        <v>208.56</v>
      </c>
      <c r="I603" s="124">
        <v>80.72</v>
      </c>
      <c r="J603" s="125">
        <v>126.75</v>
      </c>
      <c r="L603" s="39">
        <f t="shared" si="116"/>
        <v>7.2685707586571261E-3</v>
      </c>
      <c r="M603" s="40">
        <f t="shared" si="108"/>
        <v>2.2390863325569086E-2</v>
      </c>
      <c r="N603" s="40">
        <f t="shared" si="109"/>
        <v>1.1782453767524053E-2</v>
      </c>
      <c r="O603" s="40">
        <f t="shared" si="110"/>
        <v>-1.2429872005912739E-3</v>
      </c>
      <c r="P603" s="40">
        <f t="shared" si="111"/>
        <v>-9.9495887503316532E-3</v>
      </c>
      <c r="Q603" s="40">
        <f t="shared" si="112"/>
        <v>1.7897819720143089E-3</v>
      </c>
      <c r="R603" s="40">
        <f t="shared" si="113"/>
        <v>1.602767087250934E-2</v>
      </c>
      <c r="S603" s="40">
        <f t="shared" si="114"/>
        <v>1.9860973187685771E-3</v>
      </c>
      <c r="T603" s="41">
        <f t="shared" si="115"/>
        <v>7.4715841348064358E-3</v>
      </c>
      <c r="V603" s="39">
        <f t="shared" si="117"/>
        <v>7.2685707586571261E-3</v>
      </c>
      <c r="W603" s="40" cm="1">
        <f t="array" ref="W603">IF(M603="","",SUMPRODUCT(M603:T603,TRANSPOSE('04_Dashboard'!$C$53:$C$60)))</f>
        <v>4.1663602367635021E-3</v>
      </c>
      <c r="X603" s="42">
        <f t="shared" si="118"/>
        <v>1.6085511689405774</v>
      </c>
      <c r="Y603" s="118">
        <f t="shared" si="119"/>
        <v>1.7874873449124049</v>
      </c>
      <c r="AA603" s="43">
        <f>IF(X603="","",X603/MAX($X$4:X603)-1)</f>
        <v>-1.1703978489984945E-2</v>
      </c>
      <c r="AB603" s="44">
        <f>IF(Y603="","",Y603/MAX($Y$4:Y603)-1)</f>
        <v>-1.7232074170324019E-2</v>
      </c>
    </row>
    <row r="604" spans="1:28" x14ac:dyDescent="0.45">
      <c r="A604" s="121">
        <v>46078</v>
      </c>
      <c r="B604" s="124">
        <v>693.15</v>
      </c>
      <c r="C604" s="124">
        <v>274.23</v>
      </c>
      <c r="D604" s="124">
        <v>400.6</v>
      </c>
      <c r="E604" s="124">
        <v>303.3</v>
      </c>
      <c r="F604" s="124">
        <v>149.06</v>
      </c>
      <c r="G604" s="124">
        <v>245.17</v>
      </c>
      <c r="H604" s="124">
        <v>210.64</v>
      </c>
      <c r="I604" s="124">
        <v>80.47</v>
      </c>
      <c r="J604" s="125">
        <v>125.75</v>
      </c>
      <c r="L604" s="39">
        <f t="shared" si="116"/>
        <v>8.4382046992070338E-3</v>
      </c>
      <c r="M604" s="40">
        <f t="shared" si="108"/>
        <v>7.679870654810142E-3</v>
      </c>
      <c r="N604" s="40">
        <f t="shared" si="109"/>
        <v>2.9820051413881807E-2</v>
      </c>
      <c r="O604" s="40">
        <f t="shared" si="110"/>
        <v>2.0181634712411703E-2</v>
      </c>
      <c r="P604" s="40">
        <f t="shared" si="111"/>
        <v>-1.3399437223635847E-3</v>
      </c>
      <c r="Q604" s="40">
        <f t="shared" si="112"/>
        <v>-4.5070651291213805E-3</v>
      </c>
      <c r="R604" s="40">
        <f t="shared" si="113"/>
        <v>9.9731492136554672E-3</v>
      </c>
      <c r="S604" s="40">
        <f t="shared" si="114"/>
        <v>-3.0971258671952428E-3</v>
      </c>
      <c r="T604" s="41">
        <f t="shared" si="115"/>
        <v>-7.889546351084813E-3</v>
      </c>
      <c r="V604" s="39">
        <f t="shared" si="117"/>
        <v>8.4382046992070338E-3</v>
      </c>
      <c r="W604" s="40" cm="1">
        <f t="array" ref="W604">IF(M604="","",SUMPRODUCT(M604:T604,TRANSPOSE('04_Dashboard'!$C$53:$C$60)))</f>
        <v>5.2987649715907905E-3</v>
      </c>
      <c r="X604" s="42">
        <f t="shared" si="118"/>
        <v>1.6221244529732468</v>
      </c>
      <c r="Y604" s="118">
        <f t="shared" si="119"/>
        <v>1.7969588202427886</v>
      </c>
      <c r="AA604" s="43">
        <f>IF(X604="","",X604/MAX($X$4:X604)-1)</f>
        <v>-3.3645343570715136E-3</v>
      </c>
      <c r="AB604" s="44">
        <f>IF(Y604="","",Y604/MAX($Y$4:Y604)-1)</f>
        <v>-1.2024617909734747E-2</v>
      </c>
    </row>
    <row r="605" spans="1:28" x14ac:dyDescent="0.45">
      <c r="A605" s="121">
        <v>46079</v>
      </c>
      <c r="B605" s="124">
        <v>689.3</v>
      </c>
      <c r="C605" s="124">
        <v>272.95</v>
      </c>
      <c r="D605" s="124">
        <v>401.72</v>
      </c>
      <c r="E605" s="124">
        <v>306.13</v>
      </c>
      <c r="F605" s="124">
        <v>148.54</v>
      </c>
      <c r="G605" s="124">
        <v>243.47</v>
      </c>
      <c r="H605" s="124">
        <v>207.92</v>
      </c>
      <c r="I605" s="124">
        <v>80.5</v>
      </c>
      <c r="J605" s="125">
        <v>124.42</v>
      </c>
      <c r="L605" s="39">
        <f t="shared" si="116"/>
        <v>-5.5543533145784073E-3</v>
      </c>
      <c r="M605" s="40">
        <f t="shared" si="108"/>
        <v>-4.6676147759181323E-3</v>
      </c>
      <c r="N605" s="40">
        <f t="shared" si="109"/>
        <v>2.7958062905641648E-3</v>
      </c>
      <c r="O605" s="40">
        <f t="shared" si="110"/>
        <v>9.3306956808439957E-3</v>
      </c>
      <c r="P605" s="40">
        <f t="shared" si="111"/>
        <v>-3.4885281094861817E-3</v>
      </c>
      <c r="Q605" s="40">
        <f t="shared" si="112"/>
        <v>-6.9339641881143235E-3</v>
      </c>
      <c r="R605" s="40">
        <f t="shared" si="113"/>
        <v>-1.2913026965438659E-2</v>
      </c>
      <c r="S605" s="40">
        <f t="shared" si="114"/>
        <v>3.7280974276129164E-4</v>
      </c>
      <c r="T605" s="41">
        <f t="shared" si="115"/>
        <v>-1.0576540755467182E-2</v>
      </c>
      <c r="V605" s="39">
        <f t="shared" si="117"/>
        <v>-5.5543533145784073E-3</v>
      </c>
      <c r="W605" s="40" cm="1">
        <f t="array" ref="W605">IF(M605="","",SUMPRODUCT(M605:T605,TRANSPOSE('04_Dashboard'!$C$53:$C$60)))</f>
        <v>-2.0558673618415123E-3</v>
      </c>
      <c r="X605" s="42">
        <f t="shared" si="118"/>
        <v>1.613114600641216</v>
      </c>
      <c r="Y605" s="118">
        <f t="shared" si="119"/>
        <v>1.7932645112536783</v>
      </c>
      <c r="AA605" s="43">
        <f>IF(X605="","",X605/MAX($X$4:X605)-1)</f>
        <v>-8.9001998590918507E-3</v>
      </c>
      <c r="AB605" s="44">
        <f>IF(Y605="","",Y605/MAX($Y$4:Y605)-1)</f>
        <v>-1.4055764252077108E-2</v>
      </c>
    </row>
    <row r="606" spans="1:28" x14ac:dyDescent="0.45">
      <c r="A606" s="121">
        <v>46080</v>
      </c>
      <c r="B606" s="124">
        <v>685.99</v>
      </c>
      <c r="C606" s="124">
        <v>264.18</v>
      </c>
      <c r="D606" s="124">
        <v>392.74</v>
      </c>
      <c r="E606" s="124">
        <v>300.3</v>
      </c>
      <c r="F606" s="124">
        <v>152.5</v>
      </c>
      <c r="G606" s="124">
        <v>248.43</v>
      </c>
      <c r="H606" s="124">
        <v>210</v>
      </c>
      <c r="I606" s="124">
        <v>81.56</v>
      </c>
      <c r="J606" s="125">
        <v>127.95</v>
      </c>
      <c r="L606" s="39">
        <f t="shared" si="116"/>
        <v>-4.8019730161032144E-3</v>
      </c>
      <c r="M606" s="40">
        <f t="shared" si="108"/>
        <v>-3.2130426818098488E-2</v>
      </c>
      <c r="N606" s="40">
        <f t="shared" si="109"/>
        <v>-2.235387832321024E-2</v>
      </c>
      <c r="O606" s="40">
        <f t="shared" si="110"/>
        <v>-1.9044196909809505E-2</v>
      </c>
      <c r="P606" s="40">
        <f t="shared" si="111"/>
        <v>2.6659485660428223E-2</v>
      </c>
      <c r="Q606" s="40">
        <f t="shared" si="112"/>
        <v>2.0372119768349316E-2</v>
      </c>
      <c r="R606" s="40">
        <f t="shared" si="113"/>
        <v>1.0003847633705333E-2</v>
      </c>
      <c r="S606" s="40">
        <f t="shared" si="114"/>
        <v>1.3167701863354066E-2</v>
      </c>
      <c r="T606" s="41">
        <f t="shared" si="115"/>
        <v>2.8371644430155933E-2</v>
      </c>
      <c r="V606" s="39">
        <f t="shared" si="117"/>
        <v>-4.8019730161032144E-3</v>
      </c>
      <c r="W606" s="40" cm="1">
        <f t="array" ref="W606">IF(M606="","",SUMPRODUCT(M606:T606,TRANSPOSE('04_Dashboard'!$C$53:$C$60)))</f>
        <v>4.8986668245807581E-3</v>
      </c>
      <c r="X606" s="42">
        <f t="shared" si="118"/>
        <v>1.6053684678570548</v>
      </c>
      <c r="Y606" s="118">
        <f t="shared" si="119"/>
        <v>1.8020491166226547</v>
      </c>
      <c r="AA606" s="43">
        <f>IF(X606="","",X606/MAX($X$4:X606)-1)</f>
        <v>-1.3659434355633771E-2</v>
      </c>
      <c r="AB606" s="44">
        <f>IF(Y606="","",Y606/MAX($Y$4:Y606)-1)</f>
        <v>-9.2259519335321505E-3</v>
      </c>
    </row>
    <row r="607" spans="1:28" x14ac:dyDescent="0.45">
      <c r="A607" s="121">
        <v>46083</v>
      </c>
      <c r="B607" s="124">
        <v>686.38</v>
      </c>
      <c r="C607" s="124">
        <v>264.72000000000003</v>
      </c>
      <c r="D607" s="124">
        <v>398.55</v>
      </c>
      <c r="E607" s="124">
        <v>297.56</v>
      </c>
      <c r="F607" s="124">
        <v>154.22</v>
      </c>
      <c r="G607" s="124">
        <v>248.56</v>
      </c>
      <c r="H607" s="124">
        <v>208.39</v>
      </c>
      <c r="I607" s="124">
        <v>80.22</v>
      </c>
      <c r="J607" s="125">
        <v>127.1</v>
      </c>
      <c r="L607" s="39">
        <f t="shared" si="116"/>
        <v>5.6852140701757513E-4</v>
      </c>
      <c r="M607" s="40">
        <f t="shared" si="108"/>
        <v>2.0440608675903566E-3</v>
      </c>
      <c r="N607" s="40">
        <f t="shared" si="109"/>
        <v>1.4793502062433168E-2</v>
      </c>
      <c r="O607" s="40">
        <f t="shared" si="110"/>
        <v>-9.1242091242091546E-3</v>
      </c>
      <c r="P607" s="40">
        <f t="shared" si="111"/>
        <v>1.1278688524590156E-2</v>
      </c>
      <c r="Q607" s="40">
        <f t="shared" si="112"/>
        <v>5.2328623757193357E-4</v>
      </c>
      <c r="R607" s="40">
        <f t="shared" si="113"/>
        <v>-7.6666666666667313E-3</v>
      </c>
      <c r="S607" s="40">
        <f t="shared" si="114"/>
        <v>-1.6429622363903915E-2</v>
      </c>
      <c r="T607" s="41">
        <f t="shared" si="115"/>
        <v>-6.6432200078156197E-3</v>
      </c>
      <c r="V607" s="39">
        <f t="shared" si="117"/>
        <v>5.6852140701757513E-4</v>
      </c>
      <c r="W607" s="40" cm="1">
        <f t="array" ref="W607">IF(M607="","",SUMPRODUCT(M607:T607,TRANSPOSE('04_Dashboard'!$C$53:$C$60)))</f>
        <v>-4.1203525822344021E-3</v>
      </c>
      <c r="X607" s="42">
        <f t="shared" si="118"/>
        <v>1.6062811541971826</v>
      </c>
      <c r="Y607" s="118">
        <f t="shared" si="119"/>
        <v>1.7946240388916652</v>
      </c>
      <c r="AA607" s="43">
        <f>IF(X607="","",X607/MAX($X$4:X607)-1)</f>
        <v>-1.3098678629455018E-2</v>
      </c>
      <c r="AB607" s="44">
        <f>IF(Y607="","",Y607/MAX($Y$4:Y607)-1)</f>
        <v>-1.3308290340893647E-2</v>
      </c>
    </row>
    <row r="608" spans="1:28" x14ac:dyDescent="0.45">
      <c r="A608" s="121">
        <v>46084</v>
      </c>
      <c r="B608" s="124">
        <v>680.33</v>
      </c>
      <c r="C608" s="124">
        <v>263.75</v>
      </c>
      <c r="D608" s="124">
        <v>403.93</v>
      </c>
      <c r="E608" s="124">
        <v>300.26</v>
      </c>
      <c r="F608" s="124">
        <v>151.83000000000001</v>
      </c>
      <c r="G608" s="124">
        <v>246.75</v>
      </c>
      <c r="H608" s="124">
        <v>208.73</v>
      </c>
      <c r="I608" s="124">
        <v>79.34</v>
      </c>
      <c r="J608" s="125">
        <v>127.91</v>
      </c>
      <c r="L608" s="39">
        <f t="shared" si="116"/>
        <v>-8.8143593927561322E-3</v>
      </c>
      <c r="M608" s="40">
        <f t="shared" si="108"/>
        <v>-3.6642490178302629E-3</v>
      </c>
      <c r="N608" s="40">
        <f t="shared" si="109"/>
        <v>1.3498933634424778E-2</v>
      </c>
      <c r="O608" s="40">
        <f t="shared" si="110"/>
        <v>9.0738002419679682E-3</v>
      </c>
      <c r="P608" s="40">
        <f t="shared" si="111"/>
        <v>-1.54973414602515E-2</v>
      </c>
      <c r="Q608" s="40">
        <f t="shared" si="112"/>
        <v>-7.281943997425178E-3</v>
      </c>
      <c r="R608" s="40">
        <f t="shared" si="113"/>
        <v>1.6315562167090716E-3</v>
      </c>
      <c r="S608" s="40">
        <f t="shared" si="114"/>
        <v>-1.0969832959361698E-2</v>
      </c>
      <c r="T608" s="41">
        <f t="shared" si="115"/>
        <v>6.3729346970889241E-3</v>
      </c>
      <c r="V608" s="39">
        <f t="shared" si="117"/>
        <v>-8.8143593927561322E-3</v>
      </c>
      <c r="W608" s="40" cm="1">
        <f t="array" ref="W608">IF(M608="","",SUMPRODUCT(M608:T608,TRANSPOSE('04_Dashboard'!$C$53:$C$60)))</f>
        <v>-1.5265685903542681E-4</v>
      </c>
      <c r="X608" s="42">
        <f t="shared" si="118"/>
        <v>1.5921228148182776</v>
      </c>
      <c r="Y608" s="118">
        <f t="shared" si="119"/>
        <v>1.7943500772227385</v>
      </c>
      <c r="AA608" s="43">
        <f>IF(X608="","",X608/MAX($X$4:X608)-1)</f>
        <v>-2.1797581561200929E-2</v>
      </c>
      <c r="AB608" s="44">
        <f>IF(Y608="","",Y608/MAX($Y$4:Y608)-1)</f>
        <v>-1.3458915598126509E-2</v>
      </c>
    </row>
    <row r="609" spans="1:28" x14ac:dyDescent="0.45">
      <c r="A609" s="121">
        <v>46085</v>
      </c>
      <c r="B609" s="124">
        <v>685.13</v>
      </c>
      <c r="C609" s="124">
        <v>262.52</v>
      </c>
      <c r="D609" s="124">
        <v>405.2</v>
      </c>
      <c r="E609" s="124">
        <v>299.39</v>
      </c>
      <c r="F609" s="124">
        <v>149.82</v>
      </c>
      <c r="G609" s="124">
        <v>245.3</v>
      </c>
      <c r="H609" s="124">
        <v>216.82</v>
      </c>
      <c r="I609" s="124">
        <v>78.099999999999994</v>
      </c>
      <c r="J609" s="125">
        <v>127.81</v>
      </c>
      <c r="L609" s="39">
        <f t="shared" si="116"/>
        <v>7.0553995854952074E-3</v>
      </c>
      <c r="M609" s="40">
        <f t="shared" si="108"/>
        <v>-4.6635071090048085E-3</v>
      </c>
      <c r="N609" s="40">
        <f t="shared" si="109"/>
        <v>3.1441091278191315E-3</v>
      </c>
      <c r="O609" s="40">
        <f t="shared" si="110"/>
        <v>-2.8974888430027463E-3</v>
      </c>
      <c r="P609" s="40">
        <f t="shared" si="111"/>
        <v>-1.323849041691378E-2</v>
      </c>
      <c r="Q609" s="40">
        <f t="shared" si="112"/>
        <v>-5.8763931104356178E-3</v>
      </c>
      <c r="R609" s="40">
        <f t="shared" si="113"/>
        <v>3.8758204378862661E-2</v>
      </c>
      <c r="S609" s="40">
        <f t="shared" si="114"/>
        <v>-1.5628938744643422E-2</v>
      </c>
      <c r="T609" s="41">
        <f t="shared" si="115"/>
        <v>-7.8179970291606846E-4</v>
      </c>
      <c r="V609" s="39">
        <f t="shared" si="117"/>
        <v>7.0553995854952074E-3</v>
      </c>
      <c r="W609" s="40" cm="1">
        <f t="array" ref="W609">IF(M609="","",SUMPRODUCT(M609:T609,TRANSPOSE('04_Dashboard'!$C$53:$C$60)))</f>
        <v>-2.2145224921041469E-3</v>
      </c>
      <c r="X609" s="42">
        <f t="shared" si="118"/>
        <v>1.6033558774660039</v>
      </c>
      <c r="Y609" s="118">
        <f t="shared" si="119"/>
        <v>1.7903764486180198</v>
      </c>
      <c r="AA609" s="43">
        <f>IF(X609="","",X609/MAX($X$4:X609)-1)</f>
        <v>-1.4895972623617415E-2</v>
      </c>
      <c r="AB609" s="44">
        <f>IF(Y609="","",Y609/MAX($Y$4:Y609)-1)</f>
        <v>-1.5643633018919356E-2</v>
      </c>
    </row>
    <row r="610" spans="1:28" x14ac:dyDescent="0.45">
      <c r="A610" s="121">
        <v>46086</v>
      </c>
      <c r="B610" s="124">
        <v>681.31</v>
      </c>
      <c r="C610" s="124">
        <v>260.29000000000002</v>
      </c>
      <c r="D610" s="124">
        <v>410.68</v>
      </c>
      <c r="E610" s="124">
        <v>293.55</v>
      </c>
      <c r="F610" s="124">
        <v>150.76</v>
      </c>
      <c r="G610" s="124">
        <v>239.63</v>
      </c>
      <c r="H610" s="124">
        <v>218.94</v>
      </c>
      <c r="I610" s="124">
        <v>77.03</v>
      </c>
      <c r="J610" s="125">
        <v>123.31</v>
      </c>
      <c r="L610" s="39">
        <f t="shared" si="116"/>
        <v>-5.575584195700159E-3</v>
      </c>
      <c r="M610" s="40">
        <f t="shared" si="108"/>
        <v>-8.4945908883131242E-3</v>
      </c>
      <c r="N610" s="40">
        <f t="shared" si="109"/>
        <v>1.3524185587364309E-2</v>
      </c>
      <c r="O610" s="40">
        <f t="shared" si="110"/>
        <v>-1.9506329536724591E-2</v>
      </c>
      <c r="P610" s="40">
        <f t="shared" si="111"/>
        <v>6.2741957015084622E-3</v>
      </c>
      <c r="Q610" s="40">
        <f t="shared" si="112"/>
        <v>-2.3114553607827215E-2</v>
      </c>
      <c r="R610" s="40">
        <f t="shared" si="113"/>
        <v>9.7776957845217439E-3</v>
      </c>
      <c r="S610" s="40">
        <f t="shared" si="114"/>
        <v>-1.3700384122919247E-2</v>
      </c>
      <c r="T610" s="41">
        <f t="shared" si="115"/>
        <v>-3.5208512635943975E-2</v>
      </c>
      <c r="V610" s="39">
        <f t="shared" si="117"/>
        <v>-5.575584195700159E-3</v>
      </c>
      <c r="W610" s="40" cm="1">
        <f t="array" ref="W610">IF(M610="","",SUMPRODUCT(M610:T610,TRANSPOSE('04_Dashboard'!$C$53:$C$60)))</f>
        <v>-1.5456139179341685E-2</v>
      </c>
      <c r="X610" s="42">
        <f t="shared" si="118"/>
        <v>1.5944162317755215</v>
      </c>
      <c r="Y610" s="118">
        <f t="shared" si="119"/>
        <v>1.7627041410447644</v>
      </c>
      <c r="AA610" s="43">
        <f>IF(X610="","",X610/MAX($X$4:X610)-1)</f>
        <v>-2.0388503069777686E-2</v>
      </c>
      <c r="AB610" s="44">
        <f>IF(Y610="","",Y610/MAX($Y$4:Y610)-1)</f>
        <v>-3.0857982029049991E-2</v>
      </c>
    </row>
    <row r="611" spans="1:28" x14ac:dyDescent="0.45">
      <c r="A611" s="121">
        <v>46087</v>
      </c>
      <c r="B611" s="124">
        <v>672.38</v>
      </c>
      <c r="C611" s="124">
        <v>257.45999999999998</v>
      </c>
      <c r="D611" s="124">
        <v>408.96</v>
      </c>
      <c r="E611" s="124">
        <v>289.48</v>
      </c>
      <c r="F611" s="124">
        <v>151.21</v>
      </c>
      <c r="G611" s="124">
        <v>240.4</v>
      </c>
      <c r="H611" s="124">
        <v>213.21</v>
      </c>
      <c r="I611" s="124">
        <v>77.040000000000006</v>
      </c>
      <c r="J611" s="125">
        <v>123.8</v>
      </c>
      <c r="L611" s="39">
        <f t="shared" si="116"/>
        <v>-1.3107102493725251E-2</v>
      </c>
      <c r="M611" s="40">
        <f t="shared" si="108"/>
        <v>-1.0872488378347384E-2</v>
      </c>
      <c r="N611" s="40">
        <f t="shared" si="109"/>
        <v>-4.1881757085809566E-3</v>
      </c>
      <c r="O611" s="40">
        <f t="shared" si="110"/>
        <v>-1.3864758984840719E-2</v>
      </c>
      <c r="P611" s="40">
        <f t="shared" si="111"/>
        <v>2.9848766250996093E-3</v>
      </c>
      <c r="Q611" s="40">
        <f t="shared" si="112"/>
        <v>3.2132871510245388E-3</v>
      </c>
      <c r="R611" s="40">
        <f t="shared" si="113"/>
        <v>-2.6171553850369917E-2</v>
      </c>
      <c r="S611" s="40">
        <f t="shared" si="114"/>
        <v>1.2981955082442057E-4</v>
      </c>
      <c r="T611" s="41">
        <f t="shared" si="115"/>
        <v>3.9737247587380981E-3</v>
      </c>
      <c r="V611" s="39">
        <f t="shared" si="117"/>
        <v>-1.3107102493725251E-2</v>
      </c>
      <c r="W611" s="40" cm="1">
        <f t="array" ref="W611">IF(M611="","",SUMPRODUCT(M611:T611,TRANSPOSE('04_Dashboard'!$C$53:$C$60)))</f>
        <v>-4.6082336329366317E-3</v>
      </c>
      <c r="X611" s="42">
        <f t="shared" si="118"/>
        <v>1.5735180548079806</v>
      </c>
      <c r="Y611" s="118">
        <f t="shared" si="119"/>
        <v>1.7545811885370852</v>
      </c>
      <c r="AA611" s="43">
        <f>IF(X611="","",X611/MAX($X$4:X611)-1)</f>
        <v>-3.322837136407375E-2</v>
      </c>
      <c r="AB611" s="44">
        <f>IF(Y611="","",Y611/MAX($Y$4:Y611)-1)</f>
        <v>-3.5324014871355836E-2</v>
      </c>
    </row>
    <row r="612" spans="1:28" x14ac:dyDescent="0.45">
      <c r="A612" s="121">
        <v>46090</v>
      </c>
      <c r="B612" s="124">
        <v>678.27</v>
      </c>
      <c r="C612" s="124">
        <v>259.88</v>
      </c>
      <c r="D612" s="124">
        <v>409.41</v>
      </c>
      <c r="E612" s="124">
        <v>289.92</v>
      </c>
      <c r="F612" s="124">
        <v>150.44</v>
      </c>
      <c r="G612" s="124">
        <v>242.59</v>
      </c>
      <c r="H612" s="124">
        <v>213.49</v>
      </c>
      <c r="I612" s="124">
        <v>77.8</v>
      </c>
      <c r="J612" s="125">
        <v>124.34</v>
      </c>
      <c r="L612" s="39">
        <f t="shared" si="116"/>
        <v>8.7599274219934947E-3</v>
      </c>
      <c r="M612" s="40">
        <f t="shared" si="108"/>
        <v>9.3995183717859709E-3</v>
      </c>
      <c r="N612" s="40">
        <f t="shared" si="109"/>
        <v>1.1003521126761676E-3</v>
      </c>
      <c r="O612" s="40">
        <f t="shared" si="110"/>
        <v>1.519966837087183E-3</v>
      </c>
      <c r="P612" s="40">
        <f t="shared" si="111"/>
        <v>-5.0922558031876869E-3</v>
      </c>
      <c r="Q612" s="40">
        <f t="shared" si="112"/>
        <v>9.1098169717138012E-3</v>
      </c>
      <c r="R612" s="40">
        <f t="shared" si="113"/>
        <v>1.3132592279911878E-3</v>
      </c>
      <c r="S612" s="40">
        <f t="shared" si="114"/>
        <v>9.8650051921078778E-3</v>
      </c>
      <c r="T612" s="41">
        <f t="shared" si="115"/>
        <v>4.3618739903069975E-3</v>
      </c>
      <c r="V612" s="39">
        <f t="shared" si="117"/>
        <v>8.7599274219934947E-3</v>
      </c>
      <c r="W612" s="40" cm="1">
        <f t="array" ref="W612">IF(M612="","",SUMPRODUCT(M612:T612,TRANSPOSE('04_Dashboard'!$C$53:$C$60)))</f>
        <v>4.9404673403018904E-3</v>
      </c>
      <c r="X612" s="42">
        <f t="shared" si="118"/>
        <v>1.5873019587652948</v>
      </c>
      <c r="Y612" s="118">
        <f t="shared" si="119"/>
        <v>1.7632496395949608</v>
      </c>
      <c r="AA612" s="43">
        <f>IF(X612="","",X612/MAX($X$4:X612)-1)</f>
        <v>-2.4759522063580675E-2</v>
      </c>
      <c r="AB612" s="44">
        <f>IF(Y612="","",Y612/MAX($Y$4:Y612)-1)</f>
        <v>-3.0558064672854157E-2</v>
      </c>
    </row>
    <row r="613" spans="1:28" x14ac:dyDescent="0.45">
      <c r="A613" s="121">
        <v>46091</v>
      </c>
      <c r="B613" s="124">
        <v>677.18</v>
      </c>
      <c r="C613" s="124">
        <v>260.83</v>
      </c>
      <c r="D613" s="124">
        <v>405.76</v>
      </c>
      <c r="E613" s="124">
        <v>288.73</v>
      </c>
      <c r="F613" s="124">
        <v>148.13</v>
      </c>
      <c r="G613" s="124">
        <v>243.71</v>
      </c>
      <c r="H613" s="124">
        <v>214.33</v>
      </c>
      <c r="I613" s="124">
        <v>77.88</v>
      </c>
      <c r="J613" s="125">
        <v>125.12</v>
      </c>
      <c r="L613" s="39">
        <f t="shared" si="116"/>
        <v>-1.6070296489599006E-3</v>
      </c>
      <c r="M613" s="40">
        <f t="shared" si="108"/>
        <v>3.6555333230721436E-3</v>
      </c>
      <c r="N613" s="40">
        <f t="shared" si="109"/>
        <v>-8.915268312938214E-3</v>
      </c>
      <c r="O613" s="40">
        <f t="shared" si="110"/>
        <v>-4.1045805739514272E-3</v>
      </c>
      <c r="P613" s="40">
        <f t="shared" si="111"/>
        <v>-1.5354958787556517E-2</v>
      </c>
      <c r="Q613" s="40">
        <f t="shared" si="112"/>
        <v>4.616843233439155E-3</v>
      </c>
      <c r="R613" s="40">
        <f t="shared" si="113"/>
        <v>3.9346105203990978E-3</v>
      </c>
      <c r="S613" s="40">
        <f t="shared" si="114"/>
        <v>1.0282776349614176E-3</v>
      </c>
      <c r="T613" s="41">
        <f t="shared" si="115"/>
        <v>6.2731220846067321E-3</v>
      </c>
      <c r="V613" s="39">
        <f t="shared" si="117"/>
        <v>-1.6070296489599006E-3</v>
      </c>
      <c r="W613" s="40" cm="1">
        <f t="array" ref="W613">IF(M613="","",SUMPRODUCT(M613:T613,TRANSPOSE('04_Dashboard'!$C$53:$C$60)))</f>
        <v>2.6144983799482205E-4</v>
      </c>
      <c r="X613" s="42">
        <f t="shared" si="118"/>
        <v>1.584751117455707</v>
      </c>
      <c r="Y613" s="118">
        <f t="shared" si="119"/>
        <v>1.7637106409275776</v>
      </c>
      <c r="AA613" s="43">
        <f>IF(X613="","",X613/MAX($X$4:X613)-1)</f>
        <v>-2.6326762426490236E-2</v>
      </c>
      <c r="AB613" s="44">
        <f>IF(Y613="","",Y613/MAX($Y$4:Y613)-1)</f>
        <v>-3.0304604235917298E-2</v>
      </c>
    </row>
    <row r="614" spans="1:28" x14ac:dyDescent="0.45">
      <c r="A614" s="121">
        <v>46092</v>
      </c>
      <c r="B614" s="124">
        <v>676.33</v>
      </c>
      <c r="C614" s="124">
        <v>260.81</v>
      </c>
      <c r="D614" s="124">
        <v>404.88</v>
      </c>
      <c r="E614" s="124">
        <v>287.52</v>
      </c>
      <c r="F614" s="124">
        <v>151.58000000000001</v>
      </c>
      <c r="G614" s="124">
        <v>242.99</v>
      </c>
      <c r="H614" s="124">
        <v>212.65</v>
      </c>
      <c r="I614" s="124">
        <v>77.63</v>
      </c>
      <c r="J614" s="125">
        <v>123.49</v>
      </c>
      <c r="L614" s="39">
        <f t="shared" si="116"/>
        <v>-1.255205410673542E-3</v>
      </c>
      <c r="M614" s="40">
        <f t="shared" si="108"/>
        <v>-7.6678296208188525E-5</v>
      </c>
      <c r="N614" s="40">
        <f t="shared" si="109"/>
        <v>-2.1687697160883168E-3</v>
      </c>
      <c r="O614" s="40">
        <f t="shared" si="110"/>
        <v>-4.1907664600146725E-3</v>
      </c>
      <c r="P614" s="40">
        <f t="shared" si="111"/>
        <v>2.3290353068250978E-2</v>
      </c>
      <c r="Q614" s="40">
        <f t="shared" si="112"/>
        <v>-2.9543309671330631E-3</v>
      </c>
      <c r="R614" s="40">
        <f t="shared" si="113"/>
        <v>-7.8383800681192869E-3</v>
      </c>
      <c r="S614" s="40">
        <f t="shared" si="114"/>
        <v>-3.2100667693888037E-3</v>
      </c>
      <c r="T614" s="41">
        <f t="shared" si="115"/>
        <v>-1.3027493606138184E-2</v>
      </c>
      <c r="V614" s="39">
        <f t="shared" si="117"/>
        <v>-1.255205410673542E-3</v>
      </c>
      <c r="W614" s="40" cm="1">
        <f t="array" ref="W614">IF(M614="","",SUMPRODUCT(M614:T614,TRANSPOSE('04_Dashboard'!$C$53:$C$60)))</f>
        <v>-3.523051107252928E-3</v>
      </c>
      <c r="X614" s="42">
        <f t="shared" si="118"/>
        <v>1.5827619292785056</v>
      </c>
      <c r="Y614" s="118">
        <f t="shared" si="119"/>
        <v>1.7574969982011839</v>
      </c>
      <c r="AA614" s="43">
        <f>IF(X614="","",X614/MAX($X$4:X614)-1)</f>
        <v>-2.7548922342520488E-2</v>
      </c>
      <c r="AB614" s="44">
        <f>IF(Y614="","",Y614/MAX($Y$4:Y614)-1)</f>
        <v>-3.3720890673662129E-2</v>
      </c>
    </row>
    <row r="615" spans="1:28" x14ac:dyDescent="0.45">
      <c r="A615" s="121">
        <v>46093</v>
      </c>
      <c r="B615" s="124">
        <v>666.06</v>
      </c>
      <c r="C615" s="124">
        <v>255.76</v>
      </c>
      <c r="D615" s="124">
        <v>401.86</v>
      </c>
      <c r="E615" s="124">
        <v>282.89</v>
      </c>
      <c r="F615" s="124">
        <v>153.53</v>
      </c>
      <c r="G615" s="124">
        <v>242.04</v>
      </c>
      <c r="H615" s="124">
        <v>209.53</v>
      </c>
      <c r="I615" s="124">
        <v>77.61</v>
      </c>
      <c r="J615" s="125">
        <v>125.33</v>
      </c>
      <c r="L615" s="39">
        <f t="shared" si="116"/>
        <v>-1.5184894947732756E-2</v>
      </c>
      <c r="M615" s="40">
        <f t="shared" si="108"/>
        <v>-1.9362754495609875E-2</v>
      </c>
      <c r="N615" s="40">
        <f t="shared" si="109"/>
        <v>-7.4590001975893645E-3</v>
      </c>
      <c r="O615" s="40">
        <f t="shared" si="110"/>
        <v>-1.6103227601558138E-2</v>
      </c>
      <c r="P615" s="40">
        <f t="shared" si="111"/>
        <v>1.2864493996569392E-2</v>
      </c>
      <c r="Q615" s="40">
        <f t="shared" si="112"/>
        <v>-3.9096259105313672E-3</v>
      </c>
      <c r="R615" s="40">
        <f t="shared" si="113"/>
        <v>-1.4671996237949703E-2</v>
      </c>
      <c r="S615" s="40">
        <f t="shared" si="114"/>
        <v>-2.5763235862419196E-4</v>
      </c>
      <c r="T615" s="41">
        <f t="shared" si="115"/>
        <v>1.4899991902178342E-2</v>
      </c>
      <c r="V615" s="39">
        <f t="shared" si="117"/>
        <v>-1.5184894947732756E-2</v>
      </c>
      <c r="W615" s="40" cm="1">
        <f t="array" ref="W615">IF(M615="","",SUMPRODUCT(M615:T615,TRANSPOSE('04_Dashboard'!$C$53:$C$60)))</f>
        <v>-4.7163305474275437E-3</v>
      </c>
      <c r="X615" s="42">
        <f t="shared" si="118"/>
        <v>1.5587278556551405</v>
      </c>
      <c r="Y615" s="118">
        <f t="shared" si="119"/>
        <v>1.7492080614215553</v>
      </c>
      <c r="AA615" s="43">
        <f>IF(X615="","",X615/MAX($X$4:X615)-1)</f>
        <v>-4.2315489798558925E-2</v>
      </c>
      <c r="AB615" s="44">
        <f>IF(Y615="","",Y615/MAX($Y$4:Y615)-1)</f>
        <v>-3.8278182354319013E-2</v>
      </c>
    </row>
    <row r="616" spans="1:28" x14ac:dyDescent="0.45">
      <c r="A616" s="121">
        <v>46094</v>
      </c>
      <c r="B616" s="124">
        <v>662.29</v>
      </c>
      <c r="C616" s="124">
        <v>250.12</v>
      </c>
      <c r="D616" s="124">
        <v>395.55</v>
      </c>
      <c r="E616" s="124">
        <v>283.44</v>
      </c>
      <c r="F616" s="124">
        <v>156.12</v>
      </c>
      <c r="G616" s="124">
        <v>241.52</v>
      </c>
      <c r="H616" s="124">
        <v>207.67</v>
      </c>
      <c r="I616" s="124">
        <v>77.34</v>
      </c>
      <c r="J616" s="125">
        <v>126.52</v>
      </c>
      <c r="L616" s="39">
        <f t="shared" si="116"/>
        <v>-5.6601507371707984E-3</v>
      </c>
      <c r="M616" s="40">
        <f t="shared" si="108"/>
        <v>-2.2051923678448493E-2</v>
      </c>
      <c r="N616" s="40">
        <f t="shared" si="109"/>
        <v>-1.5701985766187233E-2</v>
      </c>
      <c r="O616" s="40">
        <f t="shared" si="110"/>
        <v>1.9442186008696363E-3</v>
      </c>
      <c r="P616" s="40">
        <f t="shared" si="111"/>
        <v>1.6869667166026205E-2</v>
      </c>
      <c r="Q616" s="40">
        <f t="shared" si="112"/>
        <v>-2.1484052222772343E-3</v>
      </c>
      <c r="R616" s="40">
        <f t="shared" si="113"/>
        <v>-8.8770104519639847E-3</v>
      </c>
      <c r="S616" s="40">
        <f t="shared" si="114"/>
        <v>-3.478933127174282E-3</v>
      </c>
      <c r="T616" s="41">
        <f t="shared" si="115"/>
        <v>9.4949333758876393E-3</v>
      </c>
      <c r="V616" s="39">
        <f t="shared" si="117"/>
        <v>-5.6601507371707984E-3</v>
      </c>
      <c r="W616" s="40" cm="1">
        <f t="array" ref="W616">IF(M616="","",SUMPRODUCT(M616:T616,TRANSPOSE('04_Dashboard'!$C$53:$C$60)))</f>
        <v>-1.3012974543439215E-3</v>
      </c>
      <c r="X616" s="42">
        <f t="shared" si="118"/>
        <v>1.5499052210339055</v>
      </c>
      <c r="Y616" s="118">
        <f t="shared" si="119"/>
        <v>1.7469318214241094</v>
      </c>
      <c r="AA616" s="43">
        <f>IF(X616="","",X616/MAX($X$4:X616)-1)</f>
        <v>-4.7736128484952678E-2</v>
      </c>
      <c r="AB616" s="44">
        <f>IF(Y616="","",Y616/MAX($Y$4:Y616)-1)</f>
        <v>-3.9529668507408466E-2</v>
      </c>
    </row>
    <row r="617" spans="1:28" x14ac:dyDescent="0.45">
      <c r="A617" s="121">
        <v>46097</v>
      </c>
      <c r="B617" s="124">
        <v>669.03</v>
      </c>
      <c r="C617" s="124">
        <v>252.82</v>
      </c>
      <c r="D617" s="124">
        <v>399.95</v>
      </c>
      <c r="E617" s="124">
        <v>286.16000000000003</v>
      </c>
      <c r="F617" s="124">
        <v>157.22999999999999</v>
      </c>
      <c r="G617" s="124">
        <v>243.19</v>
      </c>
      <c r="H617" s="124">
        <v>211.74</v>
      </c>
      <c r="I617" s="124">
        <v>77.819999999999993</v>
      </c>
      <c r="J617" s="125">
        <v>125.99</v>
      </c>
      <c r="L617" s="39">
        <f t="shared" si="116"/>
        <v>1.0176810762656856E-2</v>
      </c>
      <c r="M617" s="40">
        <f t="shared" si="108"/>
        <v>1.0794818487126134E-2</v>
      </c>
      <c r="N617" s="40">
        <f t="shared" si="109"/>
        <v>1.1123751738086151E-2</v>
      </c>
      <c r="O617" s="40">
        <f t="shared" si="110"/>
        <v>9.5963872424499972E-3</v>
      </c>
      <c r="P617" s="40">
        <f t="shared" si="111"/>
        <v>7.1099154496540177E-3</v>
      </c>
      <c r="Q617" s="40">
        <f t="shared" si="112"/>
        <v>6.9145412388207494E-3</v>
      </c>
      <c r="R617" s="40">
        <f t="shared" si="113"/>
        <v>1.9598401309770416E-2</v>
      </c>
      <c r="S617" s="40">
        <f t="shared" si="114"/>
        <v>6.2063615205584398E-3</v>
      </c>
      <c r="T617" s="41">
        <f t="shared" si="115"/>
        <v>-4.1890610180208756E-3</v>
      </c>
      <c r="V617" s="39">
        <f t="shared" si="117"/>
        <v>1.0176810762656856E-2</v>
      </c>
      <c r="W617" s="40" cm="1">
        <f t="array" ref="W617">IF(M617="","",SUMPRODUCT(M617:T617,TRANSPOSE('04_Dashboard'!$C$53:$C$60)))</f>
        <v>7.3460022650918069E-3</v>
      </c>
      <c r="X617" s="42">
        <f t="shared" si="118"/>
        <v>1.5656783131684213</v>
      </c>
      <c r="Y617" s="118">
        <f t="shared" si="119"/>
        <v>1.7597647865412518</v>
      </c>
      <c r="AA617" s="43">
        <f>IF(X617="","",X617/MAX($X$4:X617)-1)</f>
        <v>-3.8045119268429017E-2</v>
      </c>
      <c r="AB617" s="44">
        <f>IF(Y617="","",Y617/MAX($Y$4:Y617)-1)</f>
        <v>-3.2474051276710436E-2</v>
      </c>
    </row>
    <row r="618" spans="1:28" x14ac:dyDescent="0.45">
      <c r="A618" s="121">
        <v>46098</v>
      </c>
      <c r="B618" s="124">
        <v>670.79</v>
      </c>
      <c r="C618" s="124">
        <v>254.23</v>
      </c>
      <c r="D618" s="124">
        <v>399.41</v>
      </c>
      <c r="E618" s="124">
        <v>286.89</v>
      </c>
      <c r="F618" s="124">
        <v>158.81</v>
      </c>
      <c r="G618" s="124">
        <v>238.11</v>
      </c>
      <c r="H618" s="124">
        <v>215.2</v>
      </c>
      <c r="I618" s="124">
        <v>77.58</v>
      </c>
      <c r="J618" s="125">
        <v>125.08</v>
      </c>
      <c r="L618" s="39">
        <f t="shared" si="116"/>
        <v>2.6306742597491757E-3</v>
      </c>
      <c r="M618" s="40">
        <f t="shared" si="108"/>
        <v>5.577090420061691E-3</v>
      </c>
      <c r="N618" s="40">
        <f t="shared" si="109"/>
        <v>-1.3501687710962961E-3</v>
      </c>
      <c r="O618" s="40">
        <f t="shared" si="110"/>
        <v>2.5510204081631298E-3</v>
      </c>
      <c r="P618" s="40">
        <f t="shared" si="111"/>
        <v>1.0048972842332969E-2</v>
      </c>
      <c r="Q618" s="40">
        <f t="shared" si="112"/>
        <v>-2.0889016818125682E-2</v>
      </c>
      <c r="R618" s="40">
        <f t="shared" si="113"/>
        <v>1.6340795315008875E-2</v>
      </c>
      <c r="S618" s="40">
        <f t="shared" si="114"/>
        <v>-3.0840400925211372E-3</v>
      </c>
      <c r="T618" s="41">
        <f t="shared" si="115"/>
        <v>-7.2227954599571129E-3</v>
      </c>
      <c r="V618" s="39">
        <f t="shared" si="117"/>
        <v>2.6306742597491757E-3</v>
      </c>
      <c r="W618" s="40" cm="1">
        <f t="array" ref="W618">IF(M618="","",SUMPRODUCT(M618:T618,TRANSPOSE('04_Dashboard'!$C$53:$C$60)))</f>
        <v>-3.888044907814013E-3</v>
      </c>
      <c r="X618" s="42">
        <f t="shared" si="118"/>
        <v>1.5697971028059212</v>
      </c>
      <c r="Y618" s="118">
        <f t="shared" si="119"/>
        <v>1.7529227420239897</v>
      </c>
      <c r="AA618" s="43">
        <f>IF(X618="","",X618/MAX($X$4:X618)-1)</f>
        <v>-3.551452932464827E-2</v>
      </c>
      <c r="AB618" s="44">
        <f>IF(Y618="","",Y618/MAX($Y$4:Y618)-1)</f>
        <v>-3.623583561482191E-2</v>
      </c>
    </row>
    <row r="619" spans="1:28" x14ac:dyDescent="0.45">
      <c r="A619" s="121">
        <v>46099</v>
      </c>
      <c r="B619" s="124">
        <v>661.43</v>
      </c>
      <c r="C619" s="124">
        <v>249.94</v>
      </c>
      <c r="D619" s="124">
        <v>391.79</v>
      </c>
      <c r="E619" s="124">
        <v>287.74</v>
      </c>
      <c r="F619" s="124">
        <v>157.59</v>
      </c>
      <c r="G619" s="124">
        <v>237.28</v>
      </c>
      <c r="H619" s="124">
        <v>209.87</v>
      </c>
      <c r="I619" s="124">
        <v>75.97</v>
      </c>
      <c r="J619" s="125">
        <v>121.98</v>
      </c>
      <c r="L619" s="39">
        <f t="shared" si="116"/>
        <v>-1.3953696387841222E-2</v>
      </c>
      <c r="M619" s="40">
        <f t="shared" si="108"/>
        <v>-1.6874483735200379E-2</v>
      </c>
      <c r="N619" s="40">
        <f t="shared" si="109"/>
        <v>-1.9078140256878907E-2</v>
      </c>
      <c r="O619" s="40">
        <f t="shared" si="110"/>
        <v>2.9628080448953352E-3</v>
      </c>
      <c r="P619" s="40">
        <f t="shared" si="111"/>
        <v>-7.6821358856495109E-3</v>
      </c>
      <c r="Q619" s="40">
        <f t="shared" si="112"/>
        <v>-3.4857838813994054E-3</v>
      </c>
      <c r="R619" s="40">
        <f t="shared" si="113"/>
        <v>-2.4767657992564984E-2</v>
      </c>
      <c r="S619" s="40">
        <f t="shared" si="114"/>
        <v>-2.0752771332817728E-2</v>
      </c>
      <c r="T619" s="41">
        <f t="shared" si="115"/>
        <v>-2.4784138151582941E-2</v>
      </c>
      <c r="V619" s="39">
        <f t="shared" si="117"/>
        <v>-1.3953696387841222E-2</v>
      </c>
      <c r="W619" s="40" cm="1">
        <f t="array" ref="W619">IF(M619="","",SUMPRODUCT(M619:T619,TRANSPOSE('04_Dashboard'!$C$53:$C$60)))</f>
        <v>-1.0892978087651047E-2</v>
      </c>
      <c r="X619" s="42">
        <f t="shared" si="118"/>
        <v>1.5478926306428544</v>
      </c>
      <c r="Y619" s="118">
        <f t="shared" si="119"/>
        <v>1.7338281930057773</v>
      </c>
      <c r="AA619" s="43">
        <f>IF(X619="","",X619/MAX($X$4:X619)-1)</f>
        <v>-4.8972666752936433E-2</v>
      </c>
      <c r="AB619" s="44">
        <f>IF(Y619="","",Y619/MAX($Y$4:Y619)-1)</f>
        <v>-4.6734097539132935E-2</v>
      </c>
    </row>
    <row r="620" spans="1:28" x14ac:dyDescent="0.45">
      <c r="A620" s="121">
        <v>46100</v>
      </c>
      <c r="B620" s="124">
        <v>659.8</v>
      </c>
      <c r="C620" s="124">
        <v>248.96</v>
      </c>
      <c r="D620" s="124">
        <v>389.02</v>
      </c>
      <c r="E620" s="124">
        <v>287.97000000000003</v>
      </c>
      <c r="F620" s="124">
        <v>158.16</v>
      </c>
      <c r="G620" s="124">
        <v>237.6</v>
      </c>
      <c r="H620" s="124">
        <v>208.76</v>
      </c>
      <c r="I620" s="124">
        <v>75.55</v>
      </c>
      <c r="J620" s="125">
        <v>121.09</v>
      </c>
      <c r="L620" s="39">
        <f t="shared" si="116"/>
        <v>-2.4643575283854612E-3</v>
      </c>
      <c r="M620" s="40">
        <f t="shared" si="108"/>
        <v>-3.9209410258461619E-3</v>
      </c>
      <c r="N620" s="40">
        <f t="shared" si="109"/>
        <v>-7.0701140917329144E-3</v>
      </c>
      <c r="O620" s="40">
        <f t="shared" si="110"/>
        <v>7.9933273093771523E-4</v>
      </c>
      <c r="P620" s="40">
        <f t="shared" si="111"/>
        <v>3.6169807728916375E-3</v>
      </c>
      <c r="Q620" s="40">
        <f t="shared" si="112"/>
        <v>1.3486176668914074E-3</v>
      </c>
      <c r="R620" s="40">
        <f t="shared" si="113"/>
        <v>-5.2889884214037909E-3</v>
      </c>
      <c r="S620" s="40">
        <f t="shared" si="114"/>
        <v>-5.528498091351872E-3</v>
      </c>
      <c r="T620" s="41">
        <f t="shared" si="115"/>
        <v>-7.296278078373508E-3</v>
      </c>
      <c r="V620" s="39">
        <f t="shared" si="117"/>
        <v>-2.4643575283854612E-3</v>
      </c>
      <c r="W620" s="40" cm="1">
        <f t="array" ref="W620">IF(M620="","",SUMPRODUCT(M620:T620,TRANSPOSE('04_Dashboard'!$C$53:$C$60)))</f>
        <v>-2.1777201529810989E-3</v>
      </c>
      <c r="X620" s="42">
        <f t="shared" si="118"/>
        <v>1.5440780697853973</v>
      </c>
      <c r="Y620" s="118">
        <f t="shared" si="119"/>
        <v>1.7300524004080617</v>
      </c>
      <c r="AA620" s="43">
        <f>IF(X620="","",X620/MAX($X$4:X620)-1)</f>
        <v>-5.131633812132419E-2</v>
      </c>
      <c r="AB620" s="44">
        <f>IF(Y620="","",Y620/MAX($Y$4:Y620)-1)</f>
        <v>-4.8810043906071687E-2</v>
      </c>
    </row>
    <row r="621" spans="1:28" x14ac:dyDescent="0.45">
      <c r="A621" s="121">
        <v>46101</v>
      </c>
      <c r="B621" s="124">
        <v>648.57000000000005</v>
      </c>
      <c r="C621" s="124">
        <v>247.99</v>
      </c>
      <c r="D621" s="124">
        <v>381.87</v>
      </c>
      <c r="E621" s="124">
        <v>286.56</v>
      </c>
      <c r="F621" s="124">
        <v>159.66999999999999</v>
      </c>
      <c r="G621" s="124">
        <v>235.37</v>
      </c>
      <c r="H621" s="124">
        <v>205.37</v>
      </c>
      <c r="I621" s="124">
        <v>74.75</v>
      </c>
      <c r="J621" s="125">
        <v>119.02</v>
      </c>
      <c r="L621" s="39">
        <f t="shared" si="116"/>
        <v>-1.7020309184601252E-2</v>
      </c>
      <c r="M621" s="40">
        <f t="shared" si="108"/>
        <v>-3.8962082262210748E-3</v>
      </c>
      <c r="N621" s="40">
        <f t="shared" si="109"/>
        <v>-1.8379517762582842E-2</v>
      </c>
      <c r="O621" s="40">
        <f t="shared" si="110"/>
        <v>-4.8963433691010345E-3</v>
      </c>
      <c r="P621" s="40">
        <f t="shared" si="111"/>
        <v>9.5472938796155211E-3</v>
      </c>
      <c r="Q621" s="40">
        <f t="shared" si="112"/>
        <v>-9.3855218855218425E-3</v>
      </c>
      <c r="R621" s="40">
        <f t="shared" si="113"/>
        <v>-1.6238743054224881E-2</v>
      </c>
      <c r="S621" s="40">
        <f t="shared" si="114"/>
        <v>-1.0589013898080705E-2</v>
      </c>
      <c r="T621" s="41">
        <f t="shared" si="115"/>
        <v>-1.7094722933355417E-2</v>
      </c>
      <c r="V621" s="39">
        <f t="shared" si="117"/>
        <v>-1.7020309184601252E-2</v>
      </c>
      <c r="W621" s="40" cm="1">
        <f t="array" ref="W621">IF(M621="","",SUMPRODUCT(M621:T621,TRANSPOSE('04_Dashboard'!$C$53:$C$60)))</f>
        <v>-9.430237575273186E-3</v>
      </c>
      <c r="X621" s="42">
        <f t="shared" si="118"/>
        <v>1.5177973836324874</v>
      </c>
      <c r="Y621" s="118">
        <f t="shared" si="119"/>
        <v>1.7137375952545422</v>
      </c>
      <c r="AA621" s="43">
        <f>IF(X621="","",X621/MAX($X$4:X621)-1)</f>
        <v>-6.7463227364879086E-2</v>
      </c>
      <c r="AB621" s="44">
        <f>IF(Y621="","",Y621/MAX($Y$4:Y621)-1)</f>
        <v>-5.7779991171251099E-2</v>
      </c>
    </row>
    <row r="622" spans="1:28" x14ac:dyDescent="0.45">
      <c r="A622" s="121">
        <v>46104</v>
      </c>
      <c r="B622" s="124">
        <v>655.38</v>
      </c>
      <c r="C622" s="124">
        <v>251.49</v>
      </c>
      <c r="D622" s="124">
        <v>383</v>
      </c>
      <c r="E622" s="124">
        <v>289.91000000000003</v>
      </c>
      <c r="F622" s="124">
        <v>161.13</v>
      </c>
      <c r="G622" s="124">
        <v>235.42</v>
      </c>
      <c r="H622" s="124">
        <v>210.14</v>
      </c>
      <c r="I622" s="124">
        <v>75.11</v>
      </c>
      <c r="J622" s="125">
        <v>120.72</v>
      </c>
      <c r="L622" s="39">
        <f t="shared" si="116"/>
        <v>1.0500023127804162E-2</v>
      </c>
      <c r="M622" s="40">
        <f t="shared" si="108"/>
        <v>1.4113472317432154E-2</v>
      </c>
      <c r="N622" s="40">
        <f t="shared" si="109"/>
        <v>2.9591222143661336E-3</v>
      </c>
      <c r="O622" s="40">
        <f t="shared" si="110"/>
        <v>1.1690396426577411E-2</v>
      </c>
      <c r="P622" s="40">
        <f t="shared" si="111"/>
        <v>9.1438592096198916E-3</v>
      </c>
      <c r="Q622" s="40">
        <f t="shared" si="112"/>
        <v>2.124314908441303E-4</v>
      </c>
      <c r="R622" s="40">
        <f t="shared" si="113"/>
        <v>2.3226371914106158E-2</v>
      </c>
      <c r="S622" s="40">
        <f t="shared" si="114"/>
        <v>4.8160535117056777E-3</v>
      </c>
      <c r="T622" s="41">
        <f t="shared" si="115"/>
        <v>1.4283313728785102E-2</v>
      </c>
      <c r="V622" s="39">
        <f t="shared" si="117"/>
        <v>1.0500023127804162E-2</v>
      </c>
      <c r="W622" s="40" cm="1">
        <f t="array" ref="W622">IF(M622="","",SUMPRODUCT(M622:T622,TRANSPOSE('04_Dashboard'!$C$53:$C$60)))</f>
        <v>8.6258637248431223E-3</v>
      </c>
      <c r="X622" s="42">
        <f t="shared" si="118"/>
        <v>1.5337342912639491</v>
      </c>
      <c r="Y622" s="118">
        <f t="shared" si="119"/>
        <v>1.7285200622113481</v>
      </c>
      <c r="AA622" s="43">
        <f>IF(X622="","",X622/MAX($X$4:X622)-1)</f>
        <v>-5.7671569684682455E-2</v>
      </c>
      <c r="AB622" s="44">
        <f>IF(Y622="","",Y622/MAX($Y$4:Y622)-1)</f>
        <v>-4.9652529776273879E-2</v>
      </c>
    </row>
    <row r="623" spans="1:28" x14ac:dyDescent="0.45">
      <c r="A623" s="121">
        <v>46105</v>
      </c>
      <c r="B623" s="124">
        <v>653.17999999999995</v>
      </c>
      <c r="C623" s="124">
        <v>251.64</v>
      </c>
      <c r="D623" s="124">
        <v>372.74</v>
      </c>
      <c r="E623" s="124">
        <v>292.39999999999998</v>
      </c>
      <c r="F623" s="124">
        <v>165.38</v>
      </c>
      <c r="G623" s="124">
        <v>235.27</v>
      </c>
      <c r="H623" s="124">
        <v>207.24</v>
      </c>
      <c r="I623" s="124">
        <v>74.67</v>
      </c>
      <c r="J623" s="125">
        <v>122.05</v>
      </c>
      <c r="L623" s="39">
        <f t="shared" si="116"/>
        <v>-3.3568311513931543E-3</v>
      </c>
      <c r="M623" s="40">
        <f t="shared" si="108"/>
        <v>5.9644518668725303E-4</v>
      </c>
      <c r="N623" s="40">
        <f t="shared" si="109"/>
        <v>-2.6788511749347235E-2</v>
      </c>
      <c r="O623" s="40">
        <f t="shared" si="110"/>
        <v>8.5888724086783906E-3</v>
      </c>
      <c r="P623" s="40">
        <f t="shared" si="111"/>
        <v>2.6376217960652891E-2</v>
      </c>
      <c r="Q623" s="40">
        <f t="shared" si="112"/>
        <v>-6.3715911987077259E-4</v>
      </c>
      <c r="R623" s="40">
        <f t="shared" si="113"/>
        <v>-1.3800323593794506E-2</v>
      </c>
      <c r="S623" s="40">
        <f t="shared" si="114"/>
        <v>-5.8580748235920344E-3</v>
      </c>
      <c r="T623" s="41">
        <f t="shared" si="115"/>
        <v>1.101722995361165E-2</v>
      </c>
      <c r="V623" s="39">
        <f t="shared" si="117"/>
        <v>-3.3568311513931543E-3</v>
      </c>
      <c r="W623" s="40" cm="1">
        <f t="array" ref="W623">IF(M623="","",SUMPRODUCT(M623:T623,TRANSPOSE('04_Dashboard'!$C$53:$C$60)))</f>
        <v>1.1243236063314716E-3</v>
      </c>
      <c r="X623" s="42">
        <f t="shared" si="118"/>
        <v>1.5285858042170744</v>
      </c>
      <c r="Y623" s="118">
        <f t="shared" si="119"/>
        <v>1.7304634781213097</v>
      </c>
      <c r="AA623" s="43">
        <f>IF(X623="","",X623/MAX($X$4:X623)-1)</f>
        <v>-6.0834807114408362E-2</v>
      </c>
      <c r="AB623" s="44">
        <f>IF(Y623="","",Y623/MAX($Y$4:Y623)-1)</f>
        <v>-4.8584031681284001E-2</v>
      </c>
    </row>
    <row r="624" spans="1:28" x14ac:dyDescent="0.45">
      <c r="A624" s="121">
        <v>46106</v>
      </c>
      <c r="B624" s="124">
        <v>656.82</v>
      </c>
      <c r="C624" s="124">
        <v>252.62</v>
      </c>
      <c r="D624" s="124">
        <v>371.04</v>
      </c>
      <c r="E624" s="124">
        <v>295.42</v>
      </c>
      <c r="F624" s="124">
        <v>163.26</v>
      </c>
      <c r="G624" s="124">
        <v>239.93</v>
      </c>
      <c r="H624" s="124">
        <v>211.71</v>
      </c>
      <c r="I624" s="124">
        <v>75.25</v>
      </c>
      <c r="J624" s="125">
        <v>123.06</v>
      </c>
      <c r="L624" s="39">
        <f t="shared" si="116"/>
        <v>5.5727364585567533E-3</v>
      </c>
      <c r="M624" s="40">
        <f t="shared" si="108"/>
        <v>3.8944523923065419E-3</v>
      </c>
      <c r="N624" s="40">
        <f t="shared" si="109"/>
        <v>-4.5608198744432815E-3</v>
      </c>
      <c r="O624" s="40">
        <f t="shared" si="110"/>
        <v>1.0328317373461146E-2</v>
      </c>
      <c r="P624" s="40">
        <f t="shared" si="111"/>
        <v>-1.281896238964811E-2</v>
      </c>
      <c r="Q624" s="40">
        <f t="shared" si="112"/>
        <v>1.9807030220597596E-2</v>
      </c>
      <c r="R624" s="40">
        <f t="shared" si="113"/>
        <v>2.156919513607411E-2</v>
      </c>
      <c r="S624" s="40">
        <f t="shared" si="114"/>
        <v>7.767510379000914E-3</v>
      </c>
      <c r="T624" s="41">
        <f t="shared" si="115"/>
        <v>8.2752970094224099E-3</v>
      </c>
      <c r="V624" s="39">
        <f t="shared" si="117"/>
        <v>5.5727364585567533E-3</v>
      </c>
      <c r="W624" s="40" cm="1">
        <f t="array" ref="W624">IF(M624="","",SUMPRODUCT(M624:T624,TRANSPOSE('04_Dashboard'!$C$53:$C$60)))</f>
        <v>1.0248010322080149E-2</v>
      </c>
      <c r="X624" s="42">
        <f t="shared" si="118"/>
        <v>1.537104210058267</v>
      </c>
      <c r="Y624" s="118">
        <f t="shared" si="119"/>
        <v>1.7481972857070796</v>
      </c>
      <c r="AA624" s="43">
        <f>IF(X624="","",X624/MAX($X$4:X624)-1)</f>
        <v>-5.5601087003407379E-2</v>
      </c>
      <c r="AB624" s="44">
        <f>IF(Y624="","",Y624/MAX($Y$4:Y624)-1)</f>
        <v>-3.8833911017361999E-2</v>
      </c>
    </row>
    <row r="625" spans="1:28" x14ac:dyDescent="0.45">
      <c r="A625" s="121">
        <v>46107</v>
      </c>
      <c r="B625" s="124">
        <v>645.09</v>
      </c>
      <c r="C625" s="124">
        <v>252.89</v>
      </c>
      <c r="D625" s="124">
        <v>365.97</v>
      </c>
      <c r="E625" s="124">
        <v>291.66000000000003</v>
      </c>
      <c r="F625" s="124">
        <v>165.43</v>
      </c>
      <c r="G625" s="124">
        <v>239.26</v>
      </c>
      <c r="H625" s="124">
        <v>207.54</v>
      </c>
      <c r="I625" s="124">
        <v>74.69</v>
      </c>
      <c r="J625" s="125">
        <v>122.18</v>
      </c>
      <c r="L625" s="39">
        <f t="shared" si="116"/>
        <v>-1.7858774093358936E-2</v>
      </c>
      <c r="M625" s="40">
        <f t="shared" si="108"/>
        <v>1.0687989866201481E-3</v>
      </c>
      <c r="N625" s="40">
        <f t="shared" si="109"/>
        <v>-1.3664294954721844E-2</v>
      </c>
      <c r="O625" s="40">
        <f t="shared" si="110"/>
        <v>-1.2727642001218573E-2</v>
      </c>
      <c r="P625" s="40">
        <f t="shared" si="111"/>
        <v>1.3291681979664438E-2</v>
      </c>
      <c r="Q625" s="40">
        <f t="shared" si="112"/>
        <v>-2.7924811403326633E-3</v>
      </c>
      <c r="R625" s="40">
        <f t="shared" si="113"/>
        <v>-1.969675499504046E-2</v>
      </c>
      <c r="S625" s="40">
        <f t="shared" si="114"/>
        <v>-7.441860465116309E-3</v>
      </c>
      <c r="T625" s="41">
        <f t="shared" si="115"/>
        <v>-7.1509832601982402E-3</v>
      </c>
      <c r="V625" s="39">
        <f t="shared" si="117"/>
        <v>-1.7858774093358936E-2</v>
      </c>
      <c r="W625" s="40" cm="1">
        <f t="array" ref="W625">IF(M625="","",SUMPRODUCT(M625:T625,TRANSPOSE('04_Dashboard'!$C$53:$C$60)))</f>
        <v>-7.3650597474949316E-3</v>
      </c>
      <c r="X625" s="42">
        <f t="shared" si="118"/>
        <v>1.5096534132128856</v>
      </c>
      <c r="Y625" s="118">
        <f t="shared" si="119"/>
        <v>1.7353217082474386</v>
      </c>
      <c r="AA625" s="43">
        <f>IF(X625="","",X625/MAX($X$4:X625)-1)</f>
        <v>-7.2466893844627234E-2</v>
      </c>
      <c r="AB625" s="44">
        <f>IF(Y625="","",Y625/MAX($Y$4:Y625)-1)</f>
        <v>-4.5912956689985074E-2</v>
      </c>
    </row>
    <row r="626" spans="1:28" x14ac:dyDescent="0.45">
      <c r="A626" s="121">
        <v>46108</v>
      </c>
      <c r="B626" s="124">
        <v>634.09</v>
      </c>
      <c r="C626" s="124">
        <v>248.8</v>
      </c>
      <c r="D626" s="124">
        <v>356.77</v>
      </c>
      <c r="E626" s="124">
        <v>282.83999999999997</v>
      </c>
      <c r="F626" s="124">
        <v>170.99</v>
      </c>
      <c r="G626" s="124">
        <v>240.45</v>
      </c>
      <c r="H626" s="124">
        <v>199.34</v>
      </c>
      <c r="I626" s="124">
        <v>75.709999999999994</v>
      </c>
      <c r="J626" s="125">
        <v>122.89</v>
      </c>
      <c r="L626" s="39">
        <f t="shared" si="116"/>
        <v>-1.7051884233207769E-2</v>
      </c>
      <c r="M626" s="40">
        <f t="shared" si="108"/>
        <v>-1.6173039661512813E-2</v>
      </c>
      <c r="N626" s="40">
        <f t="shared" si="109"/>
        <v>-2.5138672568789915E-2</v>
      </c>
      <c r="O626" s="40">
        <f t="shared" si="110"/>
        <v>-3.0240691215799389E-2</v>
      </c>
      <c r="P626" s="40">
        <f t="shared" si="111"/>
        <v>3.360938161155777E-2</v>
      </c>
      <c r="Q626" s="40">
        <f t="shared" si="112"/>
        <v>4.9736688121708511E-3</v>
      </c>
      <c r="R626" s="40">
        <f t="shared" si="113"/>
        <v>-3.9510455815746311E-2</v>
      </c>
      <c r="S626" s="40">
        <f t="shared" si="114"/>
        <v>1.3656446646137315E-2</v>
      </c>
      <c r="T626" s="41">
        <f t="shared" si="115"/>
        <v>5.8110983794401189E-3</v>
      </c>
      <c r="V626" s="39">
        <f t="shared" si="117"/>
        <v>-1.7051884233207769E-2</v>
      </c>
      <c r="W626" s="40" cm="1">
        <f t="array" ref="W626">IF(M626="","",SUMPRODUCT(M626:T626,TRANSPOSE('04_Dashboard'!$C$53:$C$60)))</f>
        <v>-7.1086466541503083E-3</v>
      </c>
      <c r="X626" s="42">
        <f t="shared" si="118"/>
        <v>1.4839109779785125</v>
      </c>
      <c r="Y626" s="118">
        <f t="shared" si="119"/>
        <v>1.722985919392231</v>
      </c>
      <c r="AA626" s="43">
        <f>IF(X626="","",X626/MAX($X$4:X626)-1)</f>
        <v>-8.8283080993256213E-2</v>
      </c>
      <c r="AB626" s="44">
        <f>IF(Y626="","",Y626/MAX($Y$4:Y626)-1)</f>
        <v>-5.2695224358178971E-2</v>
      </c>
    </row>
    <row r="627" spans="1:28" x14ac:dyDescent="0.45">
      <c r="A627" s="121">
        <v>46111</v>
      </c>
      <c r="B627" s="124">
        <v>631.97</v>
      </c>
      <c r="C627" s="124">
        <v>246.63</v>
      </c>
      <c r="D627" s="124">
        <v>358.96</v>
      </c>
      <c r="E627" s="124">
        <v>283.77</v>
      </c>
      <c r="F627" s="124">
        <v>171.47</v>
      </c>
      <c r="G627" s="124">
        <v>242.49</v>
      </c>
      <c r="H627" s="124">
        <v>200.95</v>
      </c>
      <c r="I627" s="124">
        <v>76.27</v>
      </c>
      <c r="J627" s="125">
        <v>123.5</v>
      </c>
      <c r="L627" s="39">
        <f t="shared" si="116"/>
        <v>-3.3433739689949448E-3</v>
      </c>
      <c r="M627" s="40">
        <f t="shared" si="108"/>
        <v>-8.7218649517685522E-3</v>
      </c>
      <c r="N627" s="40">
        <f t="shared" si="109"/>
        <v>6.1384084984723994E-3</v>
      </c>
      <c r="O627" s="40">
        <f t="shared" si="110"/>
        <v>3.2880780653373174E-3</v>
      </c>
      <c r="P627" s="40">
        <f t="shared" si="111"/>
        <v>2.8071817065324859E-3</v>
      </c>
      <c r="Q627" s="40">
        <f t="shared" si="112"/>
        <v>8.4840923268871722E-3</v>
      </c>
      <c r="R627" s="40">
        <f t="shared" si="113"/>
        <v>8.0766529547506034E-3</v>
      </c>
      <c r="S627" s="40">
        <f t="shared" si="114"/>
        <v>7.3966450931185089E-3</v>
      </c>
      <c r="T627" s="41">
        <f t="shared" si="115"/>
        <v>4.9637887541703913E-3</v>
      </c>
      <c r="V627" s="39">
        <f t="shared" si="117"/>
        <v>-3.3433739689949448E-3</v>
      </c>
      <c r="W627" s="40" cm="1">
        <f t="array" ref="W627">IF(M627="","",SUMPRODUCT(M627:T627,TRANSPOSE('04_Dashboard'!$C$53:$C$60)))</f>
        <v>5.1889371562669371E-3</v>
      </c>
      <c r="X627" s="42">
        <f t="shared" si="118"/>
        <v>1.4789497086424332</v>
      </c>
      <c r="Y627" s="118">
        <f t="shared" si="119"/>
        <v>1.7319263850490902</v>
      </c>
      <c r="AA627" s="43">
        <f>IF(X627="","",X627/MAX($X$4:X627)-1)</f>
        <v>-9.1331291607355647E-2</v>
      </c>
      <c r="AB627" s="44">
        <f>IF(Y627="","",Y627/MAX($Y$4:Y627)-1)</f>
        <v>-4.7779719409541954E-2</v>
      </c>
    </row>
    <row r="628" spans="1:28" x14ac:dyDescent="0.45">
      <c r="A628" s="121">
        <v>46112</v>
      </c>
      <c r="B628" s="124">
        <v>650.34</v>
      </c>
      <c r="C628" s="124">
        <v>253.79</v>
      </c>
      <c r="D628" s="124">
        <v>370.17</v>
      </c>
      <c r="E628" s="124">
        <v>294.16000000000003</v>
      </c>
      <c r="F628" s="124">
        <v>169.66</v>
      </c>
      <c r="G628" s="124">
        <v>244.44</v>
      </c>
      <c r="H628" s="124">
        <v>208.27</v>
      </c>
      <c r="I628" s="124">
        <v>76.05</v>
      </c>
      <c r="J628" s="125">
        <v>124.28</v>
      </c>
      <c r="L628" s="39">
        <f t="shared" si="116"/>
        <v>2.9067835498520506E-2</v>
      </c>
      <c r="M628" s="40">
        <f t="shared" si="108"/>
        <v>2.9031342496857626E-2</v>
      </c>
      <c r="N628" s="40">
        <f t="shared" si="109"/>
        <v>3.1229106307109532E-2</v>
      </c>
      <c r="O628" s="40">
        <f t="shared" si="110"/>
        <v>3.6614159354406893E-2</v>
      </c>
      <c r="P628" s="40">
        <f t="shared" si="111"/>
        <v>-1.0555782352598136E-2</v>
      </c>
      <c r="Q628" s="40">
        <f t="shared" si="112"/>
        <v>8.0415687244834375E-3</v>
      </c>
      <c r="R628" s="40">
        <f t="shared" si="113"/>
        <v>3.6426971883553233E-2</v>
      </c>
      <c r="S628" s="40">
        <f t="shared" si="114"/>
        <v>-2.8844893142782073E-3</v>
      </c>
      <c r="T628" s="41">
        <f t="shared" si="115"/>
        <v>6.3157894736842199E-3</v>
      </c>
      <c r="V628" s="39">
        <f t="shared" si="117"/>
        <v>2.9067835498520506E-2</v>
      </c>
      <c r="W628" s="40" cm="1">
        <f t="array" ref="W628">IF(M628="","",SUMPRODUCT(M628:T628,TRANSPOSE('04_Dashboard'!$C$53:$C$60)))</f>
        <v>1.6953178411204178E-2</v>
      </c>
      <c r="X628" s="42">
        <f t="shared" si="118"/>
        <v>1.5219395754838363</v>
      </c>
      <c r="Y628" s="118">
        <f t="shared" si="119"/>
        <v>1.7612880420498995</v>
      </c>
      <c r="AA628" s="43">
        <f>IF(X628="","",X628/MAX($X$4:X628)-1)</f>
        <v>-6.4918259069145279E-2</v>
      </c>
      <c r="AB628" s="44">
        <f>IF(Y628="","",Y628/MAX($Y$4:Y628)-1)</f>
        <v>-3.1636559105924889E-2</v>
      </c>
    </row>
    <row r="629" spans="1:28" x14ac:dyDescent="0.45">
      <c r="A629" s="121">
        <v>46113</v>
      </c>
      <c r="B629" s="124">
        <v>655.24</v>
      </c>
      <c r="C629" s="124">
        <v>255.63</v>
      </c>
      <c r="D629" s="124">
        <v>369.37</v>
      </c>
      <c r="E629" s="124">
        <v>295.38</v>
      </c>
      <c r="F629" s="124">
        <v>160.78</v>
      </c>
      <c r="G629" s="124">
        <v>244.12</v>
      </c>
      <c r="H629" s="124">
        <v>210.57</v>
      </c>
      <c r="I629" s="124">
        <v>76.08</v>
      </c>
      <c r="J629" s="125">
        <v>124.74</v>
      </c>
      <c r="L629" s="39">
        <f t="shared" si="116"/>
        <v>7.5345204047113463E-3</v>
      </c>
      <c r="M629" s="40">
        <f t="shared" si="108"/>
        <v>7.2500886559754268E-3</v>
      </c>
      <c r="N629" s="40">
        <f t="shared" si="109"/>
        <v>-2.1611691925331909E-3</v>
      </c>
      <c r="O629" s="40">
        <f t="shared" si="110"/>
        <v>4.1474027740004433E-3</v>
      </c>
      <c r="P629" s="40">
        <f t="shared" si="111"/>
        <v>-5.2339974065778588E-2</v>
      </c>
      <c r="Q629" s="40">
        <f t="shared" si="112"/>
        <v>-1.309114711176539E-3</v>
      </c>
      <c r="R629" s="40">
        <f t="shared" si="113"/>
        <v>1.1043357180582815E-2</v>
      </c>
      <c r="S629" s="40">
        <f t="shared" si="114"/>
        <v>3.9447731755425558E-4</v>
      </c>
      <c r="T629" s="41">
        <f t="shared" si="115"/>
        <v>3.7013196009011407E-3</v>
      </c>
      <c r="V629" s="39">
        <f t="shared" si="117"/>
        <v>7.5345204047113463E-3</v>
      </c>
      <c r="W629" s="40" cm="1">
        <f t="array" ref="W629">IF(M629="","",SUMPRODUCT(M629:T629,TRANSPOSE('04_Dashboard'!$C$53:$C$60)))</f>
        <v>-3.1004754138298221E-4</v>
      </c>
      <c r="X629" s="42">
        <f t="shared" si="118"/>
        <v>1.5334066602700569</v>
      </c>
      <c r="Y629" s="118">
        <f t="shared" si="119"/>
        <v>1.7607419590227946</v>
      </c>
      <c r="AA629" s="43">
        <f>IF(X629="","",X629/MAX($X$4:X629)-1)</f>
        <v>-5.7872866612028728E-2</v>
      </c>
      <c r="AB629" s="44">
        <f>IF(Y629="","",Y629/MAX($Y$4:Y629)-1)</f>
        <v>-3.1936797809939299E-2</v>
      </c>
    </row>
    <row r="630" spans="1:28" x14ac:dyDescent="0.45">
      <c r="A630" s="121">
        <v>46114</v>
      </c>
      <c r="B630" s="124">
        <v>655.83</v>
      </c>
      <c r="C630" s="124">
        <v>255.92</v>
      </c>
      <c r="D630" s="124">
        <v>373.46</v>
      </c>
      <c r="E630" s="124">
        <v>294.60000000000002</v>
      </c>
      <c r="F630" s="124">
        <v>160.69</v>
      </c>
      <c r="G630" s="124">
        <v>243.04</v>
      </c>
      <c r="H630" s="124">
        <v>209.77</v>
      </c>
      <c r="I630" s="124">
        <v>76.72</v>
      </c>
      <c r="J630" s="125">
        <v>125.79</v>
      </c>
      <c r="L630" s="39">
        <f t="shared" si="116"/>
        <v>9.0043342897263873E-4</v>
      </c>
      <c r="M630" s="40">
        <f t="shared" si="108"/>
        <v>1.1344521378554631E-3</v>
      </c>
      <c r="N630" s="40">
        <f t="shared" si="109"/>
        <v>1.1072907924303476E-2</v>
      </c>
      <c r="O630" s="40">
        <f t="shared" si="110"/>
        <v>-2.6406662604102266E-3</v>
      </c>
      <c r="P630" s="40">
        <f t="shared" si="111"/>
        <v>-5.5977111581044536E-4</v>
      </c>
      <c r="Q630" s="40">
        <f t="shared" si="112"/>
        <v>-4.4240537440603496E-3</v>
      </c>
      <c r="R630" s="40">
        <f t="shared" si="113"/>
        <v>-3.7992116635797261E-3</v>
      </c>
      <c r="S630" s="40">
        <f t="shared" si="114"/>
        <v>8.4121976866456446E-3</v>
      </c>
      <c r="T630" s="41">
        <f t="shared" si="115"/>
        <v>8.4175084175085093E-3</v>
      </c>
      <c r="V630" s="39">
        <f t="shared" si="117"/>
        <v>9.0043342897263873E-4</v>
      </c>
      <c r="W630" s="40" cm="1">
        <f t="array" ref="W630">IF(M630="","",SUMPRODUCT(M630:T630,TRANSPOSE('04_Dashboard'!$C$53:$C$60)))</f>
        <v>1.1671759858923126E-3</v>
      </c>
      <c r="X630" s="42">
        <f t="shared" si="118"/>
        <v>1.5347873908871734</v>
      </c>
      <c r="Y630" s="118">
        <f t="shared" si="119"/>
        <v>1.7627970547547189</v>
      </c>
      <c r="AA630" s="43">
        <f>IF(X630="","",X630/MAX($X$4:X630)-1)</f>
        <v>-5.7024543846784015E-2</v>
      </c>
      <c r="AB630" s="44">
        <f>IF(Y630="","",Y630/MAX($Y$4:Y630)-1)</f>
        <v>-3.0806897687517099E-2</v>
      </c>
    </row>
    <row r="631" spans="1:28" x14ac:dyDescent="0.45">
      <c r="A631" s="121">
        <v>46118</v>
      </c>
      <c r="B631" s="124">
        <v>658.93</v>
      </c>
      <c r="C631" s="124">
        <v>258.86</v>
      </c>
      <c r="D631" s="124">
        <v>372.88</v>
      </c>
      <c r="E631" s="124">
        <v>295.45</v>
      </c>
      <c r="F631" s="124">
        <v>163.37</v>
      </c>
      <c r="G631" s="124">
        <v>240.97</v>
      </c>
      <c r="H631" s="124">
        <v>212.79</v>
      </c>
      <c r="I631" s="124">
        <v>77.22</v>
      </c>
      <c r="J631" s="125">
        <v>126.79</v>
      </c>
      <c r="L631" s="39">
        <f t="shared" si="116"/>
        <v>4.7268346980161155E-3</v>
      </c>
      <c r="M631" s="40">
        <f t="shared" si="108"/>
        <v>1.1487964989059183E-2</v>
      </c>
      <c r="N631" s="40">
        <f t="shared" si="109"/>
        <v>-1.5530445027579502E-3</v>
      </c>
      <c r="O631" s="40">
        <f t="shared" si="110"/>
        <v>2.8852681602171276E-3</v>
      </c>
      <c r="P631" s="40">
        <f t="shared" si="111"/>
        <v>1.6678075798120647E-2</v>
      </c>
      <c r="Q631" s="40">
        <f t="shared" si="112"/>
        <v>-8.5171165240289382E-3</v>
      </c>
      <c r="R631" s="40">
        <f t="shared" si="113"/>
        <v>1.4396720217380853E-2</v>
      </c>
      <c r="S631" s="40">
        <f t="shared" si="114"/>
        <v>6.5172054223149112E-3</v>
      </c>
      <c r="T631" s="41">
        <f t="shared" si="115"/>
        <v>7.9497575323952616E-3</v>
      </c>
      <c r="V631" s="39">
        <f t="shared" si="117"/>
        <v>4.7268346980161155E-3</v>
      </c>
      <c r="W631" s="40" cm="1">
        <f t="array" ref="W631">IF(M631="","",SUMPRODUCT(M631:T631,TRANSPOSE('04_Dashboard'!$C$53:$C$60)))</f>
        <v>3.0859644813471324E-3</v>
      </c>
      <c r="X631" s="42">
        <f t="shared" si="118"/>
        <v>1.5420420771804964</v>
      </c>
      <c r="Y631" s="118">
        <f t="shared" si="119"/>
        <v>1.7682369838535155</v>
      </c>
      <c r="AA631" s="43">
        <f>IF(X631="","",X631/MAX($X$4:X631)-1)</f>
        <v>-5.256725474126156E-2</v>
      </c>
      <c r="AB631" s="44">
        <f>IF(Y631="","",Y631/MAX($Y$4:Y631)-1)</f>
        <v>-2.7816002198214118E-2</v>
      </c>
    </row>
    <row r="632" spans="1:28" x14ac:dyDescent="0.45">
      <c r="A632" s="121">
        <v>46119</v>
      </c>
      <c r="B632" s="124">
        <v>659.22</v>
      </c>
      <c r="C632" s="124">
        <v>253.5</v>
      </c>
      <c r="D632" s="124">
        <v>372.29</v>
      </c>
      <c r="E632" s="124">
        <v>297.39999999999998</v>
      </c>
      <c r="F632" s="124">
        <v>163.91</v>
      </c>
      <c r="G632" s="124">
        <v>238.41</v>
      </c>
      <c r="H632" s="124">
        <v>213.77</v>
      </c>
      <c r="I632" s="124">
        <v>75.91</v>
      </c>
      <c r="J632" s="125">
        <v>122.49</v>
      </c>
      <c r="L632" s="39">
        <f t="shared" si="116"/>
        <v>4.4010744692164164E-4</v>
      </c>
      <c r="M632" s="40">
        <f t="shared" si="108"/>
        <v>-2.0706173221046176E-2</v>
      </c>
      <c r="N632" s="40">
        <f t="shared" si="109"/>
        <v>-1.5822784810125912E-3</v>
      </c>
      <c r="O632" s="40">
        <f t="shared" si="110"/>
        <v>6.6001015400236548E-3</v>
      </c>
      <c r="P632" s="40">
        <f t="shared" si="111"/>
        <v>3.3053804248025466E-3</v>
      </c>
      <c r="Q632" s="40">
        <f t="shared" si="112"/>
        <v>-1.0623729094908088E-2</v>
      </c>
      <c r="R632" s="40">
        <f t="shared" si="113"/>
        <v>4.6054795808074542E-3</v>
      </c>
      <c r="S632" s="40">
        <f t="shared" si="114"/>
        <v>-1.6964516964516993E-2</v>
      </c>
      <c r="T632" s="41">
        <f t="shared" si="115"/>
        <v>-3.3914346557299559E-2</v>
      </c>
      <c r="V632" s="39">
        <f t="shared" si="117"/>
        <v>4.4010744692164164E-4</v>
      </c>
      <c r="W632" s="40" cm="1">
        <f t="array" ref="W632">IF(M632="","",SUMPRODUCT(M632:T632,TRANSPOSE('04_Dashboard'!$C$53:$C$60)))</f>
        <v>-8.7923709021714945E-3</v>
      </c>
      <c r="X632" s="42">
        <f t="shared" si="118"/>
        <v>1.54272074138213</v>
      </c>
      <c r="Y632" s="118">
        <f t="shared" si="119"/>
        <v>1.7526899884485385</v>
      </c>
      <c r="AA632" s="43">
        <f>IF(X632="","",X632/MAX($X$4:X632)-1)</f>
        <v>-5.2150282534615733E-2</v>
      </c>
      <c r="AB632" s="44">
        <f>IF(Y632="","",Y632/MAX($Y$4:Y632)-1)</f>
        <v>-3.6363804492043128E-2</v>
      </c>
    </row>
    <row r="633" spans="1:28" x14ac:dyDescent="0.45">
      <c r="A633" s="121">
        <v>46120</v>
      </c>
      <c r="B633" s="124">
        <v>676.01</v>
      </c>
      <c r="C633" s="124">
        <v>258.89999999999998</v>
      </c>
      <c r="D633" s="124">
        <v>374.33</v>
      </c>
      <c r="E633" s="124">
        <v>307.97000000000003</v>
      </c>
      <c r="F633" s="124">
        <v>156.22</v>
      </c>
      <c r="G633" s="124">
        <v>241.3</v>
      </c>
      <c r="H633" s="124">
        <v>221.25</v>
      </c>
      <c r="I633" s="124">
        <v>77.290000000000006</v>
      </c>
      <c r="J633" s="125">
        <v>127.26</v>
      </c>
      <c r="L633" s="39">
        <f t="shared" si="116"/>
        <v>2.5469494250781169E-2</v>
      </c>
      <c r="M633" s="40">
        <f t="shared" si="108"/>
        <v>2.1301775147928904E-2</v>
      </c>
      <c r="N633" s="40">
        <f t="shared" si="109"/>
        <v>5.4795992371537341E-3</v>
      </c>
      <c r="O633" s="40">
        <f t="shared" si="110"/>
        <v>3.554135843981187E-2</v>
      </c>
      <c r="P633" s="40">
        <f t="shared" si="111"/>
        <v>-4.6915990482581889E-2</v>
      </c>
      <c r="Q633" s="40">
        <f t="shared" si="112"/>
        <v>1.2121974749381381E-2</v>
      </c>
      <c r="R633" s="40">
        <f t="shared" si="113"/>
        <v>3.4990878046498523E-2</v>
      </c>
      <c r="S633" s="40">
        <f t="shared" si="114"/>
        <v>1.8179423000922273E-2</v>
      </c>
      <c r="T633" s="41">
        <f t="shared" si="115"/>
        <v>3.8941954445260926E-2</v>
      </c>
      <c r="V633" s="39">
        <f t="shared" si="117"/>
        <v>2.5469494250781169E-2</v>
      </c>
      <c r="W633" s="40" cm="1">
        <f t="array" ref="W633">IF(M633="","",SUMPRODUCT(M633:T633,TRANSPOSE('04_Dashboard'!$C$53:$C$60)))</f>
        <v>2.1037761066027141E-2</v>
      </c>
      <c r="X633" s="42">
        <f t="shared" si="118"/>
        <v>1.5820130584353229</v>
      </c>
      <c r="Y633" s="118">
        <f t="shared" si="119"/>
        <v>1.7895626616483367</v>
      </c>
      <c r="AA633" s="43">
        <f>IF(X633="","",X633/MAX($X$4:X633)-1)</f>
        <v>-2.8009029605026603E-2</v>
      </c>
      <c r="AB633" s="44">
        <f>IF(Y633="","",Y633/MAX($Y$4:Y633)-1)</f>
        <v>-1.6091056456371433E-2</v>
      </c>
    </row>
    <row r="634" spans="1:28" x14ac:dyDescent="0.45">
      <c r="A634" s="121">
        <v>46121</v>
      </c>
      <c r="B634" s="124">
        <v>679.91</v>
      </c>
      <c r="C634" s="124">
        <v>260.49</v>
      </c>
      <c r="D634" s="124">
        <v>373.07</v>
      </c>
      <c r="E634" s="124">
        <v>310.33</v>
      </c>
      <c r="F634" s="124">
        <v>155.04</v>
      </c>
      <c r="G634" s="124">
        <v>241.31</v>
      </c>
      <c r="H634" s="124">
        <v>233.65</v>
      </c>
      <c r="I634" s="124">
        <v>78.180000000000007</v>
      </c>
      <c r="J634" s="125">
        <v>129.13</v>
      </c>
      <c r="L634" s="39">
        <f t="shared" si="116"/>
        <v>5.769145426842765E-3</v>
      </c>
      <c r="M634" s="40">
        <f t="shared" si="108"/>
        <v>6.1413673232909695E-3</v>
      </c>
      <c r="N634" s="40">
        <f t="shared" si="109"/>
        <v>-3.3660139449148904E-3</v>
      </c>
      <c r="O634" s="40">
        <f t="shared" si="110"/>
        <v>7.6630840666297257E-3</v>
      </c>
      <c r="P634" s="40">
        <f t="shared" si="111"/>
        <v>-7.5534502624504344E-3</v>
      </c>
      <c r="Q634" s="40">
        <f t="shared" si="112"/>
        <v>4.1442188147496498E-5</v>
      </c>
      <c r="R634" s="40">
        <f t="shared" si="113"/>
        <v>5.6045197740113017E-2</v>
      </c>
      <c r="S634" s="40">
        <f t="shared" si="114"/>
        <v>1.1515073101306773E-2</v>
      </c>
      <c r="T634" s="41">
        <f t="shared" si="115"/>
        <v>1.4694326575514617E-2</v>
      </c>
      <c r="V634" s="39">
        <f t="shared" si="117"/>
        <v>5.769145426842765E-3</v>
      </c>
      <c r="W634" s="40" cm="1">
        <f t="array" ref="W634">IF(M634="","",SUMPRODUCT(M634:T634,TRANSPOSE('04_Dashboard'!$C$53:$C$60)))</f>
        <v>9.3244435771122382E-3</v>
      </c>
      <c r="X634" s="42">
        <f t="shared" si="118"/>
        <v>1.5911399218366005</v>
      </c>
      <c r="Y634" s="118">
        <f t="shared" si="119"/>
        <v>1.8062493377145834</v>
      </c>
      <c r="AA634" s="43">
        <f>IF(X634="","",X634/MAX($X$4:X634)-1)</f>
        <v>-2.2401472343240081E-2</v>
      </c>
      <c r="AB634" s="44">
        <f>IF(Y634="","",Y634/MAX($Y$4:Y634)-1)</f>
        <v>-6.9166530272827265E-3</v>
      </c>
    </row>
    <row r="635" spans="1:28" x14ac:dyDescent="0.45">
      <c r="A635" s="121">
        <v>46122</v>
      </c>
      <c r="B635" s="124">
        <v>679.46</v>
      </c>
      <c r="C635" s="124">
        <v>260.48</v>
      </c>
      <c r="D635" s="124">
        <v>370.87</v>
      </c>
      <c r="E635" s="124">
        <v>309.87</v>
      </c>
      <c r="F635" s="124">
        <v>152.51</v>
      </c>
      <c r="G635" s="124">
        <v>238.46</v>
      </c>
      <c r="H635" s="124">
        <v>238.38</v>
      </c>
      <c r="I635" s="124">
        <v>77.47</v>
      </c>
      <c r="J635" s="125">
        <v>126.77</v>
      </c>
      <c r="L635" s="39">
        <f t="shared" si="116"/>
        <v>-6.6185230398130897E-4</v>
      </c>
      <c r="M635" s="40">
        <f t="shared" si="108"/>
        <v>-3.838918960417254E-5</v>
      </c>
      <c r="N635" s="40">
        <f t="shared" si="109"/>
        <v>-5.8970166456696832E-3</v>
      </c>
      <c r="O635" s="40">
        <f t="shared" si="110"/>
        <v>-1.4822930428897612E-3</v>
      </c>
      <c r="P635" s="40">
        <f t="shared" si="111"/>
        <v>-1.6318369453044382E-2</v>
      </c>
      <c r="Q635" s="40">
        <f t="shared" si="112"/>
        <v>-1.1810534167668122E-2</v>
      </c>
      <c r="R635" s="40">
        <f t="shared" si="113"/>
        <v>2.024395463299803E-2</v>
      </c>
      <c r="S635" s="40">
        <f t="shared" si="114"/>
        <v>-9.0816065489896132E-3</v>
      </c>
      <c r="T635" s="41">
        <f t="shared" si="115"/>
        <v>-1.8276155811972426E-2</v>
      </c>
      <c r="V635" s="39">
        <f t="shared" si="117"/>
        <v>-6.6185230398130897E-4</v>
      </c>
      <c r="W635" s="40" cm="1">
        <f t="array" ref="W635">IF(M635="","",SUMPRODUCT(M635:T635,TRANSPOSE('04_Dashboard'!$C$53:$C$60)))</f>
        <v>-6.7032130013938325E-3</v>
      </c>
      <c r="X635" s="42">
        <f t="shared" si="118"/>
        <v>1.5900868222133764</v>
      </c>
      <c r="Y635" s="118">
        <f t="shared" si="119"/>
        <v>1.7941416636702558</v>
      </c>
      <c r="AA635" s="43">
        <f>IF(X635="","",X635/MAX($X$4:X635)-1)</f>
        <v>-2.304849818113841E-2</v>
      </c>
      <c r="AB635" s="44">
        <f>IF(Y635="","",Y635/MAX($Y$4:Y635)-1)</f>
        <v>-1.3573502230178058E-2</v>
      </c>
    </row>
    <row r="636" spans="1:28" x14ac:dyDescent="0.45">
      <c r="A636" s="121">
        <v>46125</v>
      </c>
      <c r="B636" s="124">
        <v>686.1</v>
      </c>
      <c r="C636" s="124">
        <v>259.2</v>
      </c>
      <c r="D636" s="124">
        <v>384.37</v>
      </c>
      <c r="E636" s="124">
        <v>313.68</v>
      </c>
      <c r="F636" s="124">
        <v>152.63999999999999</v>
      </c>
      <c r="G636" s="124">
        <v>237.96</v>
      </c>
      <c r="H636" s="124">
        <v>239.89</v>
      </c>
      <c r="I636" s="124">
        <v>76.41</v>
      </c>
      <c r="J636" s="125">
        <v>124.57</v>
      </c>
      <c r="L636" s="39">
        <f t="shared" si="116"/>
        <v>9.7724663703529068E-3</v>
      </c>
      <c r="M636" s="40">
        <f t="shared" si="108"/>
        <v>-4.9140049140050275E-3</v>
      </c>
      <c r="N636" s="40">
        <f t="shared" si="109"/>
        <v>3.6400895192385471E-2</v>
      </c>
      <c r="O636" s="40">
        <f t="shared" si="110"/>
        <v>1.2295478749152877E-2</v>
      </c>
      <c r="P636" s="40">
        <f t="shared" si="111"/>
        <v>8.5240312110678286E-4</v>
      </c>
      <c r="Q636" s="40">
        <f t="shared" si="112"/>
        <v>-2.0967877212111044E-3</v>
      </c>
      <c r="R636" s="40">
        <f t="shared" si="113"/>
        <v>6.3344240288614436E-3</v>
      </c>
      <c r="S636" s="40">
        <f t="shared" si="114"/>
        <v>-1.3682715890021974E-2</v>
      </c>
      <c r="T636" s="41">
        <f t="shared" si="115"/>
        <v>-1.7354263627041122E-2</v>
      </c>
      <c r="V636" s="39">
        <f t="shared" si="117"/>
        <v>9.7724663703529068E-3</v>
      </c>
      <c r="W636" s="40" cm="1">
        <f t="array" ref="W636">IF(M636="","",SUMPRODUCT(M636:T636,TRANSPOSE('04_Dashboard'!$C$53:$C$60)))</f>
        <v>8.1334273938025049E-4</v>
      </c>
      <c r="X636" s="42">
        <f t="shared" si="118"/>
        <v>1.605625892209398</v>
      </c>
      <c r="Y636" s="118">
        <f t="shared" si="119"/>
        <v>1.7956009157658215</v>
      </c>
      <c r="AA636" s="43">
        <f>IF(X636="","",X636/MAX($X$4:X636)-1)</f>
        <v>-1.3501272484147786E-2</v>
      </c>
      <c r="AB636" s="44">
        <f>IF(Y636="","",Y636/MAX($Y$4:Y636)-1)</f>
        <v>-1.2771199400284705E-2</v>
      </c>
    </row>
    <row r="637" spans="1:28" x14ac:dyDescent="0.45">
      <c r="A637" s="121">
        <v>46126</v>
      </c>
      <c r="B637" s="124">
        <v>694.46</v>
      </c>
      <c r="C637" s="124">
        <v>258.83</v>
      </c>
      <c r="D637" s="124">
        <v>393.11</v>
      </c>
      <c r="E637" s="124">
        <v>311.12</v>
      </c>
      <c r="F637" s="124">
        <v>149.24</v>
      </c>
      <c r="G637" s="124">
        <v>240.1</v>
      </c>
      <c r="H637" s="124">
        <v>249.02</v>
      </c>
      <c r="I637" s="124">
        <v>75.900000000000006</v>
      </c>
      <c r="J637" s="125">
        <v>125.05</v>
      </c>
      <c r="L637" s="39">
        <f t="shared" si="116"/>
        <v>1.2184812709517583E-2</v>
      </c>
      <c r="M637" s="40">
        <f t="shared" si="108"/>
        <v>-1.4274691358024867E-3</v>
      </c>
      <c r="N637" s="40">
        <f t="shared" si="109"/>
        <v>2.2738507167572936E-2</v>
      </c>
      <c r="O637" s="40">
        <f t="shared" si="110"/>
        <v>-8.1611833715888871E-3</v>
      </c>
      <c r="P637" s="40">
        <f t="shared" si="111"/>
        <v>-2.2274633123689581E-2</v>
      </c>
      <c r="Q637" s="40">
        <f t="shared" si="112"/>
        <v>8.9931080853924445E-3</v>
      </c>
      <c r="R637" s="40">
        <f t="shared" si="113"/>
        <v>3.8059110425611838E-2</v>
      </c>
      <c r="S637" s="40">
        <f t="shared" si="114"/>
        <v>-6.6745190420100893E-3</v>
      </c>
      <c r="T637" s="41">
        <f t="shared" si="115"/>
        <v>3.8532551978807416E-3</v>
      </c>
      <c r="V637" s="39">
        <f t="shared" si="117"/>
        <v>1.2184812709517583E-2</v>
      </c>
      <c r="W637" s="40" cm="1">
        <f t="array" ref="W637">IF(M637="","",SUMPRODUCT(M637:T637,TRANSPOSE('04_Dashboard'!$C$53:$C$60)))</f>
        <v>2.9757711495020994E-3</v>
      </c>
      <c r="X637" s="42">
        <f t="shared" si="118"/>
        <v>1.6251901429875217</v>
      </c>
      <c r="Y637" s="118">
        <f t="shared" si="119"/>
        <v>1.8009442131669771</v>
      </c>
      <c r="AA637" s="43">
        <f>IF(X637="","",X637/MAX($X$4:X637)-1)</f>
        <v>-1.4809702511895395E-3</v>
      </c>
      <c r="AB637" s="44">
        <f>IF(Y637="","",Y637/MAX($Y$4:Y637)-1)</f>
        <v>-9.8334324175024523E-3</v>
      </c>
    </row>
    <row r="638" spans="1:28" x14ac:dyDescent="0.45">
      <c r="A638" s="121">
        <v>46127</v>
      </c>
      <c r="B638" s="124">
        <v>699.94</v>
      </c>
      <c r="C638" s="124">
        <v>266.43</v>
      </c>
      <c r="D638" s="124">
        <v>411.22</v>
      </c>
      <c r="E638" s="124">
        <v>305.93</v>
      </c>
      <c r="F638" s="124">
        <v>149.01</v>
      </c>
      <c r="G638" s="124">
        <v>238.67</v>
      </c>
      <c r="H638" s="124">
        <v>248.5</v>
      </c>
      <c r="I638" s="124">
        <v>75.31</v>
      </c>
      <c r="J638" s="125">
        <v>124.76</v>
      </c>
      <c r="L638" s="39">
        <f t="shared" si="116"/>
        <v>7.891023241079426E-3</v>
      </c>
      <c r="M638" s="40">
        <f t="shared" si="108"/>
        <v>2.9362902291079178E-2</v>
      </c>
      <c r="N638" s="40">
        <f t="shared" si="109"/>
        <v>4.6068530436773454E-2</v>
      </c>
      <c r="O638" s="40">
        <f t="shared" si="110"/>
        <v>-1.6681666238107476E-2</v>
      </c>
      <c r="P638" s="40">
        <f t="shared" si="111"/>
        <v>-1.5411417850443459E-3</v>
      </c>
      <c r="Q638" s="40">
        <f t="shared" si="112"/>
        <v>-5.9558517284465096E-3</v>
      </c>
      <c r="R638" s="40">
        <f t="shared" si="113"/>
        <v>-2.0881856878965954E-3</v>
      </c>
      <c r="S638" s="40">
        <f t="shared" si="114"/>
        <v>-7.7733860342556436E-3</v>
      </c>
      <c r="T638" s="41">
        <f t="shared" si="115"/>
        <v>-2.3190723710515156E-3</v>
      </c>
      <c r="V638" s="39">
        <f t="shared" si="117"/>
        <v>7.891023241079426E-3</v>
      </c>
      <c r="W638" s="40" cm="1">
        <f t="array" ref="W638">IF(M638="","",SUMPRODUCT(M638:T638,TRANSPOSE('04_Dashboard'!$C$53:$C$60)))</f>
        <v>-2.2512337551108177E-3</v>
      </c>
      <c r="X638" s="42">
        <f t="shared" si="118"/>
        <v>1.6380145561770094</v>
      </c>
      <c r="Y638" s="118">
        <f t="shared" si="119"/>
        <v>1.796889866763224</v>
      </c>
      <c r="AA638" s="43">
        <f>IF(X638="","",X638/MAX($X$4:X638)-1)</f>
        <v>0</v>
      </c>
      <c r="AB638" s="44">
        <f>IF(Y638="","",Y638/MAX($Y$4:Y638)-1)</f>
        <v>-1.2062528817626483E-2</v>
      </c>
    </row>
    <row r="639" spans="1:28" x14ac:dyDescent="0.45">
      <c r="A639" s="121">
        <v>46128</v>
      </c>
      <c r="B639" s="124">
        <v>701.66</v>
      </c>
      <c r="C639" s="124">
        <v>263.39999999999998</v>
      </c>
      <c r="D639" s="124">
        <v>420.26</v>
      </c>
      <c r="E639" s="124">
        <v>309.95</v>
      </c>
      <c r="F639" s="124">
        <v>151.97999999999999</v>
      </c>
      <c r="G639" s="124">
        <v>234.54</v>
      </c>
      <c r="H639" s="124">
        <v>249.7</v>
      </c>
      <c r="I639" s="124">
        <v>75.180000000000007</v>
      </c>
      <c r="J639" s="125">
        <v>124.82</v>
      </c>
      <c r="L639" s="39">
        <f t="shared" si="116"/>
        <v>2.4573534874416571E-3</v>
      </c>
      <c r="M639" s="40">
        <f t="shared" si="108"/>
        <v>-1.1372593176444205E-2</v>
      </c>
      <c r="N639" s="40">
        <f t="shared" si="109"/>
        <v>2.1983366567773849E-2</v>
      </c>
      <c r="O639" s="40">
        <f t="shared" si="110"/>
        <v>1.3140260843983858E-2</v>
      </c>
      <c r="P639" s="40">
        <f t="shared" si="111"/>
        <v>1.9931548218240381E-2</v>
      </c>
      <c r="Q639" s="40">
        <f t="shared" si="112"/>
        <v>-1.7304227594586649E-2</v>
      </c>
      <c r="R639" s="40">
        <f t="shared" si="113"/>
        <v>4.828973843058304E-3</v>
      </c>
      <c r="S639" s="40">
        <f t="shared" si="114"/>
        <v>-1.7261983800291522E-3</v>
      </c>
      <c r="T639" s="41">
        <f t="shared" si="115"/>
        <v>4.8092337287582604E-4</v>
      </c>
      <c r="V639" s="39">
        <f t="shared" si="117"/>
        <v>2.4573534874416571E-3</v>
      </c>
      <c r="W639" s="40" cm="1">
        <f t="array" ref="W639">IF(M639="","",SUMPRODUCT(M639:T639,TRANSPOSE('04_Dashboard'!$C$53:$C$60)))</f>
        <v>1.0395210610910388E-3</v>
      </c>
      <c r="X639" s="42">
        <f t="shared" si="118"/>
        <v>1.6420397369591113</v>
      </c>
      <c r="Y639" s="118">
        <f t="shared" si="119"/>
        <v>1.7987577716241854</v>
      </c>
      <c r="AA639" s="43">
        <f>IF(X639="","",X639/MAX($X$4:X639)-1)</f>
        <v>0</v>
      </c>
      <c r="AB639" s="44">
        <f>IF(Y639="","",Y639/MAX($Y$4:Y639)-1)</f>
        <v>-1.1035547009291435E-2</v>
      </c>
    </row>
    <row r="640" spans="1:28" x14ac:dyDescent="0.45">
      <c r="A640" s="121">
        <v>46129</v>
      </c>
      <c r="B640" s="124">
        <v>710.14</v>
      </c>
      <c r="C640" s="124">
        <v>270.23</v>
      </c>
      <c r="D640" s="124">
        <v>422.79</v>
      </c>
      <c r="E640" s="124">
        <v>310.29000000000002</v>
      </c>
      <c r="F640" s="124">
        <v>146.44</v>
      </c>
      <c r="G640" s="124">
        <v>234.18</v>
      </c>
      <c r="H640" s="124">
        <v>250.56</v>
      </c>
      <c r="I640" s="124">
        <v>75.739999999999995</v>
      </c>
      <c r="J640" s="125">
        <v>127.5</v>
      </c>
      <c r="L640" s="39">
        <f t="shared" si="116"/>
        <v>1.2085625516632014E-2</v>
      </c>
      <c r="M640" s="40">
        <f t="shared" si="108"/>
        <v>2.5930144267274264E-2</v>
      </c>
      <c r="N640" s="40">
        <f t="shared" si="109"/>
        <v>6.0200828058821435E-3</v>
      </c>
      <c r="O640" s="40">
        <f t="shared" si="110"/>
        <v>1.0969511211486752E-3</v>
      </c>
      <c r="P640" s="40">
        <f t="shared" si="111"/>
        <v>-3.6452164758520811E-2</v>
      </c>
      <c r="Q640" s="40">
        <f t="shared" si="112"/>
        <v>-1.5349194167305587E-3</v>
      </c>
      <c r="R640" s="40">
        <f t="shared" si="113"/>
        <v>3.4441329595515167E-3</v>
      </c>
      <c r="S640" s="40">
        <f t="shared" si="114"/>
        <v>7.44878957169444E-3</v>
      </c>
      <c r="T640" s="41">
        <f t="shared" si="115"/>
        <v>2.1470918122095874E-2</v>
      </c>
      <c r="V640" s="39">
        <f t="shared" si="117"/>
        <v>1.2085625516632014E-2</v>
      </c>
      <c r="W640" s="40" cm="1">
        <f t="array" ref="W640">IF(M640="","",SUMPRODUCT(M640:T640,TRANSPOSE('04_Dashboard'!$C$53:$C$60)))</f>
        <v>4.1905331578567569E-3</v>
      </c>
      <c r="X640" s="42">
        <f t="shared" si="118"/>
        <v>1.6618848143034279</v>
      </c>
      <c r="Y640" s="118">
        <f t="shared" si="119"/>
        <v>1.8062955257091289</v>
      </c>
      <c r="AA640" s="43">
        <f>IF(X640="","",X640/MAX($X$4:X640)-1)</f>
        <v>0</v>
      </c>
      <c r="AB640" s="44">
        <f>IF(Y640="","",Y640/MAX($Y$4:Y640)-1)</f>
        <v>-6.8912586770922823E-3</v>
      </c>
    </row>
    <row r="641" spans="1:28" x14ac:dyDescent="0.45">
      <c r="A641" s="121">
        <v>46132</v>
      </c>
      <c r="B641" s="124">
        <v>708.72</v>
      </c>
      <c r="C641" s="124">
        <v>273.05</v>
      </c>
      <c r="D641" s="124">
        <v>418.07</v>
      </c>
      <c r="E641" s="124">
        <v>316.99</v>
      </c>
      <c r="F641" s="124">
        <v>147.68</v>
      </c>
      <c r="G641" s="124">
        <v>230.69</v>
      </c>
      <c r="H641" s="124">
        <v>248.28</v>
      </c>
      <c r="I641" s="124">
        <v>75.48</v>
      </c>
      <c r="J641" s="125">
        <v>127.92</v>
      </c>
      <c r="L641" s="39">
        <f t="shared" si="116"/>
        <v>-1.9996057115497777E-3</v>
      </c>
      <c r="M641" s="40">
        <f t="shared" si="108"/>
        <v>1.0435554897679729E-2</v>
      </c>
      <c r="N641" s="40">
        <f t="shared" si="109"/>
        <v>-1.1163934813973904E-2</v>
      </c>
      <c r="O641" s="40">
        <f t="shared" si="110"/>
        <v>2.1592703599858157E-2</v>
      </c>
      <c r="P641" s="40">
        <f t="shared" si="111"/>
        <v>8.4676317945917047E-3</v>
      </c>
      <c r="Q641" s="40">
        <f t="shared" si="112"/>
        <v>-1.4903066017593343E-2</v>
      </c>
      <c r="R641" s="40">
        <f t="shared" si="113"/>
        <v>-9.0996168582375518E-3</v>
      </c>
      <c r="S641" s="40">
        <f t="shared" si="114"/>
        <v>-3.4327964087667142E-3</v>
      </c>
      <c r="T641" s="41">
        <f t="shared" si="115"/>
        <v>3.2941176470588371E-3</v>
      </c>
      <c r="V641" s="39">
        <f t="shared" si="117"/>
        <v>-1.9996057115497777E-3</v>
      </c>
      <c r="W641" s="40" cm="1">
        <f t="array" ref="W641">IF(M641="","",SUMPRODUCT(M641:T641,TRANSPOSE('04_Dashboard'!$C$53:$C$60)))</f>
        <v>1.1209799053296834E-3</v>
      </c>
      <c r="X641" s="42">
        <f t="shared" si="118"/>
        <v>1.6585616999368089</v>
      </c>
      <c r="Y641" s="118">
        <f t="shared" si="119"/>
        <v>1.8083203466965359</v>
      </c>
      <c r="AA641" s="43">
        <f>IF(X641="","",X641/MAX($X$4:X641)-1)</f>
        <v>-1.999605711549779E-3</v>
      </c>
      <c r="AB641" s="44">
        <f>IF(Y641="","",Y641/MAX($Y$4:Y641)-1)</f>
        <v>-5.7780037342619606E-3</v>
      </c>
    </row>
    <row r="642" spans="1:28" x14ac:dyDescent="0.45">
      <c r="A642" s="121">
        <v>46133</v>
      </c>
      <c r="B642" s="124">
        <v>704.08</v>
      </c>
      <c r="C642" s="124">
        <v>266.17</v>
      </c>
      <c r="D642" s="124">
        <v>424.16</v>
      </c>
      <c r="E642" s="124">
        <v>313</v>
      </c>
      <c r="F642" s="124">
        <v>148.36000000000001</v>
      </c>
      <c r="G642" s="124">
        <v>226.16</v>
      </c>
      <c r="H642" s="124">
        <v>249.91</v>
      </c>
      <c r="I642" s="124">
        <v>74.7</v>
      </c>
      <c r="J642" s="125">
        <v>129.6</v>
      </c>
      <c r="L642" s="39">
        <f t="shared" si="116"/>
        <v>-6.5470143357037845E-3</v>
      </c>
      <c r="M642" s="40">
        <f t="shared" si="108"/>
        <v>-2.519685039370077E-2</v>
      </c>
      <c r="N642" s="40">
        <f t="shared" si="109"/>
        <v>1.4566938550960442E-2</v>
      </c>
      <c r="O642" s="40">
        <f t="shared" si="110"/>
        <v>-1.2587147859553957E-2</v>
      </c>
      <c r="P642" s="40">
        <f t="shared" si="111"/>
        <v>4.6045503791983123E-3</v>
      </c>
      <c r="Q642" s="40">
        <f t="shared" si="112"/>
        <v>-1.9636741948068841E-2</v>
      </c>
      <c r="R642" s="40">
        <f t="shared" si="113"/>
        <v>6.5651683583051214E-3</v>
      </c>
      <c r="S642" s="40">
        <f t="shared" si="114"/>
        <v>-1.033386327503976E-2</v>
      </c>
      <c r="T642" s="41">
        <f t="shared" si="115"/>
        <v>1.3133208255159417E-2</v>
      </c>
      <c r="V642" s="39">
        <f t="shared" si="117"/>
        <v>-6.5470143357037845E-3</v>
      </c>
      <c r="W642" s="40" cm="1">
        <f t="array" ref="W642">IF(M642="","",SUMPRODUCT(M642:T642,TRANSPOSE('04_Dashboard'!$C$53:$C$60)))</f>
        <v>-6.9464556457209201E-3</v>
      </c>
      <c r="X642" s="42">
        <f t="shared" si="118"/>
        <v>1.6477030727106734</v>
      </c>
      <c r="Y642" s="118">
        <f t="shared" si="119"/>
        <v>1.7957589296149536</v>
      </c>
      <c r="AA642" s="43">
        <f>IF(X642="","",X642/MAX($X$4:X642)-1)</f>
        <v>-8.5335285999943444E-3</v>
      </c>
      <c r="AB642" s="44">
        <f>IF(Y642="","",Y642/MAX($Y$4:Y642)-1)</f>
        <v>-1.2684322733321984E-2</v>
      </c>
    </row>
    <row r="643" spans="1:28" x14ac:dyDescent="0.45">
      <c r="A643" s="121">
        <v>46134</v>
      </c>
      <c r="B643" s="124">
        <v>711.21</v>
      </c>
      <c r="C643" s="124">
        <v>273.17</v>
      </c>
      <c r="D643" s="124">
        <v>432.92</v>
      </c>
      <c r="E643" s="124">
        <v>313.02</v>
      </c>
      <c r="F643" s="124">
        <v>149.5</v>
      </c>
      <c r="G643" s="124">
        <v>226.1</v>
      </c>
      <c r="H643" s="124">
        <v>255.36</v>
      </c>
      <c r="I643" s="124">
        <v>74.63</v>
      </c>
      <c r="J643" s="125">
        <v>129.97999999999999</v>
      </c>
      <c r="L643" s="39">
        <f t="shared" si="116"/>
        <v>1.0126690148846715E-2</v>
      </c>
      <c r="M643" s="40">
        <f t="shared" si="108"/>
        <v>2.6298981853702521E-2</v>
      </c>
      <c r="N643" s="40">
        <f t="shared" si="109"/>
        <v>2.0652583930592206E-2</v>
      </c>
      <c r="O643" s="40">
        <f t="shared" si="110"/>
        <v>6.3897763578216649E-5</v>
      </c>
      <c r="P643" s="40">
        <f t="shared" si="111"/>
        <v>7.6840118630357663E-3</v>
      </c>
      <c r="Q643" s="40">
        <f t="shared" si="112"/>
        <v>-2.652989034312092E-4</v>
      </c>
      <c r="R643" s="40">
        <f t="shared" si="113"/>
        <v>2.1807850826297534E-2</v>
      </c>
      <c r="S643" s="40">
        <f t="shared" si="114"/>
        <v>-9.370816599733251E-4</v>
      </c>
      <c r="T643" s="41">
        <f t="shared" si="115"/>
        <v>2.9320987654320638E-3</v>
      </c>
      <c r="V643" s="39">
        <f t="shared" si="117"/>
        <v>1.0126690148846715E-2</v>
      </c>
      <c r="W643" s="40" cm="1">
        <f t="array" ref="W643">IF(M643="","",SUMPRODUCT(M643:T643,TRANSPOSE('04_Dashboard'!$C$53:$C$60)))</f>
        <v>5.0740542509155762E-3</v>
      </c>
      <c r="X643" s="42">
        <f t="shared" si="118"/>
        <v>1.6643888511853171</v>
      </c>
      <c r="Y643" s="118">
        <f t="shared" si="119"/>
        <v>1.8048707078453861</v>
      </c>
      <c r="AA643" s="43">
        <f>IF(X643="","",X643/MAX($X$4:X643)-1)</f>
        <v>0</v>
      </c>
      <c r="AB643" s="44">
        <f>IF(Y643="","",Y643/MAX($Y$4:Y643)-1)</f>
        <v>-7.6746294240914725E-3</v>
      </c>
    </row>
    <row r="644" spans="1:28" x14ac:dyDescent="0.45">
      <c r="A644" s="121">
        <v>46135</v>
      </c>
      <c r="B644" s="124">
        <v>708.45</v>
      </c>
      <c r="C644" s="124">
        <v>273.43</v>
      </c>
      <c r="D644" s="124">
        <v>415.75</v>
      </c>
      <c r="E644" s="124">
        <v>311.69</v>
      </c>
      <c r="F644" s="124">
        <v>150.53</v>
      </c>
      <c r="G644" s="124">
        <v>230.65</v>
      </c>
      <c r="H644" s="124">
        <v>255.08</v>
      </c>
      <c r="I644" s="124">
        <v>76.28</v>
      </c>
      <c r="J644" s="125">
        <v>132.03</v>
      </c>
      <c r="L644" s="39">
        <f t="shared" si="116"/>
        <v>-3.8807103387185089E-3</v>
      </c>
      <c r="M644" s="40">
        <f t="shared" ref="M644:M707" si="120">IF(C644="","",(C644-C643)/C643)</f>
        <v>9.5178826371853016E-4</v>
      </c>
      <c r="N644" s="40">
        <f t="shared" ref="N644:N707" si="121">IF(D644="","",(D644-D643)/D643)</f>
        <v>-3.9660907326988855E-2</v>
      </c>
      <c r="O644" s="40">
        <f t="shared" ref="O644:O707" si="122">IF(E644="","",(E644-E643)/E643)</f>
        <v>-4.2489297808446236E-3</v>
      </c>
      <c r="P644" s="40">
        <f t="shared" ref="P644:P707" si="123">IF(F644="","",(F644-F643)/F643)</f>
        <v>6.8896321070234193E-3</v>
      </c>
      <c r="Q644" s="40">
        <f t="shared" ref="Q644:Q707" si="124">IF(G644="","",(G644-G643)/G643)</f>
        <v>2.0123839009287978E-2</v>
      </c>
      <c r="R644" s="40">
        <f t="shared" ref="R644:R707" si="125">IF(H644="","",(H644-H643)/H643)</f>
        <v>-1.0964912280701799E-3</v>
      </c>
      <c r="S644" s="40">
        <f t="shared" ref="S644:S707" si="126">IF(I644="","",(I644-I643)/I643)</f>
        <v>2.2109071419000481E-2</v>
      </c>
      <c r="T644" s="41">
        <f t="shared" ref="T644:T707" si="127">IF(J644="","",(J644-J643)/J643)</f>
        <v>1.5771657178027476E-2</v>
      </c>
      <c r="V644" s="39">
        <f t="shared" si="117"/>
        <v>-3.8807103387185089E-3</v>
      </c>
      <c r="W644" s="40" cm="1">
        <f t="array" ref="W644">IF(M644="","",SUMPRODUCT(M644:T644,TRANSPOSE('04_Dashboard'!$C$53:$C$60)))</f>
        <v>6.6678755399461002E-3</v>
      </c>
      <c r="X644" s="42">
        <f t="shared" si="118"/>
        <v>1.6579298401628744</v>
      </c>
      <c r="Y644" s="118">
        <f t="shared" si="119"/>
        <v>1.8169053610909935</v>
      </c>
      <c r="AA644" s="43">
        <f>IF(X644="","",X644/MAX($X$4:X644)-1)</f>
        <v>-3.8807103387185071E-3</v>
      </c>
      <c r="AB644" s="44">
        <f>IF(Y644="","",Y644/MAX($Y$4:Y644)-1)</f>
        <v>-1.0579273579603976E-3</v>
      </c>
    </row>
    <row r="645" spans="1:28" x14ac:dyDescent="0.45">
      <c r="A645" s="121">
        <v>46136</v>
      </c>
      <c r="B645" s="124">
        <v>713.94</v>
      </c>
      <c r="C645" s="124">
        <v>271.06</v>
      </c>
      <c r="D645" s="124">
        <v>424.62</v>
      </c>
      <c r="E645" s="124">
        <v>308.27999999999997</v>
      </c>
      <c r="F645" s="124">
        <v>148.91</v>
      </c>
      <c r="G645" s="124">
        <v>227.5</v>
      </c>
      <c r="H645" s="124">
        <v>263.99</v>
      </c>
      <c r="I645" s="124">
        <v>76.63</v>
      </c>
      <c r="J645" s="125">
        <v>129.91999999999999</v>
      </c>
      <c r="L645" s="39">
        <f t="shared" ref="L645:L708" si="128">IF(B645="","",(B645-B644)/B644)</f>
        <v>7.7493118780436283E-3</v>
      </c>
      <c r="M645" s="40">
        <f t="shared" si="120"/>
        <v>-8.6676663131331766E-3</v>
      </c>
      <c r="N645" s="40">
        <f t="shared" si="121"/>
        <v>2.133493686109442E-2</v>
      </c>
      <c r="O645" s="40">
        <f t="shared" si="122"/>
        <v>-1.0940357406397462E-2</v>
      </c>
      <c r="P645" s="40">
        <f t="shared" si="123"/>
        <v>-1.0761974357271007E-2</v>
      </c>
      <c r="Q645" s="40">
        <f t="shared" si="124"/>
        <v>-1.365705614567529E-2</v>
      </c>
      <c r="R645" s="40">
        <f t="shared" si="125"/>
        <v>3.4930217970832664E-2</v>
      </c>
      <c r="S645" s="40">
        <f t="shared" si="126"/>
        <v>4.5883586785526263E-3</v>
      </c>
      <c r="T645" s="41">
        <f t="shared" si="127"/>
        <v>-1.5981216390214447E-2</v>
      </c>
      <c r="V645" s="39">
        <f t="shared" ref="V645:V708" si="129">L645</f>
        <v>7.7493118780436283E-3</v>
      </c>
      <c r="W645" s="40" cm="1">
        <f t="array" ref="W645">IF(M645="","",SUMPRODUCT(M645:T645,TRANSPOSE('04_Dashboard'!$C$53:$C$60)))</f>
        <v>-4.4375522112431324E-3</v>
      </c>
      <c r="X645" s="42">
        <f t="shared" si="118"/>
        <v>1.6707776555662115</v>
      </c>
      <c r="Y645" s="118">
        <f t="shared" si="119"/>
        <v>1.8088427486882648</v>
      </c>
      <c r="AA645" s="43">
        <f>IF(X645="","",X645/MAX($X$4:X645)-1)</f>
        <v>0</v>
      </c>
      <c r="AB645" s="44">
        <f>IF(Y645="","",Y645/MAX($Y$4:Y645)-1)</f>
        <v>-5.4907849613168302E-3</v>
      </c>
    </row>
    <row r="646" spans="1:28" x14ac:dyDescent="0.45">
      <c r="A646" s="121">
        <v>46139</v>
      </c>
      <c r="B646" s="124">
        <v>715.17</v>
      </c>
      <c r="C646" s="124">
        <v>267.61</v>
      </c>
      <c r="D646" s="124">
        <v>424.82</v>
      </c>
      <c r="E646" s="124">
        <v>311.63</v>
      </c>
      <c r="F646" s="124">
        <v>148.19</v>
      </c>
      <c r="G646" s="124">
        <v>225.34</v>
      </c>
      <c r="H646" s="124">
        <v>261.12</v>
      </c>
      <c r="I646" s="124">
        <v>75.44</v>
      </c>
      <c r="J646" s="125">
        <v>127.59</v>
      </c>
      <c r="L646" s="39">
        <f t="shared" si="128"/>
        <v>1.7228338515840329E-3</v>
      </c>
      <c r="M646" s="40">
        <f t="shared" si="120"/>
        <v>-1.2727809341105248E-2</v>
      </c>
      <c r="N646" s="40">
        <f t="shared" si="121"/>
        <v>4.7100937308649767E-4</v>
      </c>
      <c r="O646" s="40">
        <f t="shared" si="122"/>
        <v>1.0866744517970751E-2</v>
      </c>
      <c r="P646" s="40">
        <f t="shared" si="123"/>
        <v>-4.8351353166342015E-3</v>
      </c>
      <c r="Q646" s="40">
        <f t="shared" si="124"/>
        <v>-9.4945054945054803E-3</v>
      </c>
      <c r="R646" s="40">
        <f t="shared" si="125"/>
        <v>-1.0871623925148696E-2</v>
      </c>
      <c r="S646" s="40">
        <f t="shared" si="126"/>
        <v>-1.5529166122928328E-2</v>
      </c>
      <c r="T646" s="41">
        <f t="shared" si="127"/>
        <v>-1.793411330049249E-2</v>
      </c>
      <c r="V646" s="39">
        <f t="shared" si="129"/>
        <v>1.7228338515840329E-3</v>
      </c>
      <c r="W646" s="40" cm="1">
        <f t="array" ref="W646">IF(M646="","",SUMPRODUCT(M646:T646,TRANSPOSE('04_Dashboard'!$C$53:$C$60)))</f>
        <v>-6.049637257094064E-3</v>
      </c>
      <c r="X646" s="42">
        <f t="shared" ref="X646:X709" si="130">IF(V646="","",X645*(1+V646))</f>
        <v>1.6736561278696911</v>
      </c>
      <c r="Y646" s="118">
        <f t="shared" ref="Y646:Y709" si="131">IF(W646="","",Y645*(1+W646))</f>
        <v>1.7978999062035759</v>
      </c>
      <c r="AA646" s="43">
        <f>IF(X646="","",X646/MAX($X$4:X646)-1)</f>
        <v>0</v>
      </c>
      <c r="AB646" s="44">
        <f>IF(Y646="","",Y646/MAX($Y$4:Y646)-1)</f>
        <v>-1.1507204961138107E-2</v>
      </c>
    </row>
    <row r="647" spans="1:28" x14ac:dyDescent="0.45">
      <c r="A647" s="121">
        <v>46140</v>
      </c>
      <c r="B647" s="124">
        <v>711.69</v>
      </c>
      <c r="C647" s="124">
        <v>270.70999999999998</v>
      </c>
      <c r="D647" s="124">
        <v>429.25</v>
      </c>
      <c r="E647" s="124">
        <v>311.45</v>
      </c>
      <c r="F647" s="124">
        <v>150.56</v>
      </c>
      <c r="G647" s="124">
        <v>227.79</v>
      </c>
      <c r="H647" s="124">
        <v>259.7</v>
      </c>
      <c r="I647" s="124">
        <v>78.349999999999994</v>
      </c>
      <c r="J647" s="125">
        <v>127.59</v>
      </c>
      <c r="L647" s="39">
        <f t="shared" si="128"/>
        <v>-4.8659759218086674E-3</v>
      </c>
      <c r="M647" s="40">
        <f t="shared" si="120"/>
        <v>1.158402152385922E-2</v>
      </c>
      <c r="N647" s="40">
        <f t="shared" si="121"/>
        <v>1.0427945953580356E-2</v>
      </c>
      <c r="O647" s="40">
        <f t="shared" si="122"/>
        <v>-5.7760806084140436E-4</v>
      </c>
      <c r="P647" s="40">
        <f t="shared" si="123"/>
        <v>1.599298198258995E-2</v>
      </c>
      <c r="Q647" s="40">
        <f t="shared" si="124"/>
        <v>1.0872459394692413E-2</v>
      </c>
      <c r="R647" s="40">
        <f t="shared" si="125"/>
        <v>-5.4381127450980997E-3</v>
      </c>
      <c r="S647" s="40">
        <f t="shared" si="126"/>
        <v>3.8573700954400804E-2</v>
      </c>
      <c r="T647" s="41">
        <f t="shared" si="127"/>
        <v>0</v>
      </c>
      <c r="V647" s="39">
        <f t="shared" si="129"/>
        <v>-4.8659759218086674E-3</v>
      </c>
      <c r="W647" s="40" cm="1">
        <f t="array" ref="W647">IF(M647="","",SUMPRODUCT(M647:T647,TRANSPOSE('04_Dashboard'!$C$53:$C$60)))</f>
        <v>9.5420689791205805E-3</v>
      </c>
      <c r="X647" s="42">
        <f t="shared" si="130"/>
        <v>1.6655121574500895</v>
      </c>
      <c r="Y647" s="118">
        <f t="shared" si="131"/>
        <v>1.8150555911261248</v>
      </c>
      <c r="AA647" s="43">
        <f>IF(X647="","",X647/MAX($X$4:X647)-1)</f>
        <v>-4.8659759218087073E-3</v>
      </c>
      <c r="AB647" s="44">
        <f>IF(Y647="","",Y647/MAX($Y$4:Y647)-1)</f>
        <v>-2.0749385255136588E-3</v>
      </c>
    </row>
    <row r="648" spans="1:28" x14ac:dyDescent="0.45">
      <c r="A648" s="121">
        <v>46141</v>
      </c>
      <c r="B648" s="124">
        <v>711.58</v>
      </c>
      <c r="C648" s="124">
        <v>270.22000000000003</v>
      </c>
      <c r="D648" s="124">
        <v>424.46</v>
      </c>
      <c r="E648" s="124">
        <v>309.25</v>
      </c>
      <c r="F648" s="124">
        <v>154.66999999999999</v>
      </c>
      <c r="G648" s="124">
        <v>227.35</v>
      </c>
      <c r="H648" s="124">
        <v>263.04000000000002</v>
      </c>
      <c r="I648" s="124">
        <v>78.87</v>
      </c>
      <c r="J648" s="125">
        <v>128.01</v>
      </c>
      <c r="L648" s="39">
        <f t="shared" si="128"/>
        <v>-1.5456167713472668E-4</v>
      </c>
      <c r="M648" s="40">
        <f t="shared" si="120"/>
        <v>-1.8100550404490129E-3</v>
      </c>
      <c r="N648" s="40">
        <f t="shared" si="121"/>
        <v>-1.11589982527665E-2</v>
      </c>
      <c r="O648" s="40">
        <f t="shared" si="122"/>
        <v>-7.0637341467329863E-3</v>
      </c>
      <c r="P648" s="40">
        <f t="shared" si="123"/>
        <v>2.7298087141338901E-2</v>
      </c>
      <c r="Q648" s="40">
        <f t="shared" si="124"/>
        <v>-1.9316036700469633E-3</v>
      </c>
      <c r="R648" s="40">
        <f t="shared" si="125"/>
        <v>1.2860993453985491E-2</v>
      </c>
      <c r="S648" s="40">
        <f t="shared" si="126"/>
        <v>6.6368857689854529E-3</v>
      </c>
      <c r="T648" s="41">
        <f t="shared" si="127"/>
        <v>3.2917940277450231E-3</v>
      </c>
      <c r="V648" s="39">
        <f t="shared" si="129"/>
        <v>-1.5456167713472668E-4</v>
      </c>
      <c r="W648" s="40" cm="1">
        <f t="array" ref="W648">IF(M648="","",SUMPRODUCT(M648:T648,TRANSPOSE('04_Dashboard'!$C$53:$C$60)))</f>
        <v>6.9530632546896832E-4</v>
      </c>
      <c r="X648" s="42">
        <f t="shared" si="130"/>
        <v>1.6652547330977459</v>
      </c>
      <c r="Y648" s="118">
        <f t="shared" si="131"/>
        <v>1.8163176107597125</v>
      </c>
      <c r="AA648" s="43">
        <f>IF(X648="","",X648/MAX($X$4:X648)-1)</f>
        <v>-5.0197855055440499E-3</v>
      </c>
      <c r="AB648" s="44">
        <f>IF(Y648="","",Y648/MAX($Y$4:Y648)-1)</f>
        <v>-1.3810749179264947E-3</v>
      </c>
    </row>
    <row r="649" spans="1:28" x14ac:dyDescent="0.45">
      <c r="A649" s="121">
        <v>46142</v>
      </c>
      <c r="B649" s="124">
        <v>718.66</v>
      </c>
      <c r="C649" s="124">
        <v>271.35000000000002</v>
      </c>
      <c r="D649" s="124">
        <v>407.78</v>
      </c>
      <c r="E649" s="124">
        <v>313.23</v>
      </c>
      <c r="F649" s="124">
        <v>154.33000000000001</v>
      </c>
      <c r="G649" s="124">
        <v>229.85</v>
      </c>
      <c r="H649" s="124">
        <v>265.06</v>
      </c>
      <c r="I649" s="124">
        <v>78.760000000000005</v>
      </c>
      <c r="J649" s="125">
        <v>131.93</v>
      </c>
      <c r="L649" s="39">
        <f t="shared" si="128"/>
        <v>9.9496894235362524E-3</v>
      </c>
      <c r="M649" s="40">
        <f t="shared" si="120"/>
        <v>4.1817778106727679E-3</v>
      </c>
      <c r="N649" s="40">
        <f t="shared" si="121"/>
        <v>-3.9296989115582166E-2</v>
      </c>
      <c r="O649" s="40">
        <f t="shared" si="122"/>
        <v>1.2869846402586963E-2</v>
      </c>
      <c r="P649" s="40">
        <f t="shared" si="123"/>
        <v>-2.1982284864548716E-3</v>
      </c>
      <c r="Q649" s="40">
        <f t="shared" si="124"/>
        <v>1.0996261271167804E-2</v>
      </c>
      <c r="R649" s="40">
        <f t="shared" si="125"/>
        <v>7.6794403892943338E-3</v>
      </c>
      <c r="S649" s="40">
        <f t="shared" si="126"/>
        <v>-1.3947001394700067E-3</v>
      </c>
      <c r="T649" s="41">
        <f t="shared" si="127"/>
        <v>3.0622607608780692E-2</v>
      </c>
      <c r="V649" s="39">
        <f t="shared" si="129"/>
        <v>9.9496894235362524E-3</v>
      </c>
      <c r="W649" s="40" cm="1">
        <f t="array" ref="W649">IF(M649="","",SUMPRODUCT(M649:T649,TRANSPOSE('04_Dashboard'!$C$53:$C$60)))</f>
        <v>7.7622440078593605E-3</v>
      </c>
      <c r="X649" s="42">
        <f t="shared" si="130"/>
        <v>1.6818235005031421</v>
      </c>
      <c r="Y649" s="118">
        <f t="shared" si="131"/>
        <v>1.8304163112502014</v>
      </c>
      <c r="AA649" s="43">
        <f>IF(X649="","",X649/MAX($X$4:X649)-1)</f>
        <v>0</v>
      </c>
      <c r="AB649" s="44">
        <f>IF(Y649="","",Y649/MAX($Y$4:Y649)-1)</f>
        <v>0</v>
      </c>
    </row>
    <row r="650" spans="1:28" x14ac:dyDescent="0.45">
      <c r="A650" s="121">
        <v>46143</v>
      </c>
      <c r="B650" s="124">
        <v>720.65</v>
      </c>
      <c r="C650" s="124">
        <v>280.14</v>
      </c>
      <c r="D650" s="124">
        <v>414.44</v>
      </c>
      <c r="E650" s="124">
        <v>312.47000000000003</v>
      </c>
      <c r="F650" s="124">
        <v>152.75</v>
      </c>
      <c r="G650" s="124">
        <v>227.19</v>
      </c>
      <c r="H650" s="124">
        <v>268.26</v>
      </c>
      <c r="I650" s="124">
        <v>78.58</v>
      </c>
      <c r="J650" s="125">
        <v>131.6</v>
      </c>
      <c r="L650" s="39">
        <f t="shared" si="128"/>
        <v>2.7690423844377162E-3</v>
      </c>
      <c r="M650" s="40">
        <f t="shared" si="120"/>
        <v>3.2393587617468078E-2</v>
      </c>
      <c r="N650" s="40">
        <f t="shared" si="121"/>
        <v>1.6332336063563747E-2</v>
      </c>
      <c r="O650" s="40">
        <f t="shared" si="122"/>
        <v>-2.4263320882418377E-3</v>
      </c>
      <c r="P650" s="40">
        <f t="shared" si="123"/>
        <v>-1.0237802112356718E-2</v>
      </c>
      <c r="Q650" s="40">
        <f t="shared" si="124"/>
        <v>-1.1572764846639098E-2</v>
      </c>
      <c r="R650" s="40">
        <f t="shared" si="125"/>
        <v>1.207273824794382E-2</v>
      </c>
      <c r="S650" s="40">
        <f t="shared" si="126"/>
        <v>-2.285424073133657E-3</v>
      </c>
      <c r="T650" s="41">
        <f t="shared" si="127"/>
        <v>-2.5013264610021413E-3</v>
      </c>
      <c r="V650" s="39">
        <f t="shared" si="129"/>
        <v>2.7690423844377162E-3</v>
      </c>
      <c r="W650" s="40" cm="1">
        <f t="array" ref="W650">IF(M650="","",SUMPRODUCT(M650:T650,TRANSPOSE('04_Dashboard'!$C$53:$C$60)))</f>
        <v>-7.2558514074309573E-4</v>
      </c>
      <c r="X650" s="42">
        <f t="shared" si="130"/>
        <v>1.6864805410591788</v>
      </c>
      <c r="Y650" s="118">
        <f t="shared" si="131"/>
        <v>1.8290881883733845</v>
      </c>
      <c r="AA650" s="43">
        <f>IF(X650="","",X650/MAX($X$4:X650)-1)</f>
        <v>0</v>
      </c>
      <c r="AB650" s="44">
        <f>IF(Y650="","",Y650/MAX($Y$4:Y650)-1)</f>
        <v>-7.2558514074305691E-4</v>
      </c>
    </row>
    <row r="651" spans="1:28" x14ac:dyDescent="0.45">
      <c r="A651" s="121">
        <v>46146</v>
      </c>
      <c r="B651" s="124">
        <v>718.01</v>
      </c>
      <c r="C651" s="124">
        <v>276.83</v>
      </c>
      <c r="D651" s="124">
        <v>413.62</v>
      </c>
      <c r="E651" s="124">
        <v>307.64999999999998</v>
      </c>
      <c r="F651" s="124">
        <v>153.69</v>
      </c>
      <c r="G651" s="124">
        <v>224.2</v>
      </c>
      <c r="H651" s="124">
        <v>272.05</v>
      </c>
      <c r="I651" s="124">
        <v>78.19</v>
      </c>
      <c r="J651" s="125">
        <v>130.33000000000001</v>
      </c>
      <c r="L651" s="39">
        <f t="shared" si="128"/>
        <v>-3.6633594671476952E-3</v>
      </c>
      <c r="M651" s="40">
        <f t="shared" si="120"/>
        <v>-1.1815520811023069E-2</v>
      </c>
      <c r="N651" s="40">
        <f t="shared" si="121"/>
        <v>-1.978573496766705E-3</v>
      </c>
      <c r="O651" s="40">
        <f t="shared" si="122"/>
        <v>-1.5425480846161391E-2</v>
      </c>
      <c r="P651" s="40">
        <f t="shared" si="123"/>
        <v>6.1538461538461391E-3</v>
      </c>
      <c r="Q651" s="40">
        <f t="shared" si="124"/>
        <v>-1.3160790527752143E-2</v>
      </c>
      <c r="R651" s="40">
        <f t="shared" si="125"/>
        <v>1.4128084693953704E-2</v>
      </c>
      <c r="S651" s="40">
        <f t="shared" si="126"/>
        <v>-4.9630949350979968E-3</v>
      </c>
      <c r="T651" s="41">
        <f t="shared" si="127"/>
        <v>-9.6504559270515333E-3</v>
      </c>
      <c r="V651" s="39">
        <f t="shared" si="129"/>
        <v>-3.6633594671476952E-3</v>
      </c>
      <c r="W651" s="40" cm="1">
        <f t="array" ref="W651">IF(M651="","",SUMPRODUCT(M651:T651,TRANSPOSE('04_Dashboard'!$C$53:$C$60)))</f>
        <v>-8.2652777480494172E-3</v>
      </c>
      <c r="X651" s="42">
        <f t="shared" si="130"/>
        <v>1.6803023566029294</v>
      </c>
      <c r="Y651" s="118">
        <f t="shared" si="131"/>
        <v>1.813970266470802</v>
      </c>
      <c r="AA651" s="43">
        <f>IF(X651="","",X651/MAX($X$4:X651)-1)</f>
        <v>-3.6633594671476866E-3</v>
      </c>
      <c r="AB651" s="44">
        <f>IF(Y651="","",Y651/MAX($Y$4:Y651)-1)</f>
        <v>-8.9848657260743758E-3</v>
      </c>
    </row>
    <row r="652" spans="1:28" x14ac:dyDescent="0.45">
      <c r="A652" s="121">
        <v>46147</v>
      </c>
      <c r="B652" s="124">
        <v>723.77</v>
      </c>
      <c r="C652" s="124">
        <v>284.18</v>
      </c>
      <c r="D652" s="124">
        <v>411.38</v>
      </c>
      <c r="E652" s="124">
        <v>309.39999999999998</v>
      </c>
      <c r="F652" s="124">
        <v>154.88</v>
      </c>
      <c r="G652" s="124">
        <v>225.59</v>
      </c>
      <c r="H652" s="124">
        <v>273.55</v>
      </c>
      <c r="I652" s="124">
        <v>78.48</v>
      </c>
      <c r="J652" s="125">
        <v>130.79</v>
      </c>
      <c r="L652" s="39">
        <f t="shared" si="128"/>
        <v>8.0221723931421449E-3</v>
      </c>
      <c r="M652" s="40">
        <f t="shared" si="120"/>
        <v>2.6550590615179073E-2</v>
      </c>
      <c r="N652" s="40">
        <f t="shared" si="121"/>
        <v>-5.4155988588559766E-3</v>
      </c>
      <c r="O652" s="40">
        <f t="shared" si="122"/>
        <v>5.688282138794085E-3</v>
      </c>
      <c r="P652" s="40">
        <f t="shared" si="123"/>
        <v>7.7428590018869007E-3</v>
      </c>
      <c r="Q652" s="40">
        <f t="shared" si="124"/>
        <v>6.199821587868041E-3</v>
      </c>
      <c r="R652" s="40">
        <f t="shared" si="125"/>
        <v>5.5136923359676527E-3</v>
      </c>
      <c r="S652" s="40">
        <f t="shared" si="126"/>
        <v>3.7089141833994916E-3</v>
      </c>
      <c r="T652" s="41">
        <f t="shared" si="127"/>
        <v>3.529502033299927E-3</v>
      </c>
      <c r="V652" s="39">
        <f t="shared" si="129"/>
        <v>8.0221723931421449E-3</v>
      </c>
      <c r="W652" s="40" cm="1">
        <f t="array" ref="W652">IF(M652="","",SUMPRODUCT(M652:T652,TRANSPOSE('04_Dashboard'!$C$53:$C$60)))</f>
        <v>5.7194652489989352E-3</v>
      </c>
      <c r="X652" s="42">
        <f t="shared" si="130"/>
        <v>1.693782031780201</v>
      </c>
      <c r="Y652" s="118">
        <f t="shared" si="131"/>
        <v>1.8243452063725989</v>
      </c>
      <c r="AA652" s="43">
        <f>IF(X652="","",X652/MAX($X$4:X652)-1)</f>
        <v>0</v>
      </c>
      <c r="AB652" s="44">
        <f>IF(Y652="","",Y652/MAX($Y$4:Y652)-1)</f>
        <v>-3.3167891043627273E-3</v>
      </c>
    </row>
    <row r="653" spans="1:28" x14ac:dyDescent="0.45">
      <c r="A653" s="121">
        <v>46148</v>
      </c>
      <c r="B653" s="124">
        <v>733.83</v>
      </c>
      <c r="C653" s="124">
        <v>287.51</v>
      </c>
      <c r="D653" s="124">
        <v>413.96</v>
      </c>
      <c r="E653" s="124">
        <v>314.89999999999998</v>
      </c>
      <c r="F653" s="124">
        <v>148.69</v>
      </c>
      <c r="G653" s="124">
        <v>224.62</v>
      </c>
      <c r="H653" s="124">
        <v>274.99</v>
      </c>
      <c r="I653" s="124">
        <v>79.17</v>
      </c>
      <c r="J653" s="125">
        <v>130.08000000000001</v>
      </c>
      <c r="L653" s="39">
        <f t="shared" si="128"/>
        <v>1.3899443193279714E-2</v>
      </c>
      <c r="M653" s="40">
        <f t="shared" si="120"/>
        <v>1.1717925258638835E-2</v>
      </c>
      <c r="N653" s="40">
        <f t="shared" si="121"/>
        <v>6.2715737274538965E-3</v>
      </c>
      <c r="O653" s="40">
        <f t="shared" si="122"/>
        <v>1.7776341305753073E-2</v>
      </c>
      <c r="P653" s="40">
        <f t="shared" si="123"/>
        <v>-3.9966425619834697E-2</v>
      </c>
      <c r="Q653" s="40">
        <f t="shared" si="124"/>
        <v>-4.2998359856376558E-3</v>
      </c>
      <c r="R653" s="40">
        <f t="shared" si="125"/>
        <v>5.2641199049533825E-3</v>
      </c>
      <c r="S653" s="40">
        <f t="shared" si="126"/>
        <v>8.792048929663579E-3</v>
      </c>
      <c r="T653" s="41">
        <f t="shared" si="127"/>
        <v>-5.4285495833013191E-3</v>
      </c>
      <c r="V653" s="39">
        <f t="shared" si="129"/>
        <v>1.3899443193279714E-2</v>
      </c>
      <c r="W653" s="40" cm="1">
        <f t="array" ref="W653">IF(M653="","",SUMPRODUCT(M653:T653,TRANSPOSE('04_Dashboard'!$C$53:$C$60)))</f>
        <v>3.1102801514771902E-3</v>
      </c>
      <c r="X653" s="42">
        <f t="shared" si="130"/>
        <v>1.7173246589127278</v>
      </c>
      <c r="Y653" s="118">
        <f t="shared" si="131"/>
        <v>1.8300194310574223</v>
      </c>
      <c r="AA653" s="43">
        <f>IF(X653="","",X653/MAX($X$4:X653)-1)</f>
        <v>0</v>
      </c>
      <c r="AB653" s="44">
        <f>IF(Y653="","",Y653/MAX($Y$4:Y653)-1)</f>
        <v>-2.1682509620346568E-4</v>
      </c>
    </row>
    <row r="654" spans="1:28" x14ac:dyDescent="0.45">
      <c r="A654" s="121">
        <v>46149</v>
      </c>
      <c r="B654" s="124">
        <v>731.58</v>
      </c>
      <c r="C654" s="124">
        <v>287.44</v>
      </c>
      <c r="D654" s="124">
        <v>420.77</v>
      </c>
      <c r="E654" s="124">
        <v>306.27</v>
      </c>
      <c r="F654" s="124">
        <v>146.58000000000001</v>
      </c>
      <c r="G654" s="124">
        <v>222.51</v>
      </c>
      <c r="H654" s="124">
        <v>271.17</v>
      </c>
      <c r="I654" s="124">
        <v>78.430000000000007</v>
      </c>
      <c r="J654" s="125">
        <v>130.19999999999999</v>
      </c>
      <c r="L654" s="39">
        <f t="shared" si="128"/>
        <v>-3.06610522873145E-3</v>
      </c>
      <c r="M654" s="40">
        <f t="shared" si="120"/>
        <v>-2.4346979235502481E-4</v>
      </c>
      <c r="N654" s="40">
        <f t="shared" si="121"/>
        <v>1.6450864817856806E-2</v>
      </c>
      <c r="O654" s="40">
        <f t="shared" si="122"/>
        <v>-2.7405525563670995E-2</v>
      </c>
      <c r="P654" s="40">
        <f t="shared" si="123"/>
        <v>-1.4190597888223723E-2</v>
      </c>
      <c r="Q654" s="40">
        <f t="shared" si="124"/>
        <v>-9.393642596385067E-3</v>
      </c>
      <c r="R654" s="40">
        <f t="shared" si="125"/>
        <v>-1.3891414233244821E-2</v>
      </c>
      <c r="S654" s="40">
        <f t="shared" si="126"/>
        <v>-9.3469748642161787E-3</v>
      </c>
      <c r="T654" s="41">
        <f t="shared" si="127"/>
        <v>9.2250922509206734E-4</v>
      </c>
      <c r="V654" s="39">
        <f t="shared" si="129"/>
        <v>-3.06610522873145E-3</v>
      </c>
      <c r="W654" s="40" cm="1">
        <f t="array" ref="W654">IF(M654="","",SUMPRODUCT(M654:T654,TRANSPOSE('04_Dashboard'!$C$53:$C$60)))</f>
        <v>-1.0525503667189698E-2</v>
      </c>
      <c r="X654" s="42">
        <f t="shared" si="130"/>
        <v>1.712059160796606</v>
      </c>
      <c r="Y654" s="118">
        <f t="shared" si="131"/>
        <v>1.8107575548247989</v>
      </c>
      <c r="AA654" s="43">
        <f>IF(X654="","",X654/MAX($X$4:X654)-1)</f>
        <v>-3.0661052287314083E-3</v>
      </c>
      <c r="AB654" s="44">
        <f>IF(Y654="","",Y654/MAX($Y$4:Y654)-1)</f>
        <v>-1.0740046570047901E-2</v>
      </c>
    </row>
    <row r="655" spans="1:28" x14ac:dyDescent="0.45">
      <c r="A655" s="121">
        <v>46150</v>
      </c>
      <c r="B655" s="124">
        <v>737.62</v>
      </c>
      <c r="C655" s="124">
        <v>293.32</v>
      </c>
      <c r="D655" s="124">
        <v>415.12</v>
      </c>
      <c r="E655" s="124">
        <v>302.10000000000002</v>
      </c>
      <c r="F655" s="124">
        <v>144.57</v>
      </c>
      <c r="G655" s="124">
        <v>221.32</v>
      </c>
      <c r="H655" s="124">
        <v>272.68</v>
      </c>
      <c r="I655" s="124">
        <v>78.42</v>
      </c>
      <c r="J655" s="125">
        <v>130.43</v>
      </c>
      <c r="L655" s="39">
        <f t="shared" si="128"/>
        <v>8.2561032286283982E-3</v>
      </c>
      <c r="M655" s="40">
        <f t="shared" si="120"/>
        <v>2.0456443083773989E-2</v>
      </c>
      <c r="N655" s="40">
        <f t="shared" si="121"/>
        <v>-1.3427763386172915E-2</v>
      </c>
      <c r="O655" s="40">
        <f t="shared" si="122"/>
        <v>-1.3615437359192736E-2</v>
      </c>
      <c r="P655" s="40">
        <f t="shared" si="123"/>
        <v>-1.371264838313562E-2</v>
      </c>
      <c r="Q655" s="40">
        <f t="shared" si="124"/>
        <v>-5.3480742438541985E-3</v>
      </c>
      <c r="R655" s="40">
        <f t="shared" si="125"/>
        <v>5.5684625880443664E-3</v>
      </c>
      <c r="S655" s="40">
        <f t="shared" si="126"/>
        <v>-1.2750223128911277E-4</v>
      </c>
      <c r="T655" s="41">
        <f t="shared" si="127"/>
        <v>1.7665130568357773E-3</v>
      </c>
      <c r="V655" s="39">
        <f t="shared" si="129"/>
        <v>8.2561032286283982E-3</v>
      </c>
      <c r="W655" s="40" cm="1">
        <f t="array" ref="W655">IF(M655="","",SUMPRODUCT(M655:T655,TRANSPOSE('04_Dashboard'!$C$53:$C$60)))</f>
        <v>-4.334978136306975E-3</v>
      </c>
      <c r="X655" s="42">
        <f t="shared" si="130"/>
        <v>1.7261940979616617</v>
      </c>
      <c r="Y655" s="118">
        <f t="shared" si="131"/>
        <v>1.8029079604144806</v>
      </c>
      <c r="AA655" s="43">
        <f>IF(X655="","",X655/MAX($X$4:X655)-1)</f>
        <v>0</v>
      </c>
      <c r="AB655" s="44">
        <f>IF(Y655="","",Y655/MAX($Y$4:Y655)-1)</f>
        <v>-1.5028466839290933E-2</v>
      </c>
    </row>
    <row r="656" spans="1:28" x14ac:dyDescent="0.45">
      <c r="A656" s="121">
        <v>46153</v>
      </c>
      <c r="B656" s="124">
        <v>739.3</v>
      </c>
      <c r="C656" s="124">
        <v>292.68</v>
      </c>
      <c r="D656" s="124">
        <v>412.66</v>
      </c>
      <c r="E656" s="124">
        <v>300</v>
      </c>
      <c r="F656" s="124">
        <v>149.68</v>
      </c>
      <c r="G656" s="124">
        <v>221.43</v>
      </c>
      <c r="H656" s="124">
        <v>268.99</v>
      </c>
      <c r="I656" s="124">
        <v>78.66</v>
      </c>
      <c r="J656" s="125">
        <v>127.59</v>
      </c>
      <c r="L656" s="39">
        <f t="shared" si="128"/>
        <v>2.2775955098830697E-3</v>
      </c>
      <c r="M656" s="40">
        <f t="shared" si="120"/>
        <v>-2.1819173598799481E-3</v>
      </c>
      <c r="N656" s="40">
        <f t="shared" si="121"/>
        <v>-5.9259973019849185E-3</v>
      </c>
      <c r="O656" s="40">
        <f t="shared" si="122"/>
        <v>-6.9513406156902439E-3</v>
      </c>
      <c r="P656" s="40">
        <f t="shared" si="123"/>
        <v>3.5346199073113468E-2</v>
      </c>
      <c r="Q656" s="40">
        <f t="shared" si="124"/>
        <v>4.9701789264419683E-4</v>
      </c>
      <c r="R656" s="40">
        <f t="shared" si="125"/>
        <v>-1.3532345606571797E-2</v>
      </c>
      <c r="S656" s="40">
        <f t="shared" si="126"/>
        <v>3.060443764345765E-3</v>
      </c>
      <c r="T656" s="41">
        <f t="shared" si="127"/>
        <v>-2.1774131718163024E-2</v>
      </c>
      <c r="V656" s="39">
        <f t="shared" si="129"/>
        <v>2.2775955098830697E-3</v>
      </c>
      <c r="W656" s="40" cm="1">
        <f t="array" ref="W656">IF(M656="","",SUMPRODUCT(M656:T656,TRANSPOSE('04_Dashboard'!$C$53:$C$60)))</f>
        <v>-3.8947033345822879E-3</v>
      </c>
      <c r="X656" s="42">
        <f t="shared" si="130"/>
        <v>1.7301256698883658</v>
      </c>
      <c r="Y656" s="118">
        <f t="shared" si="131"/>
        <v>1.7958861687691094</v>
      </c>
      <c r="AA656" s="43">
        <f>IF(X656="","",X656/MAX($X$4:X656)-1)</f>
        <v>0</v>
      </c>
      <c r="AB656" s="44">
        <f>IF(Y656="","",Y656/MAX($Y$4:Y656)-1)</f>
        <v>-1.8864638753960494E-2</v>
      </c>
    </row>
    <row r="657" spans="1:28" x14ac:dyDescent="0.45">
      <c r="A657" s="121">
        <v>46154</v>
      </c>
      <c r="B657" s="124">
        <v>738.18</v>
      </c>
      <c r="C657" s="124">
        <v>294.8</v>
      </c>
      <c r="D657" s="124">
        <v>407.77</v>
      </c>
      <c r="E657" s="124">
        <v>304.88</v>
      </c>
      <c r="F657" s="124">
        <v>150.63</v>
      </c>
      <c r="G657" s="124">
        <v>224.26</v>
      </c>
      <c r="H657" s="124">
        <v>265.82</v>
      </c>
      <c r="I657" s="124">
        <v>80.03</v>
      </c>
      <c r="J657" s="125">
        <v>130.35</v>
      </c>
      <c r="L657" s="39">
        <f t="shared" si="128"/>
        <v>-1.5149465710807583E-3</v>
      </c>
      <c r="M657" s="40">
        <f t="shared" si="120"/>
        <v>7.2434057673910228E-3</v>
      </c>
      <c r="N657" s="40">
        <f t="shared" si="121"/>
        <v>-1.1849949110648095E-2</v>
      </c>
      <c r="O657" s="40">
        <f t="shared" si="122"/>
        <v>1.6266666666666652E-2</v>
      </c>
      <c r="P657" s="40">
        <f t="shared" si="123"/>
        <v>6.3468733297701004E-3</v>
      </c>
      <c r="Q657" s="40">
        <f t="shared" si="124"/>
        <v>1.2780562706046985E-2</v>
      </c>
      <c r="R657" s="40">
        <f t="shared" si="125"/>
        <v>-1.1784824714673467E-2</v>
      </c>
      <c r="S657" s="40">
        <f t="shared" si="126"/>
        <v>1.7416730231375598E-2</v>
      </c>
      <c r="T657" s="41">
        <f t="shared" si="127"/>
        <v>2.1631789325182154E-2</v>
      </c>
      <c r="V657" s="39">
        <f t="shared" si="129"/>
        <v>-1.5149465710807583E-3</v>
      </c>
      <c r="W657" s="40" cm="1">
        <f t="array" ref="W657">IF(M657="","",SUMPRODUCT(M657:T657,TRANSPOSE('04_Dashboard'!$C$53:$C$60)))</f>
        <v>1.137434694913482E-2</v>
      </c>
      <c r="X657" s="42">
        <f t="shared" si="130"/>
        <v>1.7275046219372296</v>
      </c>
      <c r="Y657" s="118">
        <f t="shared" si="131"/>
        <v>1.8163132011338416</v>
      </c>
      <c r="AA657" s="43">
        <f>IF(X657="","",X657/MAX($X$4:X657)-1)</f>
        <v>-1.5149465710807553E-3</v>
      </c>
      <c r="AB657" s="44">
        <f>IF(Y657="","",Y657/MAX($Y$4:Y657)-1)</f>
        <v>-7.7048647510834511E-3</v>
      </c>
    </row>
    <row r="658" spans="1:28" x14ac:dyDescent="0.45">
      <c r="A658" s="121">
        <v>46155</v>
      </c>
      <c r="B658" s="124">
        <v>742.31</v>
      </c>
      <c r="C658" s="124">
        <v>298.87</v>
      </c>
      <c r="D658" s="124">
        <v>405.21</v>
      </c>
      <c r="E658" s="124">
        <v>300.25</v>
      </c>
      <c r="F658" s="124">
        <v>151.57</v>
      </c>
      <c r="G658" s="124">
        <v>230.42</v>
      </c>
      <c r="H658" s="124">
        <v>270.13</v>
      </c>
      <c r="I658" s="124">
        <v>80.260000000000005</v>
      </c>
      <c r="J658" s="125">
        <v>131.47</v>
      </c>
      <c r="L658" s="39">
        <f t="shared" si="128"/>
        <v>5.5948413666043455E-3</v>
      </c>
      <c r="M658" s="40">
        <f t="shared" si="120"/>
        <v>1.3805970149253707E-2</v>
      </c>
      <c r="N658" s="40">
        <f t="shared" si="121"/>
        <v>-6.2780489001152667E-3</v>
      </c>
      <c r="O658" s="40">
        <f t="shared" si="122"/>
        <v>-1.5186302807662016E-2</v>
      </c>
      <c r="P658" s="40">
        <f t="shared" si="123"/>
        <v>6.2404567483236922E-3</v>
      </c>
      <c r="Q658" s="40">
        <f t="shared" si="124"/>
        <v>2.7468117363774178E-2</v>
      </c>
      <c r="R658" s="40">
        <f t="shared" si="125"/>
        <v>1.6213979384545944E-2</v>
      </c>
      <c r="S658" s="40">
        <f t="shared" si="126"/>
        <v>2.8739222791453701E-3</v>
      </c>
      <c r="T658" s="41">
        <f t="shared" si="127"/>
        <v>8.5922516302263489E-3</v>
      </c>
      <c r="V658" s="39">
        <f t="shared" si="129"/>
        <v>5.5948413666043455E-3</v>
      </c>
      <c r="W658" s="40" cm="1">
        <f t="array" ref="W658">IF(M658="","",SUMPRODUCT(M658:T658,TRANSPOSE('04_Dashboard'!$C$53:$C$60)))</f>
        <v>6.3811429024259589E-3</v>
      </c>
      <c r="X658" s="42">
        <f t="shared" si="130"/>
        <v>1.7371697362570442</v>
      </c>
      <c r="Y658" s="118">
        <f t="shared" si="131"/>
        <v>1.8279033552258392</v>
      </c>
      <c r="AA658" s="43">
        <f>IF(X658="","",X658/MAX($X$4:X658)-1)</f>
        <v>0</v>
      </c>
      <c r="AB658" s="44">
        <f>IF(Y658="","",Y658/MAX($Y$4:Y658)-1)</f>
        <v>-1.372887691678093E-3</v>
      </c>
    </row>
    <row r="659" spans="1:28" x14ac:dyDescent="0.45">
      <c r="A659" s="121">
        <v>46156</v>
      </c>
      <c r="B659" s="124">
        <v>748.17</v>
      </c>
      <c r="C659" s="124">
        <v>298.20999999999998</v>
      </c>
      <c r="D659" s="124">
        <v>409.43</v>
      </c>
      <c r="E659" s="124">
        <v>299.91000000000003</v>
      </c>
      <c r="F659" s="124">
        <v>152.78</v>
      </c>
      <c r="G659" s="124">
        <v>230.8</v>
      </c>
      <c r="H659" s="124">
        <v>267.22000000000003</v>
      </c>
      <c r="I659" s="124">
        <v>80.45</v>
      </c>
      <c r="J659" s="125">
        <v>132.46</v>
      </c>
      <c r="L659" s="39">
        <f t="shared" si="128"/>
        <v>7.8942759763441332E-3</v>
      </c>
      <c r="M659" s="40">
        <f t="shared" si="120"/>
        <v>-2.2083179977917654E-3</v>
      </c>
      <c r="N659" s="40">
        <f t="shared" si="121"/>
        <v>1.0414353051504226E-2</v>
      </c>
      <c r="O659" s="40">
        <f t="shared" si="122"/>
        <v>-1.1323896752705245E-3</v>
      </c>
      <c r="P659" s="40">
        <f t="shared" si="123"/>
        <v>7.9831101141387348E-3</v>
      </c>
      <c r="Q659" s="40">
        <f t="shared" si="124"/>
        <v>1.6491623990974042E-3</v>
      </c>
      <c r="R659" s="40">
        <f t="shared" si="125"/>
        <v>-1.077259097471576E-2</v>
      </c>
      <c r="S659" s="40">
        <f t="shared" si="126"/>
        <v>2.3673062546722863E-3</v>
      </c>
      <c r="T659" s="41">
        <f t="shared" si="127"/>
        <v>7.5302350346087253E-3</v>
      </c>
      <c r="V659" s="39">
        <f t="shared" si="129"/>
        <v>7.8942759763441332E-3</v>
      </c>
      <c r="W659" s="40" cm="1">
        <f t="array" ref="W659">IF(M659="","",SUMPRODUCT(M659:T659,TRANSPOSE('04_Dashboard'!$C$53:$C$60)))</f>
        <v>1.6964922035368588E-3</v>
      </c>
      <c r="X659" s="42">
        <f t="shared" si="130"/>
        <v>1.7508834335728101</v>
      </c>
      <c r="Y659" s="118">
        <f t="shared" si="131"/>
        <v>1.8310043790167989</v>
      </c>
      <c r="AA659" s="43">
        <f>IF(X659="","",X659/MAX($X$4:X659)-1)</f>
        <v>0</v>
      </c>
      <c r="AB659" s="44">
        <f>IF(Y659="","",Y659/MAX($Y$4:Y659)-1)</f>
        <v>0</v>
      </c>
    </row>
    <row r="660" spans="1:28" x14ac:dyDescent="0.45">
      <c r="A660" s="121">
        <v>46157</v>
      </c>
      <c r="B660" s="124">
        <v>739.17</v>
      </c>
      <c r="C660" s="124">
        <v>300.23</v>
      </c>
      <c r="D660" s="124">
        <v>421.92</v>
      </c>
      <c r="E660" s="124">
        <v>297.81</v>
      </c>
      <c r="F660" s="124">
        <v>157.91999999999999</v>
      </c>
      <c r="G660" s="124">
        <v>226.71</v>
      </c>
      <c r="H660" s="124">
        <v>264.14</v>
      </c>
      <c r="I660" s="124">
        <v>80.819999999999993</v>
      </c>
      <c r="J660" s="125">
        <v>131.44999999999999</v>
      </c>
      <c r="L660" s="39">
        <f t="shared" si="128"/>
        <v>-1.2029351617947793E-2</v>
      </c>
      <c r="M660" s="40">
        <f t="shared" si="120"/>
        <v>6.7737500419168999E-3</v>
      </c>
      <c r="N660" s="40">
        <f t="shared" si="121"/>
        <v>3.0505825171580025E-2</v>
      </c>
      <c r="O660" s="40">
        <f t="shared" si="122"/>
        <v>-7.0021006301891316E-3</v>
      </c>
      <c r="P660" s="40">
        <f t="shared" si="123"/>
        <v>3.3643147008770691E-2</v>
      </c>
      <c r="Q660" s="40">
        <f t="shared" si="124"/>
        <v>-1.7720970537261713E-2</v>
      </c>
      <c r="R660" s="40">
        <f t="shared" si="125"/>
        <v>-1.1526083376992891E-2</v>
      </c>
      <c r="S660" s="40">
        <f t="shared" si="126"/>
        <v>4.5991298943441929E-3</v>
      </c>
      <c r="T660" s="41">
        <f t="shared" si="127"/>
        <v>-7.6249433791334689E-3</v>
      </c>
      <c r="V660" s="39">
        <f t="shared" si="129"/>
        <v>-1.2029351617947793E-2</v>
      </c>
      <c r="W660" s="40" cm="1">
        <f t="array" ref="W660">IF(M660="","",SUMPRODUCT(M660:T660,TRANSPOSE('04_Dashboard'!$C$53:$C$60)))</f>
        <v>-3.026650833671196E-3</v>
      </c>
      <c r="X660" s="42">
        <f t="shared" si="130"/>
        <v>1.729821441108323</v>
      </c>
      <c r="Y660" s="118">
        <f t="shared" si="131"/>
        <v>1.8254625680865921</v>
      </c>
      <c r="AA660" s="43">
        <f>IF(X660="","",X660/MAX($X$4:X660)-1)</f>
        <v>-1.2029351617947825E-2</v>
      </c>
      <c r="AB660" s="44">
        <f>IF(Y660="","",Y660/MAX($Y$4:Y660)-1)</f>
        <v>-3.0266508336711517E-3</v>
      </c>
    </row>
    <row r="661" spans="1:28" x14ac:dyDescent="0.45">
      <c r="A661" s="121">
        <v>46160</v>
      </c>
      <c r="B661" s="124">
        <v>738.65</v>
      </c>
      <c r="C661" s="124">
        <v>297.83999999999997</v>
      </c>
      <c r="D661" s="124">
        <v>423.54</v>
      </c>
      <c r="E661" s="124">
        <v>300.73</v>
      </c>
      <c r="F661" s="124">
        <v>160.49</v>
      </c>
      <c r="G661" s="124">
        <v>228.92</v>
      </c>
      <c r="H661" s="124">
        <v>264.86</v>
      </c>
      <c r="I661" s="124">
        <v>81.2</v>
      </c>
      <c r="J661" s="125">
        <v>133.34</v>
      </c>
      <c r="L661" s="39">
        <f t="shared" si="128"/>
        <v>-7.0349175426489424E-4</v>
      </c>
      <c r="M661" s="40">
        <f t="shared" si="120"/>
        <v>-7.9605635679313967E-3</v>
      </c>
      <c r="N661" s="40">
        <f t="shared" si="121"/>
        <v>3.8395904436860175E-3</v>
      </c>
      <c r="O661" s="40">
        <f t="shared" si="122"/>
        <v>9.8049091702764046E-3</v>
      </c>
      <c r="P661" s="40">
        <f t="shared" si="123"/>
        <v>1.6274062816616145E-2</v>
      </c>
      <c r="Q661" s="40">
        <f t="shared" si="124"/>
        <v>9.7481363856908795E-3</v>
      </c>
      <c r="R661" s="40">
        <f t="shared" si="125"/>
        <v>2.7258272128417782E-3</v>
      </c>
      <c r="S661" s="40">
        <f t="shared" si="126"/>
        <v>4.7018064835437972E-3</v>
      </c>
      <c r="T661" s="41">
        <f t="shared" si="127"/>
        <v>1.4378090528718258E-2</v>
      </c>
      <c r="V661" s="39">
        <f t="shared" si="129"/>
        <v>-7.0349175426489424E-4</v>
      </c>
      <c r="W661" s="40" cm="1">
        <f t="array" ref="W661">IF(M661="","",SUMPRODUCT(M661:T661,TRANSPOSE('04_Dashboard'!$C$53:$C$60)))</f>
        <v>8.1405833207834656E-3</v>
      </c>
      <c r="X661" s="42">
        <f t="shared" si="130"/>
        <v>1.7286045259881528</v>
      </c>
      <c r="Y661" s="118">
        <f t="shared" si="131"/>
        <v>1.8403228982210724</v>
      </c>
      <c r="AA661" s="43">
        <f>IF(X661="","",X661/MAX($X$4:X661)-1)</f>
        <v>-1.2724380822540238E-2</v>
      </c>
      <c r="AB661" s="44">
        <f>IF(Y661="","",Y661/MAX($Y$4:Y661)-1)</f>
        <v>0</v>
      </c>
    </row>
    <row r="662" spans="1:28" x14ac:dyDescent="0.45">
      <c r="A662" s="121">
        <v>46161</v>
      </c>
      <c r="B662" s="124">
        <v>733.73</v>
      </c>
      <c r="C662" s="124">
        <v>298.97000000000003</v>
      </c>
      <c r="D662" s="124">
        <v>417.42</v>
      </c>
      <c r="E662" s="124">
        <v>295.7</v>
      </c>
      <c r="F662" s="124">
        <v>162.55000000000001</v>
      </c>
      <c r="G662" s="124">
        <v>230</v>
      </c>
      <c r="H662" s="124">
        <v>259.33999999999997</v>
      </c>
      <c r="I662" s="124">
        <v>81.92</v>
      </c>
      <c r="J662" s="125">
        <v>134.19999999999999</v>
      </c>
      <c r="L662" s="39">
        <f t="shared" si="128"/>
        <v>-6.6608001083056376E-3</v>
      </c>
      <c r="M662" s="40">
        <f t="shared" si="120"/>
        <v>3.7939833467635388E-3</v>
      </c>
      <c r="N662" s="40">
        <f t="shared" si="121"/>
        <v>-1.4449638759031035E-2</v>
      </c>
      <c r="O662" s="40">
        <f t="shared" si="122"/>
        <v>-1.6725966814085821E-2</v>
      </c>
      <c r="P662" s="40">
        <f t="shared" si="123"/>
        <v>1.2835690697239718E-2</v>
      </c>
      <c r="Q662" s="40">
        <f t="shared" si="124"/>
        <v>4.7178053468461146E-3</v>
      </c>
      <c r="R662" s="40">
        <f t="shared" si="125"/>
        <v>-2.084119912406569E-2</v>
      </c>
      <c r="S662" s="40">
        <f t="shared" si="126"/>
        <v>8.8669950738916106E-3</v>
      </c>
      <c r="T662" s="41">
        <f t="shared" si="127"/>
        <v>6.4496775161240827E-3</v>
      </c>
      <c r="V662" s="39">
        <f t="shared" si="129"/>
        <v>-6.6608001083056376E-3</v>
      </c>
      <c r="W662" s="40" cm="1">
        <f t="array" ref="W662">IF(M662="","",SUMPRODUCT(M662:T662,TRANSPOSE('04_Dashboard'!$C$53:$C$60)))</f>
        <v>-2.3779031699367533E-3</v>
      </c>
      <c r="X662" s="42">
        <f t="shared" si="130"/>
        <v>1.7170906367742333</v>
      </c>
      <c r="Y662" s="118">
        <f t="shared" si="131"/>
        <v>1.8359467885676852</v>
      </c>
      <c r="AA662" s="43">
        <f>IF(X662="","",X662/MAX($X$4:X662)-1)</f>
        <v>-1.9300426373684898E-2</v>
      </c>
      <c r="AB662" s="44">
        <f>IF(Y662="","",Y662/MAX($Y$4:Y662)-1)</f>
        <v>-2.3779031699368014E-3</v>
      </c>
    </row>
    <row r="663" spans="1:28" x14ac:dyDescent="0.45">
      <c r="A663" s="121">
        <v>46162</v>
      </c>
      <c r="B663" s="124">
        <v>741.25</v>
      </c>
      <c r="C663" s="124">
        <v>302.25</v>
      </c>
      <c r="D663" s="124">
        <v>421.06</v>
      </c>
      <c r="E663" s="124">
        <v>301.98</v>
      </c>
      <c r="F663" s="124">
        <v>156.28</v>
      </c>
      <c r="G663" s="124">
        <v>229.32</v>
      </c>
      <c r="H663" s="124">
        <v>265.01</v>
      </c>
      <c r="I663" s="124">
        <v>81.55</v>
      </c>
      <c r="J663" s="125">
        <v>130.85</v>
      </c>
      <c r="L663" s="39">
        <f t="shared" si="128"/>
        <v>1.0249001676365941E-2</v>
      </c>
      <c r="M663" s="40">
        <f t="shared" si="120"/>
        <v>1.0971000434826144E-2</v>
      </c>
      <c r="N663" s="40">
        <f t="shared" si="121"/>
        <v>8.7202338172583643E-3</v>
      </c>
      <c r="O663" s="40">
        <f t="shared" si="122"/>
        <v>2.123774095366936E-2</v>
      </c>
      <c r="P663" s="40">
        <f t="shared" si="123"/>
        <v>-3.8572746847124022E-2</v>
      </c>
      <c r="Q663" s="40">
        <f t="shared" si="124"/>
        <v>-2.9565217391304644E-3</v>
      </c>
      <c r="R663" s="40">
        <f t="shared" si="125"/>
        <v>2.1863191177604751E-2</v>
      </c>
      <c r="S663" s="40">
        <f t="shared" si="126"/>
        <v>-4.5166015625000555E-3</v>
      </c>
      <c r="T663" s="41">
        <f t="shared" si="127"/>
        <v>-2.4962742175856891E-2</v>
      </c>
      <c r="V663" s="39">
        <f t="shared" si="129"/>
        <v>1.0249001676365941E-2</v>
      </c>
      <c r="W663" s="40" cm="1">
        <f t="array" ref="W663">IF(M663="","",SUMPRODUCT(M663:T663,TRANSPOSE('04_Dashboard'!$C$53:$C$60)))</f>
        <v>1.0990266284439131E-3</v>
      </c>
      <c r="X663" s="42">
        <f t="shared" si="130"/>
        <v>1.7346891015890047</v>
      </c>
      <c r="Y663" s="118">
        <f t="shared" si="131"/>
        <v>1.8379645429767271</v>
      </c>
      <c r="AA663" s="43">
        <f>IF(X663="","",X663/MAX($X$4:X663)-1)</f>
        <v>-9.2492347995775104E-3</v>
      </c>
      <c r="AB663" s="44">
        <f>IF(Y663="","",Y663/MAX($Y$4:Y663)-1)</f>
        <v>-1.2814899203965613E-3</v>
      </c>
    </row>
    <row r="664" spans="1:28" x14ac:dyDescent="0.45">
      <c r="A664" s="121">
        <v>46163</v>
      </c>
      <c r="B664" s="124">
        <v>742.72</v>
      </c>
      <c r="C664" s="124">
        <v>304.99</v>
      </c>
      <c r="D664" s="124">
        <v>419.09</v>
      </c>
      <c r="E664" s="124">
        <v>303</v>
      </c>
      <c r="F664" s="124">
        <v>155.29</v>
      </c>
      <c r="G664" s="124">
        <v>231.73</v>
      </c>
      <c r="H664" s="124">
        <v>268.45999999999998</v>
      </c>
      <c r="I664" s="124">
        <v>81.17</v>
      </c>
      <c r="J664" s="125">
        <v>121.34</v>
      </c>
      <c r="L664" s="39">
        <f t="shared" si="128"/>
        <v>1.9831365935919425E-3</v>
      </c>
      <c r="M664" s="40">
        <f t="shared" si="120"/>
        <v>9.0653432588916755E-3</v>
      </c>
      <c r="N664" s="40">
        <f t="shared" si="121"/>
        <v>-4.6786681233079068E-3</v>
      </c>
      <c r="O664" s="40">
        <f t="shared" si="122"/>
        <v>3.3777071329226496E-3</v>
      </c>
      <c r="P664" s="40">
        <f t="shared" si="123"/>
        <v>-6.3347837215255252E-3</v>
      </c>
      <c r="Q664" s="40">
        <f t="shared" si="124"/>
        <v>1.0509331937903352E-2</v>
      </c>
      <c r="R664" s="40">
        <f t="shared" si="125"/>
        <v>1.3018376665031466E-2</v>
      </c>
      <c r="S664" s="40">
        <f t="shared" si="126"/>
        <v>-4.6597179644389392E-3</v>
      </c>
      <c r="T664" s="41">
        <f t="shared" si="127"/>
        <v>-7.2678639663737041E-2</v>
      </c>
      <c r="V664" s="39">
        <f t="shared" si="129"/>
        <v>1.9831365935919425E-3</v>
      </c>
      <c r="W664" s="40" cm="1">
        <f t="array" ref="W664">IF(M664="","",SUMPRODUCT(M664:T664,TRANSPOSE('04_Dashboard'!$C$53:$C$60)))</f>
        <v>-6.6573987148262886E-3</v>
      </c>
      <c r="X664" s="42">
        <f t="shared" si="130"/>
        <v>1.7381292270248707</v>
      </c>
      <c r="Y664" s="118">
        <f t="shared" si="131"/>
        <v>1.8257284801904174</v>
      </c>
      <c r="AA664" s="43">
        <f>IF(X664="","",X664/MAX($X$4:X664)-1)</f>
        <v>-7.2844407019794222E-3</v>
      </c>
      <c r="AB664" s="44">
        <f>IF(Y664="","",Y664/MAX($Y$4:Y664)-1)</f>
        <v>-7.9303572458737648E-3</v>
      </c>
    </row>
    <row r="665" spans="1:28" x14ac:dyDescent="0.45">
      <c r="A665" s="121">
        <v>46164</v>
      </c>
      <c r="B665" s="124">
        <v>745.64</v>
      </c>
      <c r="C665" s="124">
        <v>308.82</v>
      </c>
      <c r="D665" s="124">
        <v>418.57</v>
      </c>
      <c r="E665" s="124">
        <v>306.38</v>
      </c>
      <c r="F665" s="124">
        <v>154.91999999999999</v>
      </c>
      <c r="G665" s="124">
        <v>234.34</v>
      </c>
      <c r="H665" s="124">
        <v>266.32</v>
      </c>
      <c r="I665" s="124">
        <v>81.48</v>
      </c>
      <c r="J665" s="125">
        <v>120.27</v>
      </c>
      <c r="L665" s="39">
        <f t="shared" si="128"/>
        <v>3.9314950452390661E-3</v>
      </c>
      <c r="M665" s="40">
        <f t="shared" si="120"/>
        <v>1.2557788779959946E-2</v>
      </c>
      <c r="N665" s="40">
        <f t="shared" si="121"/>
        <v>-1.2407836025674242E-3</v>
      </c>
      <c r="O665" s="40">
        <f t="shared" si="122"/>
        <v>1.115511551155114E-2</v>
      </c>
      <c r="P665" s="40">
        <f t="shared" si="123"/>
        <v>-2.3826389336081173E-3</v>
      </c>
      <c r="Q665" s="40">
        <f t="shared" si="124"/>
        <v>1.1263107927329279E-2</v>
      </c>
      <c r="R665" s="40">
        <f t="shared" si="125"/>
        <v>-7.9713923862027355E-3</v>
      </c>
      <c r="S665" s="40">
        <f t="shared" si="126"/>
        <v>3.8191450043119656E-3</v>
      </c>
      <c r="T665" s="41">
        <f t="shared" si="127"/>
        <v>-8.8181968023735569E-3</v>
      </c>
      <c r="V665" s="39">
        <f t="shared" si="129"/>
        <v>3.9314950452390661E-3</v>
      </c>
      <c r="W665" s="40" cm="1">
        <f t="array" ref="W665">IF(M665="","",SUMPRODUCT(M665:T665,TRANSPOSE('04_Dashboard'!$C$53:$C$60)))</f>
        <v>4.529131383649047E-3</v>
      </c>
      <c r="X665" s="42">
        <f t="shared" si="130"/>
        <v>1.7449626734689043</v>
      </c>
      <c r="Y665" s="118">
        <f t="shared" si="131"/>
        <v>1.8339974443480698</v>
      </c>
      <c r="AA665" s="43">
        <f>IF(X665="","",X665/MAX($X$4:X665)-1)</f>
        <v>-3.381584399267501E-3</v>
      </c>
      <c r="AB665" s="44">
        <f>IF(Y665="","",Y665/MAX($Y$4:Y665)-1)</f>
        <v>-3.4371434921105504E-3</v>
      </c>
    </row>
    <row r="666" spans="1:28" x14ac:dyDescent="0.45">
      <c r="A666" s="121">
        <v>46168</v>
      </c>
      <c r="B666" s="124">
        <v>750.59</v>
      </c>
      <c r="C666" s="124">
        <v>308.33</v>
      </c>
      <c r="D666" s="124">
        <v>416.03</v>
      </c>
      <c r="E666" s="124">
        <v>306.74</v>
      </c>
      <c r="F666" s="124">
        <v>149.81</v>
      </c>
      <c r="G666" s="124">
        <v>230.18</v>
      </c>
      <c r="H666" s="124">
        <v>265.29000000000002</v>
      </c>
      <c r="I666" s="124">
        <v>80.459999999999994</v>
      </c>
      <c r="J666" s="125">
        <v>118.57</v>
      </c>
      <c r="L666" s="39">
        <f t="shared" si="128"/>
        <v>6.6385923501958658E-3</v>
      </c>
      <c r="M666" s="40">
        <f t="shared" si="120"/>
        <v>-1.5866848002072699E-3</v>
      </c>
      <c r="N666" s="40">
        <f t="shared" si="121"/>
        <v>-6.06828009651915E-3</v>
      </c>
      <c r="O666" s="40">
        <f t="shared" si="122"/>
        <v>1.1750114237222195E-3</v>
      </c>
      <c r="P666" s="40">
        <f t="shared" si="123"/>
        <v>-3.2984766331009462E-2</v>
      </c>
      <c r="Q666" s="40">
        <f t="shared" si="124"/>
        <v>-1.775198429632157E-2</v>
      </c>
      <c r="R666" s="40">
        <f t="shared" si="125"/>
        <v>-3.8675277861218564E-3</v>
      </c>
      <c r="S666" s="40">
        <f t="shared" si="126"/>
        <v>-1.2518409425626046E-2</v>
      </c>
      <c r="T666" s="41">
        <f t="shared" si="127"/>
        <v>-1.4134863224411764E-2</v>
      </c>
      <c r="V666" s="39">
        <f t="shared" si="129"/>
        <v>6.6385923501958658E-3</v>
      </c>
      <c r="W666" s="40" cm="1">
        <f t="array" ref="W666">IF(M666="","",SUMPRODUCT(M666:T666,TRANSPOSE('04_Dashboard'!$C$53:$C$60)))</f>
        <v>-1.0090938583075188E-2</v>
      </c>
      <c r="X666" s="42">
        <f t="shared" si="130"/>
        <v>1.7565467693243724</v>
      </c>
      <c r="Y666" s="118">
        <f t="shared" si="131"/>
        <v>1.8154906887756366</v>
      </c>
      <c r="AA666" s="43">
        <f>IF(X666="","",X666/MAX($X$4:X666)-1)</f>
        <v>0</v>
      </c>
      <c r="AB666" s="44">
        <f>IF(Y666="","",Y666/MAX($Y$4:Y666)-1)</f>
        <v>-1.3493398071305673E-2</v>
      </c>
    </row>
    <row r="667" spans="1:28" x14ac:dyDescent="0.45">
      <c r="A667" s="121">
        <v>46169</v>
      </c>
      <c r="B667" s="124">
        <v>750.46</v>
      </c>
      <c r="C667" s="124">
        <v>310.85000000000002</v>
      </c>
      <c r="D667" s="124">
        <v>412.67</v>
      </c>
      <c r="E667" s="124">
        <v>299.27999999999997</v>
      </c>
      <c r="F667" s="124">
        <v>147.9</v>
      </c>
      <c r="G667" s="124">
        <v>231.29</v>
      </c>
      <c r="H667" s="124">
        <v>271.85000000000002</v>
      </c>
      <c r="I667" s="124">
        <v>81.62</v>
      </c>
      <c r="J667" s="125">
        <v>118.54</v>
      </c>
      <c r="L667" s="39">
        <f t="shared" si="128"/>
        <v>-1.7319708495982554E-4</v>
      </c>
      <c r="M667" s="40">
        <f t="shared" si="120"/>
        <v>8.1730613303928872E-3</v>
      </c>
      <c r="N667" s="40">
        <f t="shared" si="121"/>
        <v>-8.076340648510821E-3</v>
      </c>
      <c r="O667" s="40">
        <f t="shared" si="122"/>
        <v>-2.4320271239486328E-2</v>
      </c>
      <c r="P667" s="40">
        <f t="shared" si="123"/>
        <v>-1.2749482678058852E-2</v>
      </c>
      <c r="Q667" s="40">
        <f t="shared" si="124"/>
        <v>4.822312972456274E-3</v>
      </c>
      <c r="R667" s="40">
        <f t="shared" si="125"/>
        <v>2.4727656526819713E-2</v>
      </c>
      <c r="S667" s="40">
        <f t="shared" si="126"/>
        <v>1.4417101665423948E-2</v>
      </c>
      <c r="T667" s="41">
        <f t="shared" si="127"/>
        <v>-2.5301509656731826E-4</v>
      </c>
      <c r="V667" s="39">
        <f t="shared" si="129"/>
        <v>-1.7319708495982554E-4</v>
      </c>
      <c r="W667" s="40" cm="1">
        <f t="array" ref="W667">IF(M667="","",SUMPRODUCT(M667:T667,TRANSPOSE('04_Dashboard'!$C$53:$C$60)))</f>
        <v>-1.5726274473426532E-3</v>
      </c>
      <c r="X667" s="42">
        <f t="shared" si="130"/>
        <v>1.7562425405443298</v>
      </c>
      <c r="Y667" s="118">
        <f t="shared" si="131"/>
        <v>1.8126355982880731</v>
      </c>
      <c r="AA667" s="43">
        <f>IF(X667="","",X667/MAX($X$4:X667)-1)</f>
        <v>-1.7319708495977526E-4</v>
      </c>
      <c r="AB667" s="44">
        <f>IF(Y667="","",Y667/MAX($Y$4:Y667)-1)</f>
        <v>-1.5044805430483366E-2</v>
      </c>
    </row>
    <row r="668" spans="1:28" x14ac:dyDescent="0.45">
      <c r="A668" s="121">
        <v>46170</v>
      </c>
      <c r="B668" s="124">
        <v>754.6</v>
      </c>
      <c r="C668" s="124">
        <v>312.51</v>
      </c>
      <c r="D668" s="124">
        <v>426.99</v>
      </c>
      <c r="E668" s="124">
        <v>296.73</v>
      </c>
      <c r="F668" s="124">
        <v>146.96</v>
      </c>
      <c r="G668" s="124">
        <v>230.8</v>
      </c>
      <c r="H668" s="124">
        <v>274</v>
      </c>
      <c r="I668" s="124">
        <v>80.41</v>
      </c>
      <c r="J668" s="125">
        <v>118.9</v>
      </c>
      <c r="L668" s="39">
        <f t="shared" si="128"/>
        <v>5.5166164752285078E-3</v>
      </c>
      <c r="M668" s="40">
        <f t="shared" si="120"/>
        <v>5.3401962361266462E-3</v>
      </c>
      <c r="N668" s="40">
        <f t="shared" si="121"/>
        <v>3.4700850558557671E-2</v>
      </c>
      <c r="O668" s="40">
        <f t="shared" si="122"/>
        <v>-8.520449077786537E-3</v>
      </c>
      <c r="P668" s="40">
        <f t="shared" si="123"/>
        <v>-6.3556457065584698E-3</v>
      </c>
      <c r="Q668" s="40">
        <f t="shared" si="124"/>
        <v>-2.1185524666002885E-3</v>
      </c>
      <c r="R668" s="40">
        <f t="shared" si="125"/>
        <v>7.9087732205259404E-3</v>
      </c>
      <c r="S668" s="40">
        <f t="shared" si="126"/>
        <v>-1.4824797843665865E-2</v>
      </c>
      <c r="T668" s="41">
        <f t="shared" si="127"/>
        <v>3.0369495528935332E-3</v>
      </c>
      <c r="V668" s="39">
        <f t="shared" si="129"/>
        <v>5.5166164752285078E-3</v>
      </c>
      <c r="W668" s="40" cm="1">
        <f t="array" ref="W668">IF(M668="","",SUMPRODUCT(M668:T668,TRANSPOSE('04_Dashboard'!$C$53:$C$60)))</f>
        <v>-1.2343102787939755E-3</v>
      </c>
      <c r="X668" s="42">
        <f t="shared" si="130"/>
        <v>1.7659310570779938</v>
      </c>
      <c r="Y668" s="118">
        <f t="shared" si="131"/>
        <v>1.8103982435373982</v>
      </c>
      <c r="AA668" s="43">
        <f>IF(X668="","",X668/MAX($X$4:X668)-1)</f>
        <v>0</v>
      </c>
      <c r="AB668" s="44">
        <f>IF(Y668="","",Y668/MAX($Y$4:Y668)-1)</f>
        <v>-1.6260545751292099E-2</v>
      </c>
    </row>
    <row r="669" spans="1:28" x14ac:dyDescent="0.45">
      <c r="A669" s="121">
        <v>46171</v>
      </c>
      <c r="B669" s="124">
        <v>756.48</v>
      </c>
      <c r="C669" s="124">
        <v>312.06</v>
      </c>
      <c r="D669" s="124">
        <v>450.24</v>
      </c>
      <c r="E669" s="124">
        <v>299.31</v>
      </c>
      <c r="F669" s="124">
        <v>145.26</v>
      </c>
      <c r="G669" s="124">
        <v>225.33</v>
      </c>
      <c r="H669" s="124">
        <v>270.64</v>
      </c>
      <c r="I669" s="124">
        <v>79.010000000000005</v>
      </c>
      <c r="J669" s="125">
        <v>115.75</v>
      </c>
      <c r="L669" s="39">
        <f t="shared" si="128"/>
        <v>2.4913861648555467E-3</v>
      </c>
      <c r="M669" s="40">
        <f t="shared" si="120"/>
        <v>-1.4399539214744765E-3</v>
      </c>
      <c r="N669" s="40">
        <f t="shared" si="121"/>
        <v>5.4450923909225041E-2</v>
      </c>
      <c r="O669" s="40">
        <f t="shared" si="122"/>
        <v>8.6947730259831629E-3</v>
      </c>
      <c r="P669" s="40">
        <f t="shared" si="123"/>
        <v>-1.1567773543821564E-2</v>
      </c>
      <c r="Q669" s="40">
        <f t="shared" si="124"/>
        <v>-2.3700173310225298E-2</v>
      </c>
      <c r="R669" s="40">
        <f t="shared" si="125"/>
        <v>-1.2262773722627787E-2</v>
      </c>
      <c r="S669" s="40">
        <f t="shared" si="126"/>
        <v>-1.7410769804750547E-2</v>
      </c>
      <c r="T669" s="41">
        <f t="shared" si="127"/>
        <v>-2.6492851135407954E-2</v>
      </c>
      <c r="V669" s="39">
        <f t="shared" si="129"/>
        <v>2.4913861648555467E-3</v>
      </c>
      <c r="W669" s="40" cm="1">
        <f t="array" ref="W669">IF(M669="","",SUMPRODUCT(M669:T669,TRANSPOSE('04_Dashboard'!$C$53:$C$60)))</f>
        <v>-7.5487775562845961E-3</v>
      </c>
      <c r="X669" s="42">
        <f t="shared" si="130"/>
        <v>1.7703306732816864</v>
      </c>
      <c r="Y669" s="118">
        <f t="shared" si="131"/>
        <v>1.796731949908646</v>
      </c>
      <c r="AA669" s="43">
        <f>IF(X669="","",X669/MAX($X$4:X669)-1)</f>
        <v>0</v>
      </c>
      <c r="AB669" s="44">
        <f>IF(Y669="","",Y669/MAX($Y$4:Y669)-1)</f>
        <v>-2.3686576064756437E-2</v>
      </c>
    </row>
    <row r="670" spans="1:28" x14ac:dyDescent="0.45">
      <c r="A670" s="121">
        <v>46174</v>
      </c>
      <c r="B670" s="124">
        <v>758.54</v>
      </c>
      <c r="C670" s="124">
        <v>306.31</v>
      </c>
      <c r="D670" s="124">
        <v>460.52</v>
      </c>
      <c r="E670" s="124">
        <v>296.58</v>
      </c>
      <c r="F670" s="124">
        <v>149.38</v>
      </c>
      <c r="G670" s="124">
        <v>223.51</v>
      </c>
      <c r="H670" s="124">
        <v>261.26</v>
      </c>
      <c r="I670" s="124">
        <v>78.64</v>
      </c>
      <c r="J670" s="125">
        <v>114.6</v>
      </c>
      <c r="L670" s="39">
        <f t="shared" si="128"/>
        <v>2.7231387478848686E-3</v>
      </c>
      <c r="M670" s="40">
        <f t="shared" si="120"/>
        <v>-1.8425943728770107E-2</v>
      </c>
      <c r="N670" s="40">
        <f t="shared" si="121"/>
        <v>2.2832267235252248E-2</v>
      </c>
      <c r="O670" s="40">
        <f t="shared" si="122"/>
        <v>-9.1209782499750026E-3</v>
      </c>
      <c r="P670" s="40">
        <f t="shared" si="123"/>
        <v>2.8362935426132486E-2</v>
      </c>
      <c r="Q670" s="40">
        <f t="shared" si="124"/>
        <v>-8.0770425598012761E-3</v>
      </c>
      <c r="R670" s="40">
        <f t="shared" si="125"/>
        <v>-3.4658587052911603E-2</v>
      </c>
      <c r="S670" s="40">
        <f t="shared" si="126"/>
        <v>-4.6829515251234598E-3</v>
      </c>
      <c r="T670" s="41">
        <f t="shared" si="127"/>
        <v>-9.935205183585363E-3</v>
      </c>
      <c r="V670" s="39">
        <f t="shared" si="129"/>
        <v>2.7231387478848686E-3</v>
      </c>
      <c r="W670" s="40" cm="1">
        <f t="array" ref="W670">IF(M670="","",SUMPRODUCT(M670:T670,TRANSPOSE('04_Dashboard'!$C$53:$C$60)))</f>
        <v>-6.7145662772249799E-3</v>
      </c>
      <c r="X670" s="42">
        <f t="shared" si="130"/>
        <v>1.7751515293346687</v>
      </c>
      <c r="Y670" s="118">
        <f t="shared" si="131"/>
        <v>1.7846676741485767</v>
      </c>
      <c r="AA670" s="43">
        <f>IF(X670="","",X670/MAX($X$4:X670)-1)</f>
        <v>0</v>
      </c>
      <c r="AB670" s="44">
        <f>IF(Y670="","",Y670/MAX($Y$4:Y670)-1)</f>
        <v>-3.024209725711402E-2</v>
      </c>
    </row>
    <row r="671" spans="1:28" x14ac:dyDescent="0.45">
      <c r="A671" s="121">
        <v>46175</v>
      </c>
      <c r="B671" s="124">
        <v>759.57</v>
      </c>
      <c r="C671" s="124">
        <v>315.2</v>
      </c>
      <c r="D671" s="124">
        <v>441.31</v>
      </c>
      <c r="E671" s="124">
        <v>300.95999999999998</v>
      </c>
      <c r="F671" s="124">
        <v>149.56</v>
      </c>
      <c r="G671" s="124">
        <v>222.89</v>
      </c>
      <c r="H671" s="124">
        <v>256.52</v>
      </c>
      <c r="I671" s="124">
        <v>78.41</v>
      </c>
      <c r="J671" s="125">
        <v>113.06</v>
      </c>
      <c r="L671" s="39">
        <f t="shared" si="128"/>
        <v>1.3578717008992096E-3</v>
      </c>
      <c r="M671" s="40">
        <f t="shared" si="120"/>
        <v>2.9022885312265306E-2</v>
      </c>
      <c r="N671" s="40">
        <f t="shared" si="121"/>
        <v>-4.1713714930947582E-2</v>
      </c>
      <c r="O671" s="40">
        <f t="shared" si="122"/>
        <v>1.4768359295974091E-2</v>
      </c>
      <c r="P671" s="40">
        <f t="shared" si="123"/>
        <v>1.2049805864239311E-3</v>
      </c>
      <c r="Q671" s="40">
        <f t="shared" si="124"/>
        <v>-2.7739251040222119E-3</v>
      </c>
      <c r="R671" s="40">
        <f t="shared" si="125"/>
        <v>-1.8142846206843793E-2</v>
      </c>
      <c r="S671" s="40">
        <f t="shared" si="126"/>
        <v>-2.9247202441506099E-3</v>
      </c>
      <c r="T671" s="41">
        <f t="shared" si="127"/>
        <v>-1.3438045375218081E-2</v>
      </c>
      <c r="V671" s="39">
        <f t="shared" si="129"/>
        <v>1.3578717008992096E-3</v>
      </c>
      <c r="W671" s="40" cm="1">
        <f t="array" ref="W671">IF(M671="","",SUMPRODUCT(M671:T671,TRANSPOSE('04_Dashboard'!$C$53:$C$60)))</f>
        <v>-1.9521429590690755E-3</v>
      </c>
      <c r="X671" s="42">
        <f t="shared" si="130"/>
        <v>1.7775619573611603</v>
      </c>
      <c r="Y671" s="118">
        <f t="shared" si="131"/>
        <v>1.7811837477142094</v>
      </c>
      <c r="AA671" s="43">
        <f>IF(X671="","",X671/MAX($X$4:X671)-1)</f>
        <v>0</v>
      </c>
      <c r="AB671" s="44">
        <f>IF(Y671="","",Y671/MAX($Y$4:Y671)-1)</f>
        <v>-3.2135203318955141E-2</v>
      </c>
    </row>
    <row r="672" spans="1:28" x14ac:dyDescent="0.45">
      <c r="A672" s="121">
        <v>46176</v>
      </c>
      <c r="B672" s="124">
        <v>754.24</v>
      </c>
      <c r="C672" s="124">
        <v>310.26</v>
      </c>
      <c r="D672" s="124">
        <v>427.34</v>
      </c>
      <c r="E672" s="124">
        <v>300.85000000000002</v>
      </c>
      <c r="F672" s="124">
        <v>152.53</v>
      </c>
      <c r="G672" s="124">
        <v>223.24</v>
      </c>
      <c r="H672" s="124">
        <v>250.02</v>
      </c>
      <c r="I672" s="124">
        <v>78.760000000000005</v>
      </c>
      <c r="J672" s="125">
        <v>116.89</v>
      </c>
      <c r="L672" s="39">
        <f t="shared" si="128"/>
        <v>-7.0171281119581347E-3</v>
      </c>
      <c r="M672" s="40">
        <f t="shared" si="120"/>
        <v>-1.5672588832487303E-2</v>
      </c>
      <c r="N672" s="40">
        <f t="shared" si="121"/>
        <v>-3.1655752192336517E-2</v>
      </c>
      <c r="O672" s="40">
        <f t="shared" si="122"/>
        <v>-3.654970760232483E-4</v>
      </c>
      <c r="P672" s="40">
        <f t="shared" si="123"/>
        <v>1.985825086921636E-2</v>
      </c>
      <c r="Q672" s="40">
        <f t="shared" si="124"/>
        <v>1.5702813046795405E-3</v>
      </c>
      <c r="R672" s="40">
        <f t="shared" si="125"/>
        <v>-2.5339154841727631E-2</v>
      </c>
      <c r="S672" s="40">
        <f t="shared" si="126"/>
        <v>4.4637163627089475E-3</v>
      </c>
      <c r="T672" s="41">
        <f t="shared" si="127"/>
        <v>3.3875818149655033E-2</v>
      </c>
      <c r="V672" s="39">
        <f t="shared" si="129"/>
        <v>-7.0171281119581347E-3</v>
      </c>
      <c r="W672" s="40" cm="1">
        <f t="array" ref="W672">IF(M672="","",SUMPRODUCT(M672:T672,TRANSPOSE('04_Dashboard'!$C$53:$C$60)))</f>
        <v>1.74342407155045E-3</v>
      </c>
      <c r="X672" s="42">
        <f t="shared" si="130"/>
        <v>1.765088577379414</v>
      </c>
      <c r="Y672" s="118">
        <f t="shared" si="131"/>
        <v>1.7842891063358286</v>
      </c>
      <c r="AA672" s="43">
        <f>IF(X672="","",X672/MAX($X$4:X672)-1)</f>
        <v>-7.0171281119580931E-3</v>
      </c>
      <c r="AB672" s="44">
        <f>IF(Y672="","",Y672/MAX($Y$4:Y672)-1)</f>
        <v>-3.0447804534415313E-2</v>
      </c>
    </row>
    <row r="673" spans="1:28" x14ac:dyDescent="0.45">
      <c r="A673" s="121">
        <v>46177</v>
      </c>
      <c r="B673" s="124">
        <v>757.09</v>
      </c>
      <c r="C673" s="124">
        <v>311.23</v>
      </c>
      <c r="D673" s="124">
        <v>428.05</v>
      </c>
      <c r="E673" s="124">
        <v>310.89</v>
      </c>
      <c r="F673" s="124">
        <v>152.04</v>
      </c>
      <c r="G673" s="124">
        <v>228.17</v>
      </c>
      <c r="H673" s="124">
        <v>253.79</v>
      </c>
      <c r="I673" s="124">
        <v>76.819999999999993</v>
      </c>
      <c r="J673" s="125">
        <v>117.74</v>
      </c>
      <c r="L673" s="39">
        <f t="shared" si="128"/>
        <v>3.7786380992787744E-3</v>
      </c>
      <c r="M673" s="40">
        <f t="shared" si="120"/>
        <v>3.1264101076517352E-3</v>
      </c>
      <c r="N673" s="40">
        <f t="shared" si="121"/>
        <v>1.6614405391492404E-3</v>
      </c>
      <c r="O673" s="40">
        <f t="shared" si="122"/>
        <v>3.3372112348346229E-2</v>
      </c>
      <c r="P673" s="40">
        <f t="shared" si="123"/>
        <v>-3.2124827902708262E-3</v>
      </c>
      <c r="Q673" s="40">
        <f t="shared" si="124"/>
        <v>2.2083855939795637E-2</v>
      </c>
      <c r="R673" s="40">
        <f t="shared" si="125"/>
        <v>1.5078793696504207E-2</v>
      </c>
      <c r="S673" s="40">
        <f t="shared" si="126"/>
        <v>-2.4631792788217519E-2</v>
      </c>
      <c r="T673" s="41">
        <f t="shared" si="127"/>
        <v>7.2717939943536172E-3</v>
      </c>
      <c r="V673" s="39">
        <f t="shared" si="129"/>
        <v>3.7786380992787744E-3</v>
      </c>
      <c r="W673" s="40" cm="1">
        <f t="array" ref="W673">IF(M673="","",SUMPRODUCT(M673:T673,TRANSPOSE('04_Dashboard'!$C$53:$C$60)))</f>
        <v>1.2011183392937714E-2</v>
      </c>
      <c r="X673" s="42">
        <f t="shared" si="130"/>
        <v>1.7717582083265018</v>
      </c>
      <c r="Y673" s="118">
        <f t="shared" si="131"/>
        <v>1.8057205300180492</v>
      </c>
      <c r="AA673" s="43">
        <f>IF(X673="","",X673/MAX($X$4:X673)-1)</f>
        <v>-3.2650052003105889E-3</v>
      </c>
      <c r="AB673" s="44">
        <f>IF(Y673="","",Y673/MAX($Y$4:Y673)-1)</f>
        <v>-1.8802335305652673E-2</v>
      </c>
    </row>
    <row r="674" spans="1:28" x14ac:dyDescent="0.45">
      <c r="A674" s="121">
        <v>46178</v>
      </c>
      <c r="B674" s="124">
        <v>737.55</v>
      </c>
      <c r="C674" s="124">
        <v>307.33999999999997</v>
      </c>
      <c r="D674" s="124">
        <v>416.67</v>
      </c>
      <c r="E674" s="124">
        <v>312.37</v>
      </c>
      <c r="F674" s="124">
        <v>149.91999999999999</v>
      </c>
      <c r="G674" s="124">
        <v>232.77</v>
      </c>
      <c r="H674" s="124">
        <v>246.03</v>
      </c>
      <c r="I674" s="124">
        <v>79.48</v>
      </c>
      <c r="J674" s="125">
        <v>118.88</v>
      </c>
      <c r="L674" s="39">
        <f t="shared" si="128"/>
        <v>-2.5809348954549758E-2</v>
      </c>
      <c r="M674" s="40">
        <f t="shared" si="120"/>
        <v>-1.2498795103299949E-2</v>
      </c>
      <c r="N674" s="40">
        <f t="shared" si="121"/>
        <v>-2.6585679243079068E-2</v>
      </c>
      <c r="O674" s="40">
        <f t="shared" si="122"/>
        <v>4.7605262311429071E-3</v>
      </c>
      <c r="P674" s="40">
        <f t="shared" si="123"/>
        <v>-1.3943699026571985E-2</v>
      </c>
      <c r="Q674" s="40">
        <f t="shared" si="124"/>
        <v>2.0160406714292076E-2</v>
      </c>
      <c r="R674" s="40">
        <f t="shared" si="125"/>
        <v>-3.0576460853461489E-2</v>
      </c>
      <c r="S674" s="40">
        <f t="shared" si="126"/>
        <v>3.4626399375162861E-2</v>
      </c>
      <c r="T674" s="41">
        <f t="shared" si="127"/>
        <v>9.6823509427552291E-3</v>
      </c>
      <c r="V674" s="39">
        <f t="shared" si="129"/>
        <v>-2.5809348954549758E-2</v>
      </c>
      <c r="W674" s="40" cm="1">
        <f t="array" ref="W674">IF(M674="","",SUMPRODUCT(M674:T674,TRANSPOSE('04_Dashboard'!$C$53:$C$60)))</f>
        <v>6.6338091927465193E-3</v>
      </c>
      <c r="X674" s="42">
        <f t="shared" si="130"/>
        <v>1.7260302824647151</v>
      </c>
      <c r="Y674" s="118">
        <f t="shared" si="131"/>
        <v>1.817699335469614</v>
      </c>
      <c r="AA674" s="43">
        <f>IF(X674="","",X674/MAX($X$4:X674)-1)</f>
        <v>-2.8990086496307188E-2</v>
      </c>
      <c r="AB674" s="44">
        <f>IF(Y674="","",Y674/MAX($Y$4:Y674)-1)</f>
        <v>-1.2293257217701914E-2</v>
      </c>
    </row>
    <row r="675" spans="1:28" x14ac:dyDescent="0.45">
      <c r="A675" s="121">
        <v>46181</v>
      </c>
      <c r="B675" s="124">
        <v>739.22</v>
      </c>
      <c r="C675" s="124">
        <v>301.54000000000002</v>
      </c>
      <c r="D675" s="124">
        <v>411.74</v>
      </c>
      <c r="E675" s="124">
        <v>311.11</v>
      </c>
      <c r="F675" s="124">
        <v>151.75</v>
      </c>
      <c r="G675" s="124">
        <v>232.16</v>
      </c>
      <c r="H675" s="124">
        <v>245.22</v>
      </c>
      <c r="I675" s="124">
        <v>79.540000000000006</v>
      </c>
      <c r="J675" s="125">
        <v>119.83</v>
      </c>
      <c r="L675" s="39">
        <f t="shared" si="128"/>
        <v>2.2642532709647792E-3</v>
      </c>
      <c r="M675" s="40">
        <f t="shared" si="120"/>
        <v>-1.887160799114972E-2</v>
      </c>
      <c r="N675" s="40">
        <f t="shared" si="121"/>
        <v>-1.1831905344757258E-2</v>
      </c>
      <c r="O675" s="40">
        <f t="shared" si="122"/>
        <v>-4.0336780100521524E-3</v>
      </c>
      <c r="P675" s="40">
        <f t="shared" si="123"/>
        <v>1.2206510138740747E-2</v>
      </c>
      <c r="Q675" s="40">
        <f t="shared" si="124"/>
        <v>-2.6206126219015064E-3</v>
      </c>
      <c r="R675" s="40">
        <f t="shared" si="125"/>
        <v>-3.2922814290940222E-3</v>
      </c>
      <c r="S675" s="40">
        <f t="shared" si="126"/>
        <v>7.5490689481633459E-4</v>
      </c>
      <c r="T675" s="41">
        <f t="shared" si="127"/>
        <v>7.9912516823687999E-3</v>
      </c>
      <c r="V675" s="39">
        <f t="shared" si="129"/>
        <v>2.2642532709647792E-3</v>
      </c>
      <c r="W675" s="40" cm="1">
        <f t="array" ref="W675">IF(M675="","",SUMPRODUCT(M675:T675,TRANSPOSE('04_Dashboard'!$C$53:$C$60)))</f>
        <v>-1.8382503208115477E-3</v>
      </c>
      <c r="X675" s="42">
        <f t="shared" si="130"/>
        <v>1.72993845217757</v>
      </c>
      <c r="Y675" s="118">
        <f t="shared" si="131"/>
        <v>1.8143579490830481</v>
      </c>
      <c r="AA675" s="43">
        <f>IF(X675="","",X675/MAX($X$4:X675)-1)</f>
        <v>-2.6791474123517234E-2</v>
      </c>
      <c r="AB675" s="44">
        <f>IF(Y675="","",Y675/MAX($Y$4:Y675)-1)</f>
        <v>-1.4108909454489171E-2</v>
      </c>
    </row>
    <row r="676" spans="1:28" x14ac:dyDescent="0.45">
      <c r="A676" s="121">
        <v>46182</v>
      </c>
      <c r="B676" s="124">
        <v>737.05</v>
      </c>
      <c r="C676" s="124">
        <v>290.55</v>
      </c>
      <c r="D676" s="124">
        <v>403.41</v>
      </c>
      <c r="E676" s="124">
        <v>312.7</v>
      </c>
      <c r="F676" s="124">
        <v>148.91</v>
      </c>
      <c r="G676" s="124">
        <v>237</v>
      </c>
      <c r="H676" s="124">
        <v>244.19</v>
      </c>
      <c r="I676" s="124">
        <v>81.34</v>
      </c>
      <c r="J676" s="125">
        <v>118.88</v>
      </c>
      <c r="L676" s="39">
        <f t="shared" si="128"/>
        <v>-2.9355266361841843E-3</v>
      </c>
      <c r="M676" s="40">
        <f t="shared" si="120"/>
        <v>-3.6446242621211142E-2</v>
      </c>
      <c r="N676" s="40">
        <f t="shared" si="121"/>
        <v>-2.0231213872832332E-2</v>
      </c>
      <c r="O676" s="40">
        <f t="shared" si="122"/>
        <v>5.110732538330413E-3</v>
      </c>
      <c r="P676" s="40">
        <f t="shared" si="123"/>
        <v>-1.8714991762767731E-2</v>
      </c>
      <c r="Q676" s="40">
        <f t="shared" si="124"/>
        <v>2.084769124741559E-2</v>
      </c>
      <c r="R676" s="40">
        <f t="shared" si="125"/>
        <v>-4.2003099257809364E-3</v>
      </c>
      <c r="S676" s="40">
        <f t="shared" si="126"/>
        <v>2.2630123208448542E-2</v>
      </c>
      <c r="T676" s="41">
        <f t="shared" si="127"/>
        <v>-7.9278978552950255E-3</v>
      </c>
      <c r="V676" s="39">
        <f t="shared" si="129"/>
        <v>-2.9355266361841843E-3</v>
      </c>
      <c r="W676" s="40" cm="1">
        <f t="array" ref="W676">IF(M676="","",SUMPRODUCT(M676:T676,TRANSPOSE('04_Dashboard'!$C$53:$C$60)))</f>
        <v>3.5765215077468459E-3</v>
      </c>
      <c r="X676" s="42">
        <f t="shared" si="130"/>
        <v>1.7248601717722434</v>
      </c>
      <c r="Y676" s="118">
        <f t="shared" si="131"/>
        <v>1.820847039310695</v>
      </c>
      <c r="AA676" s="43">
        <f>IF(X676="","",X676/MAX($X$4:X676)-1)</f>
        <v>-2.9648353673789374E-2</v>
      </c>
      <c r="AB676" s="44">
        <f>IF(Y676="","",Y676/MAX($Y$4:Y676)-1)</f>
        <v>-1.0582848764857267E-2</v>
      </c>
    </row>
    <row r="677" spans="1:28" x14ac:dyDescent="0.45">
      <c r="A677" s="121">
        <v>46183</v>
      </c>
      <c r="B677" s="124">
        <v>725.43</v>
      </c>
      <c r="C677" s="124">
        <v>291.58</v>
      </c>
      <c r="D677" s="124">
        <v>397.36</v>
      </c>
      <c r="E677" s="124">
        <v>309.14</v>
      </c>
      <c r="F677" s="124">
        <v>150.62</v>
      </c>
      <c r="G677" s="124">
        <v>238.49</v>
      </c>
      <c r="H677" s="124">
        <v>238</v>
      </c>
      <c r="I677" s="124">
        <v>83.59</v>
      </c>
      <c r="J677" s="125">
        <v>120.59</v>
      </c>
      <c r="L677" s="39">
        <f t="shared" si="128"/>
        <v>-1.5765551862153185E-2</v>
      </c>
      <c r="M677" s="40">
        <f t="shared" si="120"/>
        <v>3.5450008604370081E-3</v>
      </c>
      <c r="N677" s="40">
        <f t="shared" si="121"/>
        <v>-1.4997149302198783E-2</v>
      </c>
      <c r="O677" s="40">
        <f t="shared" si="122"/>
        <v>-1.1384713783178773E-2</v>
      </c>
      <c r="P677" s="40">
        <f t="shared" si="123"/>
        <v>1.1483446377006299E-2</v>
      </c>
      <c r="Q677" s="40">
        <f t="shared" si="124"/>
        <v>6.2869198312236673E-3</v>
      </c>
      <c r="R677" s="40">
        <f t="shared" si="125"/>
        <v>-2.5349113395306926E-2</v>
      </c>
      <c r="S677" s="40">
        <f t="shared" si="126"/>
        <v>2.7661667076469141E-2</v>
      </c>
      <c r="T677" s="41">
        <f t="shared" si="127"/>
        <v>1.4384253028263863E-2</v>
      </c>
      <c r="V677" s="39">
        <f t="shared" si="129"/>
        <v>-1.5765551862153185E-2</v>
      </c>
      <c r="W677" s="40" cm="1">
        <f t="array" ref="W677">IF(M677="","",SUMPRODUCT(M677:T677,TRANSPOSE('04_Dashboard'!$C$53:$C$60)))</f>
        <v>2.5209771280431358E-3</v>
      </c>
      <c r="X677" s="42">
        <f t="shared" si="130"/>
        <v>1.6976667992792056</v>
      </c>
      <c r="Y677" s="118">
        <f t="shared" si="131"/>
        <v>1.8254373530504624</v>
      </c>
      <c r="AA677" s="43">
        <f>IF(X677="","",X677/MAX($X$4:X677)-1)</f>
        <v>-4.4946482878470917E-2</v>
      </c>
      <c r="AB677" s="44">
        <f>IF(Y677="","",Y677/MAX($Y$4:Y677)-1)</f>
        <v>-8.0885507564998349E-3</v>
      </c>
    </row>
    <row r="678" spans="1:28" x14ac:dyDescent="0.45">
      <c r="A678" s="121">
        <v>46184</v>
      </c>
      <c r="B678" s="124">
        <v>737.76</v>
      </c>
      <c r="C678" s="124">
        <v>295.63</v>
      </c>
      <c r="D678" s="124">
        <v>390.34</v>
      </c>
      <c r="E678" s="124">
        <v>313.49</v>
      </c>
      <c r="F678" s="124">
        <v>146.6</v>
      </c>
      <c r="G678" s="124">
        <v>238.33</v>
      </c>
      <c r="H678" s="124">
        <v>241.51</v>
      </c>
      <c r="I678" s="124">
        <v>82.53</v>
      </c>
      <c r="J678" s="125">
        <v>120.5</v>
      </c>
      <c r="L678" s="39">
        <f t="shared" si="128"/>
        <v>1.6996815681733651E-2</v>
      </c>
      <c r="M678" s="40">
        <f t="shared" si="120"/>
        <v>1.3889841552918621E-2</v>
      </c>
      <c r="N678" s="40">
        <f t="shared" si="121"/>
        <v>-1.7666599557076803E-2</v>
      </c>
      <c r="O678" s="40">
        <f t="shared" si="122"/>
        <v>1.4071294559099511E-2</v>
      </c>
      <c r="P678" s="40">
        <f t="shared" si="123"/>
        <v>-2.6689682645067124E-2</v>
      </c>
      <c r="Q678" s="40">
        <f t="shared" si="124"/>
        <v>-6.7088766824603371E-4</v>
      </c>
      <c r="R678" s="40">
        <f t="shared" si="125"/>
        <v>1.4747899159663827E-2</v>
      </c>
      <c r="S678" s="40">
        <f t="shared" si="126"/>
        <v>-1.2680942696494822E-2</v>
      </c>
      <c r="T678" s="41">
        <f t="shared" si="127"/>
        <v>-7.4633054150429888E-4</v>
      </c>
      <c r="V678" s="39">
        <f t="shared" si="129"/>
        <v>1.6996815681733651E-2</v>
      </c>
      <c r="W678" s="40" cm="1">
        <f t="array" ref="W678">IF(M678="","",SUMPRODUCT(M678:T678,TRANSPOSE('04_Dashboard'!$C$53:$C$60)))</f>
        <v>6.2978096647331591E-4</v>
      </c>
      <c r="X678" s="42">
        <f t="shared" si="130"/>
        <v>1.726521728955553</v>
      </c>
      <c r="Y678" s="118">
        <f t="shared" si="131"/>
        <v>1.8265869787509028</v>
      </c>
      <c r="AA678" s="43">
        <f>IF(X678="","",X678/MAX($X$4:X678)-1)</f>
        <v>-2.8713614281764888E-2</v>
      </c>
      <c r="AB678" s="44">
        <f>IF(Y678="","",Y678/MAX($Y$4:Y678)-1)</f>
        <v>-7.4638638053394768E-3</v>
      </c>
    </row>
    <row r="679" spans="1:28" x14ac:dyDescent="0.45">
      <c r="A679" s="121">
        <v>46185</v>
      </c>
      <c r="B679" s="124">
        <v>741.75</v>
      </c>
      <c r="C679" s="124">
        <v>291.13</v>
      </c>
      <c r="D679" s="124">
        <v>390.74</v>
      </c>
      <c r="E679" s="124">
        <v>320.72000000000003</v>
      </c>
      <c r="F679" s="124">
        <v>147.01</v>
      </c>
      <c r="G679" s="124">
        <v>240.87</v>
      </c>
      <c r="H679" s="124">
        <v>238.55</v>
      </c>
      <c r="I679" s="124">
        <v>82.62</v>
      </c>
      <c r="J679" s="125">
        <v>121.04</v>
      </c>
      <c r="L679" s="39">
        <f t="shared" si="128"/>
        <v>5.4082628497072339E-3</v>
      </c>
      <c r="M679" s="40">
        <f t="shared" si="120"/>
        <v>-1.5221729865033996E-2</v>
      </c>
      <c r="N679" s="40">
        <f t="shared" si="121"/>
        <v>1.0247476558898246E-3</v>
      </c>
      <c r="O679" s="40">
        <f t="shared" si="122"/>
        <v>2.3062936616798042E-2</v>
      </c>
      <c r="P679" s="40">
        <f t="shared" si="123"/>
        <v>2.7967257844474531E-3</v>
      </c>
      <c r="Q679" s="40">
        <f t="shared" si="124"/>
        <v>1.0657491713170779E-2</v>
      </c>
      <c r="R679" s="40">
        <f t="shared" si="125"/>
        <v>-1.2256221274481303E-2</v>
      </c>
      <c r="S679" s="40">
        <f t="shared" si="126"/>
        <v>1.0905125408942615E-3</v>
      </c>
      <c r="T679" s="41">
        <f t="shared" si="127"/>
        <v>4.4813278008299278E-3</v>
      </c>
      <c r="V679" s="39">
        <f t="shared" si="129"/>
        <v>5.4082628497072339E-3</v>
      </c>
      <c r="W679" s="40" cm="1">
        <f t="array" ref="W679">IF(M679="","",SUMPRODUCT(M679:T679,TRANSPOSE('04_Dashboard'!$C$53:$C$60)))</f>
        <v>7.2517219113247466E-3</v>
      </c>
      <c r="X679" s="42">
        <f t="shared" si="130"/>
        <v>1.7358592122814755</v>
      </c>
      <c r="Y679" s="118">
        <f t="shared" si="131"/>
        <v>1.8398328795676513</v>
      </c>
      <c r="AA679" s="43">
        <f>IF(X679="","",X679/MAX($X$4:X679)-1)</f>
        <v>-2.3460642205458515E-2</v>
      </c>
      <c r="AB679" s="44">
        <f>IF(Y679="","",Y679/MAX($Y$4:Y679)-1)</f>
        <v>-2.6626775871496644E-4</v>
      </c>
    </row>
    <row r="680" spans="1:28" x14ac:dyDescent="0.45">
      <c r="A680" s="121">
        <v>46188</v>
      </c>
      <c r="B680" s="124">
        <v>754.83</v>
      </c>
      <c r="C680" s="124">
        <v>296.42</v>
      </c>
      <c r="D680" s="124">
        <v>399.76</v>
      </c>
      <c r="E680" s="124">
        <v>319.39999999999998</v>
      </c>
      <c r="F680" s="124">
        <v>140.91999999999999</v>
      </c>
      <c r="G680" s="124">
        <v>235.66</v>
      </c>
      <c r="H680" s="124">
        <v>246.02</v>
      </c>
      <c r="I680" s="124">
        <v>80.91</v>
      </c>
      <c r="J680" s="125">
        <v>120.82</v>
      </c>
      <c r="L680" s="39">
        <f t="shared" si="128"/>
        <v>1.7633973710819064E-2</v>
      </c>
      <c r="M680" s="40">
        <f t="shared" si="120"/>
        <v>1.8170576718304608E-2</v>
      </c>
      <c r="N680" s="40">
        <f t="shared" si="121"/>
        <v>2.3084403951476637E-2</v>
      </c>
      <c r="O680" s="40">
        <f t="shared" si="122"/>
        <v>-4.1157395859318094E-3</v>
      </c>
      <c r="P680" s="40">
        <f t="shared" si="123"/>
        <v>-4.1425753350112261E-2</v>
      </c>
      <c r="Q680" s="40">
        <f t="shared" si="124"/>
        <v>-2.1629924855731338E-2</v>
      </c>
      <c r="R680" s="40">
        <f t="shared" si="125"/>
        <v>3.131418989729616E-2</v>
      </c>
      <c r="S680" s="40">
        <f t="shared" si="126"/>
        <v>-2.069716775599138E-2</v>
      </c>
      <c r="T680" s="41">
        <f t="shared" si="127"/>
        <v>-1.8175809649703656E-3</v>
      </c>
      <c r="V680" s="39">
        <f t="shared" si="129"/>
        <v>1.7633973710819064E-2</v>
      </c>
      <c r="W680" s="40" cm="1">
        <f t="array" ref="W680">IF(M680="","",SUMPRODUCT(M680:T680,TRANSPOSE('04_Dashboard'!$C$53:$C$60)))</f>
        <v>-6.4452495229755519E-3</v>
      </c>
      <c r="X680" s="42">
        <f t="shared" si="130"/>
        <v>1.7664693079965301</v>
      </c>
      <c r="Y680" s="118">
        <f t="shared" si="131"/>
        <v>1.8279746975782631</v>
      </c>
      <c r="AA680" s="43">
        <f>IF(X680="","",X680/MAX($X$4:X680)-1)</f>
        <v>-6.2403728425295402E-3</v>
      </c>
      <c r="AB680" s="44">
        <f>IF(Y680="","",Y680/MAX($Y$4:Y680)-1)</f>
        <v>-6.7098011195456664E-3</v>
      </c>
    </row>
    <row r="681" spans="1:28" x14ac:dyDescent="0.45">
      <c r="A681" s="121">
        <v>46189</v>
      </c>
      <c r="B681" s="124">
        <v>750.33</v>
      </c>
      <c r="C681" s="124">
        <v>299.24</v>
      </c>
      <c r="D681" s="124">
        <v>393.83</v>
      </c>
      <c r="E681" s="124">
        <v>331.14</v>
      </c>
      <c r="F681" s="124">
        <v>141.86000000000001</v>
      </c>
      <c r="G681" s="124">
        <v>235.18</v>
      </c>
      <c r="H681" s="124">
        <v>246</v>
      </c>
      <c r="I681" s="124">
        <v>80.28</v>
      </c>
      <c r="J681" s="125">
        <v>121.03</v>
      </c>
      <c r="L681" s="39">
        <f t="shared" si="128"/>
        <v>-5.9616072493144144E-3</v>
      </c>
      <c r="M681" s="40">
        <f t="shared" si="120"/>
        <v>9.5135281020173844E-3</v>
      </c>
      <c r="N681" s="40">
        <f t="shared" si="121"/>
        <v>-1.483390034020414E-2</v>
      </c>
      <c r="O681" s="40">
        <f t="shared" si="122"/>
        <v>3.6756418284283061E-2</v>
      </c>
      <c r="P681" s="40">
        <f t="shared" si="123"/>
        <v>6.6704513198980004E-3</v>
      </c>
      <c r="Q681" s="40">
        <f t="shared" si="124"/>
        <v>-2.0368327251124069E-3</v>
      </c>
      <c r="R681" s="40">
        <f t="shared" si="125"/>
        <v>-8.1294203723316114E-5</v>
      </c>
      <c r="S681" s="40">
        <f t="shared" si="126"/>
        <v>-7.7864293659621244E-3</v>
      </c>
      <c r="T681" s="41">
        <f t="shared" si="127"/>
        <v>1.7381228273465317E-3</v>
      </c>
      <c r="V681" s="39">
        <f t="shared" si="129"/>
        <v>-5.9616072493144144E-3</v>
      </c>
      <c r="W681" s="40" cm="1">
        <f t="array" ref="W681">IF(M681="","",SUMPRODUCT(M681:T681,TRANSPOSE('04_Dashboard'!$C$53:$C$60)))</f>
        <v>7.234528075302663E-3</v>
      </c>
      <c r="X681" s="42">
        <f t="shared" si="130"/>
        <v>1.7559383117642866</v>
      </c>
      <c r="Y681" s="118">
        <f t="shared" si="131"/>
        <v>1.8411992318488357</v>
      </c>
      <c r="AA681" s="43">
        <f>IF(X681="","",X681/MAX($X$4:X681)-1)</f>
        <v>-1.2164777439867436E-2</v>
      </c>
      <c r="AB681" s="44">
        <f>IF(Y681="","",Y681/MAX($Y$4:Y681)-1)</f>
        <v>0</v>
      </c>
    </row>
    <row r="682" spans="1:28" x14ac:dyDescent="0.45">
      <c r="A682" s="121">
        <v>46190</v>
      </c>
      <c r="B682" s="124">
        <v>740.96</v>
      </c>
      <c r="C682" s="124">
        <v>295.95</v>
      </c>
      <c r="D682" s="124">
        <v>378.91</v>
      </c>
      <c r="E682" s="124">
        <v>333.46</v>
      </c>
      <c r="F682" s="124">
        <v>140.74</v>
      </c>
      <c r="G682" s="124">
        <v>234.2</v>
      </c>
      <c r="H682" s="124">
        <v>237.5</v>
      </c>
      <c r="I682" s="124">
        <v>79.930000000000007</v>
      </c>
      <c r="J682" s="125">
        <v>118.13</v>
      </c>
      <c r="L682" s="39">
        <f t="shared" si="128"/>
        <v>-1.2487838684312242E-2</v>
      </c>
      <c r="M682" s="40">
        <f t="shared" si="120"/>
        <v>-1.0994519449271555E-2</v>
      </c>
      <c r="N682" s="40">
        <f t="shared" si="121"/>
        <v>-3.7884366350963511E-2</v>
      </c>
      <c r="O682" s="40">
        <f t="shared" si="122"/>
        <v>7.0061001389140343E-3</v>
      </c>
      <c r="P682" s="40">
        <f t="shared" si="123"/>
        <v>-7.8951078528126627E-3</v>
      </c>
      <c r="Q682" s="40">
        <f t="shared" si="124"/>
        <v>-4.1670210051875933E-3</v>
      </c>
      <c r="R682" s="40">
        <f t="shared" si="125"/>
        <v>-3.4552845528455285E-2</v>
      </c>
      <c r="S682" s="40">
        <f t="shared" si="126"/>
        <v>-4.3597409068260378E-3</v>
      </c>
      <c r="T682" s="41">
        <f t="shared" si="127"/>
        <v>-2.3961001404610473E-2</v>
      </c>
      <c r="V682" s="39">
        <f t="shared" si="129"/>
        <v>-1.2487838684312242E-2</v>
      </c>
      <c r="W682" s="40" cm="1">
        <f t="array" ref="W682">IF(M682="","",SUMPRODUCT(M682:T682,TRANSPOSE('04_Dashboard'!$C$53:$C$60)))</f>
        <v>-9.3981172845306223E-3</v>
      </c>
      <c r="X682" s="42">
        <f t="shared" si="130"/>
        <v>1.7340104373873706</v>
      </c>
      <c r="Y682" s="118">
        <f t="shared" si="131"/>
        <v>1.8238954255237325</v>
      </c>
      <c r="AA682" s="43">
        <f>IF(X682="","",X682/MAX($X$4:X682)-1)</f>
        <v>-2.4500704345880142E-2</v>
      </c>
      <c r="AB682" s="44">
        <f>IF(Y682="","",Y682/MAX($Y$4:Y682)-1)</f>
        <v>-9.3981172845306604E-3</v>
      </c>
    </row>
    <row r="683" spans="1:28" x14ac:dyDescent="0.45">
      <c r="A683" s="121">
        <v>46191</v>
      </c>
      <c r="B683" s="124">
        <v>746.74</v>
      </c>
      <c r="C683" s="124">
        <v>298.01</v>
      </c>
      <c r="D683" s="124">
        <v>379.4</v>
      </c>
      <c r="E683" s="124">
        <v>325.22000000000003</v>
      </c>
      <c r="F683" s="124">
        <v>137.81</v>
      </c>
      <c r="G683" s="124">
        <v>228.39</v>
      </c>
      <c r="H683" s="124">
        <v>244.39</v>
      </c>
      <c r="I683" s="124">
        <v>79.39</v>
      </c>
      <c r="J683" s="125">
        <v>117.18</v>
      </c>
      <c r="L683" s="39">
        <f t="shared" si="128"/>
        <v>7.8006909954653047E-3</v>
      </c>
      <c r="M683" s="40">
        <f t="shared" si="120"/>
        <v>6.9606352424396089E-3</v>
      </c>
      <c r="N683" s="40">
        <f t="shared" si="121"/>
        <v>1.2931830777755989E-3</v>
      </c>
      <c r="O683" s="40">
        <f t="shared" si="122"/>
        <v>-2.4710609968211939E-2</v>
      </c>
      <c r="P683" s="40">
        <f t="shared" si="123"/>
        <v>-2.0818530623845435E-2</v>
      </c>
      <c r="Q683" s="40">
        <f t="shared" si="124"/>
        <v>-2.4807856532877894E-2</v>
      </c>
      <c r="R683" s="40">
        <f t="shared" si="125"/>
        <v>2.9010526315789417E-2</v>
      </c>
      <c r="S683" s="40">
        <f t="shared" si="126"/>
        <v>-6.7559114224947604E-3</v>
      </c>
      <c r="T683" s="41">
        <f t="shared" si="127"/>
        <v>-8.041987640734688E-3</v>
      </c>
      <c r="V683" s="39">
        <f t="shared" si="129"/>
        <v>7.8006909954653047E-3</v>
      </c>
      <c r="W683" s="40" cm="1">
        <f t="array" ref="W683">IF(M683="","",SUMPRODUCT(M683:T683,TRANSPOSE('04_Dashboard'!$C$53:$C$60)))</f>
        <v>-1.2262017392505604E-2</v>
      </c>
      <c r="X683" s="42">
        <f t="shared" si="130"/>
        <v>1.7475369169923411</v>
      </c>
      <c r="Y683" s="118">
        <f t="shared" si="131"/>
        <v>1.8015307880938489</v>
      </c>
      <c r="AA683" s="43">
        <f>IF(X683="","",X683/MAX($X$4:X683)-1)</f>
        <v>-1.6891135774188215E-2</v>
      </c>
      <c r="AB683" s="44">
        <f>IF(Y683="","",Y683/MAX($Y$4:Y683)-1)</f>
        <v>-2.1544894799436665E-2</v>
      </c>
    </row>
    <row r="684" spans="1:28" x14ac:dyDescent="0.45">
      <c r="A684" s="121">
        <v>46195</v>
      </c>
      <c r="B684" s="124">
        <v>744.39</v>
      </c>
      <c r="C684" s="124">
        <v>297.01</v>
      </c>
      <c r="D684" s="124">
        <v>367.34</v>
      </c>
      <c r="E684" s="124">
        <v>331.48</v>
      </c>
      <c r="F684" s="124">
        <v>138.47</v>
      </c>
      <c r="G684" s="124">
        <v>231.29</v>
      </c>
      <c r="H684" s="124">
        <v>232.79</v>
      </c>
      <c r="I684" s="124">
        <v>79.53</v>
      </c>
      <c r="J684" s="125">
        <v>117.18</v>
      </c>
      <c r="L684" s="39">
        <f t="shared" si="128"/>
        <v>-3.1470123470016642E-3</v>
      </c>
      <c r="M684" s="40">
        <f t="shared" si="120"/>
        <v>-3.3555920942250259E-3</v>
      </c>
      <c r="N684" s="40">
        <f t="shared" si="121"/>
        <v>-3.1787032156035851E-2</v>
      </c>
      <c r="O684" s="40">
        <f t="shared" si="122"/>
        <v>1.9248508701801826E-2</v>
      </c>
      <c r="P684" s="40">
        <f t="shared" si="123"/>
        <v>4.7892025252158519E-3</v>
      </c>
      <c r="Q684" s="40">
        <f t="shared" si="124"/>
        <v>1.2697578703095607E-2</v>
      </c>
      <c r="R684" s="40">
        <f t="shared" si="125"/>
        <v>-4.7465117230655898E-2</v>
      </c>
      <c r="S684" s="40">
        <f t="shared" si="126"/>
        <v>1.7634462778687563E-3</v>
      </c>
      <c r="T684" s="41">
        <f t="shared" si="127"/>
        <v>0</v>
      </c>
      <c r="V684" s="39">
        <f t="shared" si="129"/>
        <v>-3.1470123470016642E-3</v>
      </c>
      <c r="W684" s="40" cm="1">
        <f t="array" ref="W684">IF(M684="","",SUMPRODUCT(M684:T684,TRANSPOSE('04_Dashboard'!$C$53:$C$60)))</f>
        <v>2.233687116899208E-3</v>
      </c>
      <c r="X684" s="42">
        <f t="shared" si="130"/>
        <v>1.742037396737725</v>
      </c>
      <c r="Y684" s="118">
        <f t="shared" si="131"/>
        <v>1.8055548442059115</v>
      </c>
      <c r="AA684" s="43">
        <f>IF(X684="","",X684/MAX($X$4:X684)-1)</f>
        <v>-1.9984991508353644E-2</v>
      </c>
      <c r="AB684" s="44">
        <f>IF(Y684="","",Y684/MAX($Y$4:Y684)-1)</f>
        <v>-1.9359332236485893E-2</v>
      </c>
    </row>
    <row r="685" spans="1:28" x14ac:dyDescent="0.45">
      <c r="A685" s="121">
        <v>46196</v>
      </c>
      <c r="B685" s="124">
        <v>733.58</v>
      </c>
      <c r="C685" s="124">
        <v>294.3</v>
      </c>
      <c r="D685" s="124">
        <v>373.94</v>
      </c>
      <c r="E685" s="124">
        <v>334.14</v>
      </c>
      <c r="F685" s="124">
        <v>139.72999999999999</v>
      </c>
      <c r="G685" s="124">
        <v>239.08</v>
      </c>
      <c r="H685" s="124">
        <v>234.11</v>
      </c>
      <c r="I685" s="124">
        <v>80.31</v>
      </c>
      <c r="J685" s="125">
        <v>119.42</v>
      </c>
      <c r="L685" s="39">
        <f t="shared" si="128"/>
        <v>-1.4521957576001754E-2</v>
      </c>
      <c r="M685" s="40">
        <f t="shared" si="120"/>
        <v>-9.1242719100366309E-3</v>
      </c>
      <c r="N685" s="40">
        <f t="shared" si="121"/>
        <v>1.7967006043447552E-2</v>
      </c>
      <c r="O685" s="40">
        <f t="shared" si="122"/>
        <v>8.0246168697959697E-3</v>
      </c>
      <c r="P685" s="40">
        <f t="shared" si="123"/>
        <v>9.0994439228713146E-3</v>
      </c>
      <c r="Q685" s="40">
        <f t="shared" si="124"/>
        <v>3.3680660642483554E-2</v>
      </c>
      <c r="R685" s="40">
        <f t="shared" si="125"/>
        <v>5.6703466643757104E-3</v>
      </c>
      <c r="S685" s="40">
        <f t="shared" si="126"/>
        <v>9.8076197661260047E-3</v>
      </c>
      <c r="T685" s="41">
        <f t="shared" si="127"/>
        <v>1.9115890083631973E-2</v>
      </c>
      <c r="V685" s="39">
        <f t="shared" si="129"/>
        <v>-1.4521957576001754E-2</v>
      </c>
      <c r="W685" s="40" cm="1">
        <f t="array" ref="W685">IF(M685="","",SUMPRODUCT(M685:T685,TRANSPOSE('04_Dashboard'!$C$53:$C$60)))</f>
        <v>1.5544453857656754E-2</v>
      </c>
      <c r="X685" s="42">
        <f t="shared" si="130"/>
        <v>1.7167396035664912</v>
      </c>
      <c r="Y685" s="118">
        <f t="shared" si="131"/>
        <v>1.833621208169139</v>
      </c>
      <c r="AA685" s="43">
        <f>IF(X685="","",X685/MAX($X$4:X685)-1)</f>
        <v>-3.4216727885514331E-2</v>
      </c>
      <c r="AB685" s="44">
        <f>IF(Y685="","",Y685/MAX($Y$4:Y685)-1)</f>
        <v>-4.1158086254942106E-3</v>
      </c>
    </row>
    <row r="686" spans="1:28" x14ac:dyDescent="0.45">
      <c r="A686" s="121">
        <v>46197</v>
      </c>
      <c r="B686" s="124">
        <v>733.24</v>
      </c>
      <c r="C686" s="124">
        <v>293.08</v>
      </c>
      <c r="D686" s="124">
        <v>365.46</v>
      </c>
      <c r="E686" s="124">
        <v>333.45</v>
      </c>
      <c r="F686" s="124">
        <v>136.9</v>
      </c>
      <c r="G686" s="124">
        <v>241</v>
      </c>
      <c r="H686" s="124">
        <v>234.27</v>
      </c>
      <c r="I686" s="124">
        <v>80.599999999999994</v>
      </c>
      <c r="J686" s="125">
        <v>119</v>
      </c>
      <c r="L686" s="39">
        <f t="shared" si="128"/>
        <v>-4.634804656615936E-4</v>
      </c>
      <c r="M686" s="40">
        <f t="shared" si="120"/>
        <v>-4.1454298335033201E-3</v>
      </c>
      <c r="N686" s="40">
        <f t="shared" si="121"/>
        <v>-2.2677434882601537E-2</v>
      </c>
      <c r="O686" s="40">
        <f t="shared" si="122"/>
        <v>-2.0650026934817675E-3</v>
      </c>
      <c r="P686" s="40">
        <f t="shared" si="123"/>
        <v>-2.0253345738209291E-2</v>
      </c>
      <c r="Q686" s="40">
        <f t="shared" si="124"/>
        <v>8.0307846745858603E-3</v>
      </c>
      <c r="R686" s="40">
        <f t="shared" si="125"/>
        <v>6.8343940882489677E-4</v>
      </c>
      <c r="S686" s="40">
        <f t="shared" si="126"/>
        <v>3.6110073465320885E-3</v>
      </c>
      <c r="T686" s="41">
        <f t="shared" si="127"/>
        <v>-3.5169988276670715E-3</v>
      </c>
      <c r="V686" s="39">
        <f t="shared" si="129"/>
        <v>-4.634804656615936E-4</v>
      </c>
      <c r="W686" s="40" cm="1">
        <f t="array" ref="W686">IF(M686="","",SUMPRODUCT(M686:T686,TRANSPOSE('04_Dashboard'!$C$53:$C$60)))</f>
        <v>-1.3000911203587357E-3</v>
      </c>
      <c r="X686" s="42">
        <f t="shared" si="130"/>
        <v>1.7159439282956106</v>
      </c>
      <c r="Y686" s="118">
        <f t="shared" si="131"/>
        <v>1.8312373335182968</v>
      </c>
      <c r="AA686" s="43">
        <f>IF(X686="","",X686/MAX($X$4:X686)-1)</f>
        <v>-3.4664349566202124E-2</v>
      </c>
      <c r="AB686" s="44">
        <f>IF(Y686="","",Y686/MAX($Y$4:Y686)-1)</f>
        <v>-5.4105488196058982E-3</v>
      </c>
    </row>
    <row r="687" spans="1:28" x14ac:dyDescent="0.45">
      <c r="A687" s="121">
        <v>46198</v>
      </c>
      <c r="B687" s="124">
        <v>734.3</v>
      </c>
      <c r="C687" s="124">
        <v>275.14999999999998</v>
      </c>
      <c r="D687" s="124">
        <v>352.83</v>
      </c>
      <c r="E687" s="124">
        <v>335.12</v>
      </c>
      <c r="F687" s="124">
        <v>137.55000000000001</v>
      </c>
      <c r="G687" s="124">
        <v>244.88</v>
      </c>
      <c r="H687" s="124">
        <v>227.01</v>
      </c>
      <c r="I687" s="124">
        <v>80.42</v>
      </c>
      <c r="J687" s="125">
        <v>115.78</v>
      </c>
      <c r="L687" s="39">
        <f t="shared" si="128"/>
        <v>1.4456385358135747E-3</v>
      </c>
      <c r="M687" s="40">
        <f t="shared" si="120"/>
        <v>-6.1177835403302877E-2</v>
      </c>
      <c r="N687" s="40">
        <f t="shared" si="121"/>
        <v>-3.4559185683795755E-2</v>
      </c>
      <c r="O687" s="40">
        <f t="shared" si="122"/>
        <v>5.0082471135103196E-3</v>
      </c>
      <c r="P687" s="40">
        <f t="shared" si="123"/>
        <v>4.7479912344777619E-3</v>
      </c>
      <c r="Q687" s="40">
        <f t="shared" si="124"/>
        <v>1.6099585062240646E-2</v>
      </c>
      <c r="R687" s="40">
        <f t="shared" si="125"/>
        <v>-3.0989883467793654E-2</v>
      </c>
      <c r="S687" s="40">
        <f t="shared" si="126"/>
        <v>-2.233250620347303E-3</v>
      </c>
      <c r="T687" s="41">
        <f t="shared" si="127"/>
        <v>-2.7058823529411757E-2</v>
      </c>
      <c r="V687" s="39">
        <f t="shared" si="129"/>
        <v>1.4456385358135747E-3</v>
      </c>
      <c r="W687" s="40" cm="1">
        <f t="array" ref="W687">IF(M687="","",SUMPRODUCT(M687:T687,TRANSPOSE('04_Dashboard'!$C$53:$C$60)))</f>
        <v>-6.8256777066648651E-3</v>
      </c>
      <c r="X687" s="42">
        <f t="shared" si="130"/>
        <v>1.7184245629636499</v>
      </c>
      <c r="Y687" s="118">
        <f t="shared" si="131"/>
        <v>1.8187378976752886</v>
      </c>
      <c r="AA687" s="43">
        <f>IF(X687="","",X687/MAX($X$4:X687)-1)</f>
        <v>-3.3268823149940396E-2</v>
      </c>
      <c r="AB687" s="44">
        <f>IF(Y687="","",Y687/MAX($Y$4:Y687)-1)</f>
        <v>-1.2199295863811854E-2</v>
      </c>
    </row>
    <row r="688" spans="1:28" x14ac:dyDescent="0.45">
      <c r="A688" s="121">
        <v>46199</v>
      </c>
      <c r="B688" s="124">
        <v>728.99</v>
      </c>
      <c r="C688" s="124">
        <v>283.77999999999997</v>
      </c>
      <c r="D688" s="124">
        <v>372.97</v>
      </c>
      <c r="E688" s="124">
        <v>329.05</v>
      </c>
      <c r="F688" s="124">
        <v>136.54</v>
      </c>
      <c r="G688" s="124">
        <v>254.66</v>
      </c>
      <c r="H688" s="124">
        <v>232.69</v>
      </c>
      <c r="I688" s="124">
        <v>82.63</v>
      </c>
      <c r="J688" s="125">
        <v>115.69</v>
      </c>
      <c r="L688" s="39">
        <f t="shared" si="128"/>
        <v>-7.2313768214625433E-3</v>
      </c>
      <c r="M688" s="40">
        <f t="shared" si="120"/>
        <v>3.1364710158095568E-2</v>
      </c>
      <c r="N688" s="40">
        <f t="shared" si="121"/>
        <v>5.7081313947226833E-2</v>
      </c>
      <c r="O688" s="40">
        <f t="shared" si="122"/>
        <v>-1.811291477679635E-2</v>
      </c>
      <c r="P688" s="40">
        <f t="shared" si="123"/>
        <v>-7.3427844420212232E-3</v>
      </c>
      <c r="Q688" s="40">
        <f t="shared" si="124"/>
        <v>3.9937928781443977E-2</v>
      </c>
      <c r="R688" s="40">
        <f t="shared" si="125"/>
        <v>2.5020924188361778E-2</v>
      </c>
      <c r="S688" s="40">
        <f t="shared" si="126"/>
        <v>2.7480726187515465E-2</v>
      </c>
      <c r="T688" s="41">
        <f t="shared" si="127"/>
        <v>-7.7733632751773548E-4</v>
      </c>
      <c r="V688" s="39">
        <f t="shared" si="129"/>
        <v>-7.2313768214625433E-3</v>
      </c>
      <c r="W688" s="40" cm="1">
        <f t="array" ref="W688">IF(M688="","",SUMPRODUCT(M688:T688,TRANSPOSE('04_Dashboard'!$C$53:$C$60)))</f>
        <v>1.600538908510641E-2</v>
      </c>
      <c r="X688" s="42">
        <f t="shared" si="130"/>
        <v>1.7059979874096025</v>
      </c>
      <c r="Y688" s="118">
        <f t="shared" si="131"/>
        <v>1.8478475053714101</v>
      </c>
      <c r="AA688" s="43">
        <f>IF(X688="","",X688/MAX($X$4:X688)-1)</f>
        <v>-4.025962057479926E-2</v>
      </c>
      <c r="AB688" s="44">
        <f>IF(Y688="","",Y688/MAX($Y$4:Y688)-1)</f>
        <v>0</v>
      </c>
    </row>
    <row r="689" spans="1:28" x14ac:dyDescent="0.45">
      <c r="A689" s="121">
        <v>46202</v>
      </c>
      <c r="B689" s="124">
        <v>741</v>
      </c>
      <c r="C689" s="124">
        <v>281.74</v>
      </c>
      <c r="D689" s="124">
        <v>368.57</v>
      </c>
      <c r="E689" s="124">
        <v>329.39</v>
      </c>
      <c r="F689" s="124">
        <v>136.06</v>
      </c>
      <c r="G689" s="124">
        <v>258.51</v>
      </c>
      <c r="H689" s="124">
        <v>240.14</v>
      </c>
      <c r="I689" s="124">
        <v>82.65</v>
      </c>
      <c r="J689" s="125">
        <v>114.6</v>
      </c>
      <c r="L689" s="39">
        <f t="shared" si="128"/>
        <v>1.6474848763357509E-2</v>
      </c>
      <c r="M689" s="40">
        <f t="shared" si="120"/>
        <v>-7.188667277468334E-3</v>
      </c>
      <c r="N689" s="40">
        <f t="shared" si="121"/>
        <v>-1.1797195484891637E-2</v>
      </c>
      <c r="O689" s="40">
        <f t="shared" si="122"/>
        <v>1.0332776173833003E-3</v>
      </c>
      <c r="P689" s="40">
        <f t="shared" si="123"/>
        <v>-3.5154533470044659E-3</v>
      </c>
      <c r="Q689" s="40">
        <f t="shared" si="124"/>
        <v>1.5118196811434833E-2</v>
      </c>
      <c r="R689" s="40">
        <f t="shared" si="125"/>
        <v>3.20168464480639E-2</v>
      </c>
      <c r="S689" s="40">
        <f t="shared" si="126"/>
        <v>2.4204284158308402E-4</v>
      </c>
      <c r="T689" s="41">
        <f t="shared" si="127"/>
        <v>-9.4217304866453747E-3</v>
      </c>
      <c r="V689" s="39">
        <f t="shared" si="129"/>
        <v>1.6474848763357509E-2</v>
      </c>
      <c r="W689" s="40" cm="1">
        <f t="array" ref="W689">IF(M689="","",SUMPRODUCT(M689:T689,TRANSPOSE('04_Dashboard'!$C$53:$C$60)))</f>
        <v>3.5469190625815319E-3</v>
      </c>
      <c r="X689" s="42">
        <f t="shared" si="130"/>
        <v>1.7341040462427679</v>
      </c>
      <c r="Y689" s="118">
        <f t="shared" si="131"/>
        <v>1.8544016709129554</v>
      </c>
      <c r="AA689" s="43">
        <f>IF(X689="","",X689/MAX($X$4:X689)-1)</f>
        <v>-2.4448042971681794E-2</v>
      </c>
      <c r="AB689" s="44">
        <f>IF(Y689="","",Y689/MAX($Y$4:Y689)-1)</f>
        <v>0</v>
      </c>
    </row>
    <row r="690" spans="1:28" x14ac:dyDescent="0.45">
      <c r="A690" s="121">
        <v>46203</v>
      </c>
      <c r="B690" s="124">
        <v>746.77</v>
      </c>
      <c r="C690" s="124">
        <v>289.36</v>
      </c>
      <c r="D690" s="124">
        <v>373.02</v>
      </c>
      <c r="E690" s="124">
        <v>327.33</v>
      </c>
      <c r="F690" s="124">
        <v>136.72</v>
      </c>
      <c r="G690" s="124">
        <v>253.97</v>
      </c>
      <c r="H690" s="124">
        <v>238.34</v>
      </c>
      <c r="I690" s="124">
        <v>81.27</v>
      </c>
      <c r="J690" s="125">
        <v>113.26</v>
      </c>
      <c r="L690" s="39">
        <f t="shared" si="128"/>
        <v>7.7867746288798672E-3</v>
      </c>
      <c r="M690" s="40">
        <f t="shared" si="120"/>
        <v>2.7046212820330817E-2</v>
      </c>
      <c r="N690" s="40">
        <f t="shared" si="121"/>
        <v>1.2073690208101551E-2</v>
      </c>
      <c r="O690" s="40">
        <f t="shared" si="122"/>
        <v>-6.2539846382707502E-3</v>
      </c>
      <c r="P690" s="40">
        <f t="shared" si="123"/>
        <v>4.8508011171541719E-3</v>
      </c>
      <c r="Q690" s="40">
        <f t="shared" si="124"/>
        <v>-1.7562183281110953E-2</v>
      </c>
      <c r="R690" s="40">
        <f t="shared" si="125"/>
        <v>-7.4956275505954151E-3</v>
      </c>
      <c r="S690" s="40">
        <f t="shared" si="126"/>
        <v>-1.6696914700544581E-2</v>
      </c>
      <c r="T690" s="41">
        <f t="shared" si="127"/>
        <v>-1.1692844677137777E-2</v>
      </c>
      <c r="V690" s="39">
        <f t="shared" si="129"/>
        <v>7.7867746288798672E-3</v>
      </c>
      <c r="W690" s="40" cm="1">
        <f t="array" ref="W690">IF(M690="","",SUMPRODUCT(M690:T690,TRANSPOSE('04_Dashboard'!$C$53:$C$60)))</f>
        <v>-7.6069899297743857E-3</v>
      </c>
      <c r="X690" s="42">
        <f t="shared" si="130"/>
        <v>1.7476071236338888</v>
      </c>
      <c r="Y690" s="118">
        <f t="shared" si="131"/>
        <v>1.8402952560765637</v>
      </c>
      <c r="AA690" s="43">
        <f>IF(X690="","",X690/MAX($X$4:X690)-1)</f>
        <v>-1.6851639743539648E-2</v>
      </c>
      <c r="AB690" s="44">
        <f>IF(Y690="","",Y690/MAX($Y$4:Y690)-1)</f>
        <v>-7.606989929774377E-3</v>
      </c>
    </row>
    <row r="691" spans="1:28" x14ac:dyDescent="0.45">
      <c r="A691" s="121">
        <v>46204</v>
      </c>
      <c r="B691" s="124">
        <v>745.76</v>
      </c>
      <c r="C691" s="124">
        <v>294.38</v>
      </c>
      <c r="D691" s="124">
        <v>384.28</v>
      </c>
      <c r="E691" s="124">
        <v>334.07</v>
      </c>
      <c r="F691" s="124">
        <v>136.28</v>
      </c>
      <c r="G691" s="124">
        <v>253.98</v>
      </c>
      <c r="H691" s="124">
        <v>241.7</v>
      </c>
      <c r="I691" s="124">
        <v>81.290000000000006</v>
      </c>
      <c r="J691" s="125">
        <v>108.82</v>
      </c>
      <c r="L691" s="39">
        <f t="shared" si="128"/>
        <v>-1.3524913962799669E-3</v>
      </c>
      <c r="M691" s="40">
        <f t="shared" si="120"/>
        <v>1.7348631462537952E-2</v>
      </c>
      <c r="N691" s="40">
        <f t="shared" si="121"/>
        <v>3.0186049005415237E-2</v>
      </c>
      <c r="O691" s="40">
        <f t="shared" si="122"/>
        <v>2.0590841047261204E-2</v>
      </c>
      <c r="P691" s="40">
        <f t="shared" si="123"/>
        <v>-3.218256290228187E-3</v>
      </c>
      <c r="Q691" s="40">
        <f t="shared" si="124"/>
        <v>3.937472929870026E-5</v>
      </c>
      <c r="R691" s="40">
        <f t="shared" si="125"/>
        <v>1.4097507762020581E-2</v>
      </c>
      <c r="S691" s="40">
        <f t="shared" si="126"/>
        <v>2.4609326934920924E-4</v>
      </c>
      <c r="T691" s="41">
        <f t="shared" si="127"/>
        <v>-3.9201836482429912E-2</v>
      </c>
      <c r="V691" s="39">
        <f t="shared" si="129"/>
        <v>-1.3524913962799669E-3</v>
      </c>
      <c r="W691" s="40" cm="1">
        <f t="array" ref="W691">IF(M691="","",SUMPRODUCT(M691:T691,TRANSPOSE('04_Dashboard'!$C$53:$C$60)))</f>
        <v>3.3409274795653575E-3</v>
      </c>
      <c r="X691" s="42">
        <f t="shared" si="130"/>
        <v>1.7452435000350963</v>
      </c>
      <c r="Y691" s="118">
        <f t="shared" si="131"/>
        <v>1.8464435490681035</v>
      </c>
      <c r="AA691" s="43">
        <f>IF(X691="","",X691/MAX($X$4:X691)-1)</f>
        <v>-1.8181339442053357E-2</v>
      </c>
      <c r="AB691" s="44">
        <f>IF(Y691="","",Y691/MAX($Y$4:Y691)-1)</f>
        <v>-4.2914768519023427E-3</v>
      </c>
    </row>
    <row r="692" spans="1:28" x14ac:dyDescent="0.45">
      <c r="A692" s="121">
        <v>46205</v>
      </c>
      <c r="B692" s="124">
        <v>744.78</v>
      </c>
      <c r="C692" s="124">
        <v>308.63</v>
      </c>
      <c r="D692" s="124">
        <v>390.49</v>
      </c>
      <c r="E692" s="124">
        <v>334.47</v>
      </c>
      <c r="F692" s="124">
        <v>137.09</v>
      </c>
      <c r="G692" s="124">
        <v>263.04000000000002</v>
      </c>
      <c r="H692" s="124">
        <v>242.67</v>
      </c>
      <c r="I692" s="124">
        <v>84.14</v>
      </c>
      <c r="J692" s="125">
        <v>111.84</v>
      </c>
      <c r="L692" s="39">
        <f t="shared" si="128"/>
        <v>-1.3140956876207066E-3</v>
      </c>
      <c r="M692" s="40">
        <f t="shared" si="120"/>
        <v>4.8406821115564914E-2</v>
      </c>
      <c r="N692" s="40">
        <f t="shared" si="121"/>
        <v>1.6160091599875186E-2</v>
      </c>
      <c r="O692" s="40">
        <f t="shared" si="122"/>
        <v>1.1973538479960312E-3</v>
      </c>
      <c r="P692" s="40">
        <f t="shared" si="123"/>
        <v>5.9436454358673483E-3</v>
      </c>
      <c r="Q692" s="40">
        <f t="shared" si="124"/>
        <v>3.5672100165367475E-2</v>
      </c>
      <c r="R692" s="40">
        <f t="shared" si="125"/>
        <v>4.0132395531650763E-3</v>
      </c>
      <c r="S692" s="40">
        <f t="shared" si="126"/>
        <v>3.5059662935170308E-2</v>
      </c>
      <c r="T692" s="41">
        <f t="shared" si="127"/>
        <v>2.7752251424370617E-2</v>
      </c>
      <c r="V692" s="39">
        <f t="shared" si="129"/>
        <v>-1.3140956876207066E-3</v>
      </c>
      <c r="W692" s="40" cm="1">
        <f t="array" ref="W692">IF(M692="","",SUMPRODUCT(M692:T692,TRANSPOSE('04_Dashboard'!$C$53:$C$60)))</f>
        <v>2.1870337019128581E-2</v>
      </c>
      <c r="X692" s="42">
        <f t="shared" si="130"/>
        <v>1.7429500830778522</v>
      </c>
      <c r="Y692" s="118">
        <f t="shared" si="131"/>
        <v>1.886825891773019</v>
      </c>
      <c r="AA692" s="43">
        <f>IF(X692="","",X692/MAX($X$4:X692)-1)</f>
        <v>-1.9471543109918055E-2</v>
      </c>
      <c r="AB692" s="44">
        <f>IF(Y692="","",Y692/MAX($Y$4:Y692)-1)</f>
        <v>0</v>
      </c>
    </row>
    <row r="693" spans="1:28" x14ac:dyDescent="0.45">
      <c r="A693" s="121">
        <v>46209</v>
      </c>
      <c r="B693" s="124">
        <v>751.28</v>
      </c>
      <c r="C693" s="124">
        <v>312.66000000000003</v>
      </c>
      <c r="D693" s="124">
        <v>386.74</v>
      </c>
      <c r="E693" s="124">
        <v>337.72</v>
      </c>
      <c r="F693" s="124">
        <v>136.44</v>
      </c>
      <c r="G693" s="124">
        <v>259.33</v>
      </c>
      <c r="H693" s="124">
        <v>244.16</v>
      </c>
      <c r="I693" s="124">
        <v>82.96</v>
      </c>
      <c r="J693" s="125">
        <v>110.65</v>
      </c>
      <c r="L693" s="39">
        <f t="shared" si="128"/>
        <v>8.7274094363436194E-3</v>
      </c>
      <c r="M693" s="40">
        <f t="shared" si="120"/>
        <v>1.305770663901769E-2</v>
      </c>
      <c r="N693" s="40">
        <f t="shared" si="121"/>
        <v>-9.6033189070142636E-3</v>
      </c>
      <c r="O693" s="40">
        <f t="shared" si="122"/>
        <v>9.7168654886835883E-3</v>
      </c>
      <c r="P693" s="40">
        <f t="shared" si="123"/>
        <v>-4.7414107520607311E-3</v>
      </c>
      <c r="Q693" s="40">
        <f t="shared" si="124"/>
        <v>-1.4104318734793325E-2</v>
      </c>
      <c r="R693" s="40">
        <f t="shared" si="125"/>
        <v>6.1400255490996385E-3</v>
      </c>
      <c r="S693" s="40">
        <f t="shared" si="126"/>
        <v>-1.402424530544339E-2</v>
      </c>
      <c r="T693" s="41">
        <f t="shared" si="127"/>
        <v>-1.0640200286123011E-2</v>
      </c>
      <c r="V693" s="39">
        <f t="shared" si="129"/>
        <v>8.7274094363436194E-3</v>
      </c>
      <c r="W693" s="40" cm="1">
        <f t="array" ref="W693">IF(M693="","",SUMPRODUCT(M693:T693,TRANSPOSE('04_Dashboard'!$C$53:$C$60)))</f>
        <v>-4.2029191412951234E-3</v>
      </c>
      <c r="X693" s="42">
        <f t="shared" si="130"/>
        <v>1.7581615220799818</v>
      </c>
      <c r="Y693" s="118">
        <f t="shared" si="131"/>
        <v>1.8788957151161949</v>
      </c>
      <c r="AA693" s="43">
        <f>IF(X693="","",X693/MAX($X$4:X693)-1)</f>
        <v>-1.0914069802652082E-2</v>
      </c>
      <c r="AB693" s="44">
        <f>IF(Y693="","",Y693/MAX($Y$4:Y693)-1)</f>
        <v>-4.2029191412951139E-3</v>
      </c>
    </row>
    <row r="694" spans="1:28" x14ac:dyDescent="0.45">
      <c r="A694" s="121">
        <v>46210</v>
      </c>
      <c r="B694" s="124">
        <v>747.71</v>
      </c>
      <c r="C694" s="124">
        <v>310.66000000000003</v>
      </c>
      <c r="D694" s="124">
        <v>388.84</v>
      </c>
      <c r="E694" s="124">
        <v>339.22</v>
      </c>
      <c r="F694" s="124">
        <v>141.69</v>
      </c>
      <c r="G694" s="124">
        <v>267.24</v>
      </c>
      <c r="H694" s="124">
        <v>245.98</v>
      </c>
      <c r="I694" s="124">
        <v>84.05</v>
      </c>
      <c r="J694" s="125">
        <v>111.54</v>
      </c>
      <c r="L694" s="39">
        <f t="shared" si="128"/>
        <v>-4.7518901075496974E-3</v>
      </c>
      <c r="M694" s="40">
        <f t="shared" si="120"/>
        <v>-6.3967248768630452E-3</v>
      </c>
      <c r="N694" s="40">
        <f t="shared" si="121"/>
        <v>5.4300046542896151E-3</v>
      </c>
      <c r="O694" s="40">
        <f t="shared" si="122"/>
        <v>4.4415492123652724E-3</v>
      </c>
      <c r="P694" s="40">
        <f t="shared" si="123"/>
        <v>3.8478452066842569E-2</v>
      </c>
      <c r="Q694" s="40">
        <f t="shared" si="124"/>
        <v>3.0501677399452535E-2</v>
      </c>
      <c r="R694" s="40">
        <f t="shared" si="125"/>
        <v>7.4541284403669443E-3</v>
      </c>
      <c r="S694" s="40">
        <f t="shared" si="126"/>
        <v>1.3138862102217978E-2</v>
      </c>
      <c r="T694" s="41">
        <f t="shared" si="127"/>
        <v>8.0433800271125216E-3</v>
      </c>
      <c r="V694" s="39">
        <f t="shared" si="129"/>
        <v>-4.7518901075496974E-3</v>
      </c>
      <c r="W694" s="40" cm="1">
        <f t="array" ref="W694">IF(M694="","",SUMPRODUCT(M694:T694,TRANSPOSE('04_Dashboard'!$C$53:$C$60)))</f>
        <v>1.3751629309529237E-2</v>
      </c>
      <c r="X694" s="42">
        <f t="shared" si="130"/>
        <v>1.7498069317357354</v>
      </c>
      <c r="Y694" s="118">
        <f t="shared" si="131"/>
        <v>1.9047335925017357</v>
      </c>
      <c r="AA694" s="43">
        <f>IF(X694="","",X694/MAX($X$4:X694)-1)</f>
        <v>-1.561409744987341E-2</v>
      </c>
      <c r="AB694" s="44">
        <f>IF(Y694="","",Y694/MAX($Y$4:Y694)-1)</f>
        <v>0</v>
      </c>
    </row>
    <row r="695" spans="1:28" x14ac:dyDescent="0.45">
      <c r="A695" s="121">
        <v>46211</v>
      </c>
      <c r="B695" s="124">
        <v>745.4</v>
      </c>
      <c r="C695" s="124">
        <v>313.39</v>
      </c>
      <c r="D695" s="124">
        <v>383.34</v>
      </c>
      <c r="E695" s="124">
        <v>330.62</v>
      </c>
      <c r="F695" s="124">
        <v>141.13</v>
      </c>
      <c r="G695" s="124">
        <v>263.39999999999998</v>
      </c>
      <c r="H695" s="124">
        <v>243.62</v>
      </c>
      <c r="I695" s="124">
        <v>83.4</v>
      </c>
      <c r="J695" s="125">
        <v>113.1</v>
      </c>
      <c r="L695" s="39">
        <f t="shared" si="128"/>
        <v>-3.089433068970669E-3</v>
      </c>
      <c r="M695" s="40">
        <f t="shared" si="120"/>
        <v>8.7877422262279056E-3</v>
      </c>
      <c r="N695" s="40">
        <f t="shared" si="121"/>
        <v>-1.4144635325583788E-2</v>
      </c>
      <c r="O695" s="40">
        <f t="shared" si="122"/>
        <v>-2.5352278757148818E-2</v>
      </c>
      <c r="P695" s="40">
        <f t="shared" si="123"/>
        <v>-3.9522902110240826E-3</v>
      </c>
      <c r="Q695" s="40">
        <f t="shared" si="124"/>
        <v>-1.4369106421194551E-2</v>
      </c>
      <c r="R695" s="40">
        <f t="shared" si="125"/>
        <v>-9.5942759573948502E-3</v>
      </c>
      <c r="S695" s="40">
        <f t="shared" si="126"/>
        <v>-7.7334919690659311E-3</v>
      </c>
      <c r="T695" s="41">
        <f t="shared" si="127"/>
        <v>1.3986013986013878E-2</v>
      </c>
      <c r="V695" s="39">
        <f t="shared" si="129"/>
        <v>-3.089433068970669E-3</v>
      </c>
      <c r="W695" s="40" cm="1">
        <f t="array" ref="W695">IF(M695="","",SUMPRODUCT(M695:T695,TRANSPOSE('04_Dashboard'!$C$53:$C$60)))</f>
        <v>-9.9342121874881131E-3</v>
      </c>
      <c r="X695" s="42">
        <f t="shared" si="130"/>
        <v>1.744401020336517</v>
      </c>
      <c r="Y695" s="118">
        <f t="shared" si="131"/>
        <v>1.8858115648331868</v>
      </c>
      <c r="AA695" s="43">
        <f>IF(X695="","",X695/MAX($X$4:X695)-1)</f>
        <v>-1.8655291809840269E-2</v>
      </c>
      <c r="AB695" s="44">
        <f>IF(Y695="","",Y695/MAX($Y$4:Y695)-1)</f>
        <v>-9.9342121874881339E-3</v>
      </c>
    </row>
    <row r="696" spans="1:28" x14ac:dyDescent="0.45">
      <c r="A696" s="121">
        <v>46212</v>
      </c>
      <c r="B696" s="124">
        <v>751.71</v>
      </c>
      <c r="C696" s="124">
        <v>316.22000000000003</v>
      </c>
      <c r="D696" s="124">
        <v>384.36</v>
      </c>
      <c r="E696" s="124">
        <v>335.47</v>
      </c>
      <c r="F696" s="124">
        <v>137.46</v>
      </c>
      <c r="G696" s="124">
        <v>259.10000000000002</v>
      </c>
      <c r="H696" s="124">
        <v>247.04</v>
      </c>
      <c r="I696" s="124">
        <v>82.63</v>
      </c>
      <c r="J696" s="125">
        <v>112.21</v>
      </c>
      <c r="L696" s="39">
        <f t="shared" si="128"/>
        <v>8.4652535551382607E-3</v>
      </c>
      <c r="M696" s="40">
        <f t="shared" si="120"/>
        <v>9.0302817575546156E-3</v>
      </c>
      <c r="N696" s="40">
        <f t="shared" si="121"/>
        <v>2.6608232900298396E-3</v>
      </c>
      <c r="O696" s="40">
        <f t="shared" si="122"/>
        <v>1.4669408989171927E-2</v>
      </c>
      <c r="P696" s="40">
        <f t="shared" si="123"/>
        <v>-2.6004393112732855E-2</v>
      </c>
      <c r="Q696" s="40">
        <f t="shared" si="124"/>
        <v>-1.6324981017463762E-2</v>
      </c>
      <c r="R696" s="40">
        <f t="shared" si="125"/>
        <v>1.4038256300796271E-2</v>
      </c>
      <c r="S696" s="40">
        <f t="shared" si="126"/>
        <v>-9.2326139088730243E-3</v>
      </c>
      <c r="T696" s="41">
        <f t="shared" si="127"/>
        <v>-7.869142351900978E-3</v>
      </c>
      <c r="V696" s="39">
        <f t="shared" si="129"/>
        <v>8.4652535551382607E-3</v>
      </c>
      <c r="W696" s="40" cm="1">
        <f t="array" ref="W696">IF(M696="","",SUMPRODUCT(M696:T696,TRANSPOSE('04_Dashboard'!$C$53:$C$60)))</f>
        <v>-2.3781283053216935E-3</v>
      </c>
      <c r="X696" s="42">
        <f t="shared" si="130"/>
        <v>1.7591678172755074</v>
      </c>
      <c r="Y696" s="118">
        <f t="shared" si="131"/>
        <v>1.8813268629723541</v>
      </c>
      <c r="AA696" s="43">
        <f>IF(X696="","",X696/MAX($X$4:X696)-1)</f>
        <v>-1.0347960030017478E-2</v>
      </c>
      <c r="AB696" s="44">
        <f>IF(Y696="","",Y696/MAX($Y$4:Y696)-1)</f>
        <v>-1.2288715661615712E-2</v>
      </c>
    </row>
    <row r="697" spans="1:28" x14ac:dyDescent="0.45">
      <c r="A697" s="121">
        <v>46213</v>
      </c>
      <c r="B697" s="124">
        <v>754.95</v>
      </c>
      <c r="C697" s="124">
        <v>315.32</v>
      </c>
      <c r="D697" s="124">
        <v>385.1</v>
      </c>
      <c r="E697" s="124">
        <v>336.47</v>
      </c>
      <c r="F697" s="124">
        <v>138.88</v>
      </c>
      <c r="G697" s="124">
        <v>256.98</v>
      </c>
      <c r="H697" s="124">
        <v>245.34</v>
      </c>
      <c r="I697" s="124">
        <v>83.49</v>
      </c>
      <c r="J697" s="125">
        <v>113.9</v>
      </c>
      <c r="L697" s="39">
        <f t="shared" si="128"/>
        <v>4.3101728060023266E-3</v>
      </c>
      <c r="M697" s="40">
        <f t="shared" si="120"/>
        <v>-2.8461197900197144E-3</v>
      </c>
      <c r="N697" s="40">
        <f t="shared" si="121"/>
        <v>1.9252783848475623E-3</v>
      </c>
      <c r="O697" s="40">
        <f t="shared" si="122"/>
        <v>2.9808924792082748E-3</v>
      </c>
      <c r="P697" s="40">
        <f t="shared" si="123"/>
        <v>1.0330277899025079E-2</v>
      </c>
      <c r="Q697" s="40">
        <f t="shared" si="124"/>
        <v>-8.1821690467001329E-3</v>
      </c>
      <c r="R697" s="40">
        <f t="shared" si="125"/>
        <v>-6.881476683937778E-3</v>
      </c>
      <c r="S697" s="40">
        <f t="shared" si="126"/>
        <v>1.0407842188067281E-2</v>
      </c>
      <c r="T697" s="41">
        <f t="shared" si="127"/>
        <v>1.5061046252562268E-2</v>
      </c>
      <c r="V697" s="39">
        <f t="shared" si="129"/>
        <v>4.3101728060023266E-3</v>
      </c>
      <c r="W697" s="40" cm="1">
        <f t="array" ref="W697">IF(M697="","",SUMPRODUCT(M697:T697,TRANSPOSE('04_Dashboard'!$C$53:$C$60)))</f>
        <v>2.283326931771858E-3</v>
      </c>
      <c r="X697" s="42">
        <f t="shared" si="130"/>
        <v>1.766750134562723</v>
      </c>
      <c r="Y697" s="118">
        <f t="shared" si="131"/>
        <v>1.8856225472660448</v>
      </c>
      <c r="AA697" s="43">
        <f>IF(X697="","",X697/MAX($X$4:X697)-1)</f>
        <v>-6.0823887199339399E-3</v>
      </c>
      <c r="AB697" s="44">
        <f>IF(Y697="","",Y697/MAX($Y$4:Y697)-1)</f>
        <v>-1.003344788527083E-2</v>
      </c>
    </row>
    <row r="698" spans="1:28" x14ac:dyDescent="0.45">
      <c r="A698" s="121">
        <v>46216</v>
      </c>
      <c r="B698" s="124">
        <v>749.17</v>
      </c>
      <c r="C698" s="124">
        <v>317.31</v>
      </c>
      <c r="D698" s="124">
        <v>390.99</v>
      </c>
      <c r="E698" s="124">
        <v>334.53</v>
      </c>
      <c r="F698" s="124">
        <v>144.51</v>
      </c>
      <c r="G698" s="124">
        <v>257.77</v>
      </c>
      <c r="H698" s="124">
        <v>247.31</v>
      </c>
      <c r="I698" s="124">
        <v>84.25</v>
      </c>
      <c r="J698" s="125">
        <v>114.78</v>
      </c>
      <c r="L698" s="39">
        <f t="shared" si="128"/>
        <v>-7.6561361679582567E-3</v>
      </c>
      <c r="M698" s="40">
        <f t="shared" si="120"/>
        <v>6.3110490929849331E-3</v>
      </c>
      <c r="N698" s="40">
        <f t="shared" si="121"/>
        <v>1.5294728641911155E-2</v>
      </c>
      <c r="O698" s="40">
        <f t="shared" si="122"/>
        <v>-5.7657443457070599E-3</v>
      </c>
      <c r="P698" s="40">
        <f t="shared" si="123"/>
        <v>4.0538594470046055E-2</v>
      </c>
      <c r="Q698" s="40">
        <f t="shared" si="124"/>
        <v>3.0741691960462433E-3</v>
      </c>
      <c r="R698" s="40">
        <f t="shared" si="125"/>
        <v>8.0296731067090524E-3</v>
      </c>
      <c r="S698" s="40">
        <f t="shared" si="126"/>
        <v>9.102886573242366E-3</v>
      </c>
      <c r="T698" s="41">
        <f t="shared" si="127"/>
        <v>7.7260755048287567E-3</v>
      </c>
      <c r="V698" s="39">
        <f t="shared" si="129"/>
        <v>-7.6561361679582567E-3</v>
      </c>
      <c r="W698" s="40" cm="1">
        <f t="array" ref="W698">IF(M698="","",SUMPRODUCT(M698:T698,TRANSPOSE('04_Dashboard'!$C$53:$C$60)))</f>
        <v>5.7099128232801074E-3</v>
      </c>
      <c r="X698" s="42">
        <f t="shared" si="130"/>
        <v>1.7532236549577522</v>
      </c>
      <c r="Y698" s="118">
        <f t="shared" si="131"/>
        <v>1.8963892876285453</v>
      </c>
      <c r="AA698" s="43">
        <f>IF(X698="","",X698/MAX($X$4:X698)-1)</f>
        <v>-1.3691957291625978E-2</v>
      </c>
      <c r="AB698" s="44">
        <f>IF(Y698="","",Y698/MAX($Y$4:Y698)-1)</f>
        <v>-4.3808251747325944E-3</v>
      </c>
    </row>
    <row r="699" spans="1:28" x14ac:dyDescent="0.45">
      <c r="A699" s="121">
        <v>46217</v>
      </c>
      <c r="B699" s="124">
        <v>751.83</v>
      </c>
      <c r="C699" s="124">
        <v>314.86</v>
      </c>
      <c r="D699" s="124">
        <v>384.93</v>
      </c>
      <c r="E699" s="124">
        <v>342.89</v>
      </c>
      <c r="F699" s="124">
        <v>145.09</v>
      </c>
      <c r="G699" s="124">
        <v>253.85</v>
      </c>
      <c r="H699" s="124">
        <v>247.49</v>
      </c>
      <c r="I699" s="124">
        <v>83.08</v>
      </c>
      <c r="J699" s="125">
        <v>113.7</v>
      </c>
      <c r="L699" s="39">
        <f t="shared" si="128"/>
        <v>3.5505959928989173E-3</v>
      </c>
      <c r="M699" s="40">
        <f t="shared" si="120"/>
        <v>-7.7211559673505048E-3</v>
      </c>
      <c r="N699" s="40">
        <f t="shared" si="121"/>
        <v>-1.549911762449168E-2</v>
      </c>
      <c r="O699" s="40">
        <f t="shared" si="122"/>
        <v>2.4990284877290572E-2</v>
      </c>
      <c r="P699" s="40">
        <f t="shared" si="123"/>
        <v>4.0135630752197952E-3</v>
      </c>
      <c r="Q699" s="40">
        <f t="shared" si="124"/>
        <v>-1.5207355394343747E-2</v>
      </c>
      <c r="R699" s="40">
        <f t="shared" si="125"/>
        <v>7.2783146658043278E-4</v>
      </c>
      <c r="S699" s="40">
        <f t="shared" si="126"/>
        <v>-1.3887240356083106E-2</v>
      </c>
      <c r="T699" s="41">
        <f t="shared" si="127"/>
        <v>-9.4093047569262789E-3</v>
      </c>
      <c r="V699" s="39">
        <f t="shared" si="129"/>
        <v>3.5505959928989173E-3</v>
      </c>
      <c r="W699" s="40" cm="1">
        <f t="array" ref="W699">IF(M699="","",SUMPRODUCT(M699:T699,TRANSPOSE('04_Dashboard'!$C$53:$C$60)))</f>
        <v>-2.1615228767532853E-3</v>
      </c>
      <c r="X699" s="42">
        <f t="shared" si="130"/>
        <v>1.759448643841701</v>
      </c>
      <c r="Y699" s="118">
        <f t="shared" si="131"/>
        <v>1.8922901988001064</v>
      </c>
      <c r="AA699" s="43">
        <f>IF(X699="","",X699/MAX($X$4:X699)-1)</f>
        <v>-1.0189975907421545E-2</v>
      </c>
      <c r="AB699" s="44">
        <f>IF(Y699="","",Y699/MAX($Y$4:Y699)-1)</f>
        <v>-6.5328787976515201E-3</v>
      </c>
    </row>
    <row r="700" spans="1:28" x14ac:dyDescent="0.45">
      <c r="A700" s="121">
        <v>46218</v>
      </c>
      <c r="B700" s="124">
        <v>754.81</v>
      </c>
      <c r="C700" s="124">
        <v>327.5</v>
      </c>
      <c r="D700" s="124">
        <v>395.63</v>
      </c>
      <c r="E700" s="124">
        <v>346.91</v>
      </c>
      <c r="F700" s="124">
        <v>144.51</v>
      </c>
      <c r="G700" s="124">
        <v>247.02</v>
      </c>
      <c r="H700" s="124">
        <v>254.96</v>
      </c>
      <c r="I700" s="124">
        <v>82.45</v>
      </c>
      <c r="J700" s="125">
        <v>112.53</v>
      </c>
      <c r="L700" s="39">
        <f t="shared" si="128"/>
        <v>3.9636619980579447E-3</v>
      </c>
      <c r="M700" s="40">
        <f t="shared" si="120"/>
        <v>4.014482627199386E-2</v>
      </c>
      <c r="N700" s="40">
        <f t="shared" si="121"/>
        <v>2.7797261839815002E-2</v>
      </c>
      <c r="O700" s="40">
        <f t="shared" si="122"/>
        <v>1.1723876461839188E-2</v>
      </c>
      <c r="P700" s="40">
        <f t="shared" si="123"/>
        <v>-3.9975187814460852E-3</v>
      </c>
      <c r="Q700" s="40">
        <f t="shared" si="124"/>
        <v>-2.6905652944652293E-2</v>
      </c>
      <c r="R700" s="40">
        <f t="shared" si="125"/>
        <v>3.0183037698492864E-2</v>
      </c>
      <c r="S700" s="40">
        <f t="shared" si="126"/>
        <v>-7.5830524795377401E-3</v>
      </c>
      <c r="T700" s="41">
        <f t="shared" si="127"/>
        <v>-1.0290237467018484E-2</v>
      </c>
      <c r="V700" s="39">
        <f t="shared" si="129"/>
        <v>3.9636619980579447E-3</v>
      </c>
      <c r="W700" s="40" cm="1">
        <f t="array" ref="W700">IF(M700="","",SUMPRODUCT(M700:T700,TRANSPOSE('04_Dashboard'!$C$53:$C$60)))</f>
        <v>5.775987514730109E-6</v>
      </c>
      <c r="X700" s="42">
        <f t="shared" si="130"/>
        <v>1.7664225035688308</v>
      </c>
      <c r="Y700" s="118">
        <f t="shared" si="131"/>
        <v>1.8923011286446689</v>
      </c>
      <c r="AA700" s="43">
        <f>IF(X700="","",X700/MAX($X$4:X700)-1)</f>
        <v>-6.2667035296289919E-3</v>
      </c>
      <c r="AB700" s="44">
        <f>IF(Y700="","",Y700/MAX($Y$4:Y700)-1)</f>
        <v>-6.5271405439631947E-3</v>
      </c>
    </row>
    <row r="701" spans="1:28" x14ac:dyDescent="0.45">
      <c r="A701" s="121">
        <v>46219</v>
      </c>
      <c r="B701" s="124">
        <v>750.72</v>
      </c>
      <c r="C701" s="124">
        <v>333.26</v>
      </c>
      <c r="D701" s="124">
        <v>401.1</v>
      </c>
      <c r="E701" s="124">
        <v>343.15</v>
      </c>
      <c r="F701" s="124">
        <v>145.94999999999999</v>
      </c>
      <c r="G701" s="124">
        <v>249.97</v>
      </c>
      <c r="H701" s="124">
        <v>249.89</v>
      </c>
      <c r="I701" s="124">
        <v>84.92</v>
      </c>
      <c r="J701" s="125">
        <v>114.95</v>
      </c>
      <c r="L701" s="39">
        <f t="shared" si="128"/>
        <v>-5.4185821597487029E-3</v>
      </c>
      <c r="M701" s="40">
        <f t="shared" si="120"/>
        <v>1.7587786259541958E-2</v>
      </c>
      <c r="N701" s="40">
        <f t="shared" si="121"/>
        <v>1.3826049591790379E-2</v>
      </c>
      <c r="O701" s="40">
        <f t="shared" si="122"/>
        <v>-1.0838546020581845E-2</v>
      </c>
      <c r="P701" s="40">
        <f t="shared" si="123"/>
        <v>9.9647083246833974E-3</v>
      </c>
      <c r="Q701" s="40">
        <f t="shared" si="124"/>
        <v>1.1942352845923361E-2</v>
      </c>
      <c r="R701" s="40">
        <f t="shared" si="125"/>
        <v>-1.988547223093827E-2</v>
      </c>
      <c r="S701" s="40">
        <f t="shared" si="126"/>
        <v>2.9957550030321391E-2</v>
      </c>
      <c r="T701" s="41">
        <f t="shared" si="127"/>
        <v>2.1505376344086037E-2</v>
      </c>
      <c r="V701" s="39">
        <f t="shared" si="129"/>
        <v>-5.4185821597487029E-3</v>
      </c>
      <c r="W701" s="40" cm="1">
        <f t="array" ref="W701">IF(M701="","",SUMPRODUCT(M701:T701,TRANSPOSE('04_Dashboard'!$C$53:$C$60)))</f>
        <v>8.370314769510348E-3</v>
      </c>
      <c r="X701" s="42">
        <f t="shared" si="130"/>
        <v>1.7568509981044143</v>
      </c>
      <c r="Y701" s="118">
        <f t="shared" si="131"/>
        <v>1.9081402847301248</v>
      </c>
      <c r="AA701" s="43">
        <f>IF(X701="","",X701/MAX($X$4:X701)-1)</f>
        <v>-1.1651329041431624E-2</v>
      </c>
      <c r="AB701" s="44">
        <f>IF(Y701="","",Y701/MAX($Y$4:Y701)-1)</f>
        <v>0</v>
      </c>
    </row>
    <row r="702" spans="1:28" x14ac:dyDescent="0.45">
      <c r="A702" s="121">
        <v>46220</v>
      </c>
      <c r="B702" s="124">
        <v>743.29</v>
      </c>
      <c r="C702" s="124">
        <v>333.74</v>
      </c>
      <c r="D702" s="124">
        <v>393.82</v>
      </c>
      <c r="E702" s="124">
        <v>341.1</v>
      </c>
      <c r="F702" s="124">
        <v>147.36000000000001</v>
      </c>
      <c r="G702" s="124">
        <v>253.04</v>
      </c>
      <c r="H702" s="124">
        <v>247.23</v>
      </c>
      <c r="I702" s="124">
        <v>81.56</v>
      </c>
      <c r="J702" s="125">
        <v>114.24</v>
      </c>
      <c r="L702" s="39">
        <f t="shared" si="128"/>
        <v>-9.8971653878943723E-3</v>
      </c>
      <c r="M702" s="40">
        <f t="shared" si="120"/>
        <v>1.4403168697113911E-3</v>
      </c>
      <c r="N702" s="40">
        <f t="shared" si="121"/>
        <v>-1.8150087260034975E-2</v>
      </c>
      <c r="O702" s="40">
        <f t="shared" si="122"/>
        <v>-5.9740638204865354E-3</v>
      </c>
      <c r="P702" s="40">
        <f t="shared" si="123"/>
        <v>9.6608427543681055E-3</v>
      </c>
      <c r="Q702" s="40">
        <f t="shared" si="124"/>
        <v>1.2281473776853196E-2</v>
      </c>
      <c r="R702" s="40">
        <f t="shared" si="125"/>
        <v>-1.0644683660810743E-2</v>
      </c>
      <c r="S702" s="40">
        <f t="shared" si="126"/>
        <v>-3.9566650965614687E-2</v>
      </c>
      <c r="T702" s="41">
        <f t="shared" si="127"/>
        <v>-6.1765985210961976E-3</v>
      </c>
      <c r="V702" s="39">
        <f t="shared" si="129"/>
        <v>-9.8971653878943723E-3</v>
      </c>
      <c r="W702" s="40" cm="1">
        <f t="array" ref="W702">IF(M702="","",SUMPRODUCT(M702:T702,TRANSPOSE('04_Dashboard'!$C$53:$C$60)))</f>
        <v>-6.2840991743635718E-3</v>
      </c>
      <c r="X702" s="42">
        <f t="shared" si="130"/>
        <v>1.7394631532142875</v>
      </c>
      <c r="Y702" s="118">
        <f t="shared" si="131"/>
        <v>1.8961493419422824</v>
      </c>
      <c r="AA702" s="43">
        <f>IF(X702="","",X702/MAX($X$4:X702)-1)</f>
        <v>-2.1433179298814165E-2</v>
      </c>
      <c r="AB702" s="44">
        <f>IF(Y702="","",Y702/MAX($Y$4:Y702)-1)</f>
        <v>-6.2840991743635666E-3</v>
      </c>
    </row>
    <row r="703" spans="1:28" x14ac:dyDescent="0.45">
      <c r="A703" s="121">
        <v>46223</v>
      </c>
      <c r="B703" s="124">
        <v>742.09</v>
      </c>
      <c r="C703" s="124">
        <v>326.58999999999997</v>
      </c>
      <c r="D703" s="124">
        <v>402.29</v>
      </c>
      <c r="E703" s="124">
        <v>338.87</v>
      </c>
      <c r="F703" s="124">
        <v>148.36000000000001</v>
      </c>
      <c r="G703" s="124">
        <v>248.82</v>
      </c>
      <c r="H703" s="124">
        <v>249.99</v>
      </c>
      <c r="I703" s="124">
        <v>82.12</v>
      </c>
      <c r="J703" s="125">
        <v>112.2</v>
      </c>
      <c r="L703" s="39">
        <f t="shared" si="128"/>
        <v>-1.6144438913478344E-3</v>
      </c>
      <c r="M703" s="40">
        <f t="shared" si="120"/>
        <v>-2.1423862887277625E-2</v>
      </c>
      <c r="N703" s="40">
        <f t="shared" si="121"/>
        <v>2.1507287593316812E-2</v>
      </c>
      <c r="O703" s="40">
        <f t="shared" si="122"/>
        <v>-6.5376722368807334E-3</v>
      </c>
      <c r="P703" s="40">
        <f t="shared" si="123"/>
        <v>6.7861020629750267E-3</v>
      </c>
      <c r="Q703" s="40">
        <f t="shared" si="124"/>
        <v>-1.6677205184950993E-2</v>
      </c>
      <c r="R703" s="40">
        <f t="shared" si="125"/>
        <v>1.1163693726489583E-2</v>
      </c>
      <c r="S703" s="40">
        <f t="shared" si="126"/>
        <v>6.8661108386464231E-3</v>
      </c>
      <c r="T703" s="41">
        <f t="shared" si="127"/>
        <v>-1.7857142857142787E-2</v>
      </c>
      <c r="V703" s="39">
        <f t="shared" si="129"/>
        <v>-1.6144438913478344E-3</v>
      </c>
      <c r="W703" s="40" cm="1">
        <f t="array" ref="W703">IF(M703="","",SUMPRODUCT(M703:T703,TRANSPOSE('04_Dashboard'!$C$53:$C$60)))</f>
        <v>-5.6220564081165122E-3</v>
      </c>
      <c r="X703" s="42">
        <f t="shared" si="130"/>
        <v>1.736654887552356</v>
      </c>
      <c r="Y703" s="118">
        <f t="shared" si="131"/>
        <v>1.8854890833836697</v>
      </c>
      <c r="AA703" s="43">
        <f>IF(X703="","",X703/MAX($X$4:X703)-1)</f>
        <v>-2.3013020524770944E-2</v>
      </c>
      <c r="AB703" s="44">
        <f>IF(Y703="","",Y703/MAX($Y$4:Y703)-1)</f>
        <v>-1.18708260224476E-2</v>
      </c>
    </row>
    <row r="704" spans="1:28" x14ac:dyDescent="0.45">
      <c r="A704" s="121">
        <v>46224</v>
      </c>
      <c r="B704" s="124">
        <v>748.28</v>
      </c>
      <c r="C704" s="124">
        <v>327.74</v>
      </c>
      <c r="D704" s="124">
        <v>397.75</v>
      </c>
      <c r="E704" s="124">
        <v>345.23</v>
      </c>
      <c r="F704" s="124">
        <v>151.71</v>
      </c>
      <c r="G704" s="124">
        <v>250.61</v>
      </c>
      <c r="H704" s="124">
        <v>247.55</v>
      </c>
      <c r="I704" s="124">
        <v>81.97</v>
      </c>
      <c r="J704" s="125">
        <v>110.39</v>
      </c>
      <c r="L704" s="39">
        <f t="shared" si="128"/>
        <v>8.3413063105552427E-3</v>
      </c>
      <c r="M704" s="40">
        <f t="shared" si="120"/>
        <v>3.5212345754616924E-3</v>
      </c>
      <c r="N704" s="40">
        <f t="shared" si="121"/>
        <v>-1.1285391135747894E-2</v>
      </c>
      <c r="O704" s="40">
        <f t="shared" si="122"/>
        <v>1.8768259214448059E-2</v>
      </c>
      <c r="P704" s="40">
        <f t="shared" si="123"/>
        <v>2.2580210299271999E-2</v>
      </c>
      <c r="Q704" s="40">
        <f t="shared" si="124"/>
        <v>7.1939554698176216E-3</v>
      </c>
      <c r="R704" s="40">
        <f t="shared" si="125"/>
        <v>-9.7603904156166148E-3</v>
      </c>
      <c r="S704" s="40">
        <f t="shared" si="126"/>
        <v>-1.8265952264978772E-3</v>
      </c>
      <c r="T704" s="41">
        <f t="shared" si="127"/>
        <v>-1.6131907308377918E-2</v>
      </c>
      <c r="V704" s="39">
        <f t="shared" si="129"/>
        <v>8.3413063105552427E-3</v>
      </c>
      <c r="W704" s="40" cm="1">
        <f t="array" ref="W704">IF(M704="","",SUMPRODUCT(M704:T704,TRANSPOSE('04_Dashboard'!$C$53:$C$60)))</f>
        <v>3.4971573146870536E-3</v>
      </c>
      <c r="X704" s="42">
        <f t="shared" si="130"/>
        <v>1.7511408579251531</v>
      </c>
      <c r="Y704" s="118">
        <f t="shared" si="131"/>
        <v>1.8920829353233877</v>
      </c>
      <c r="AA704" s="43">
        <f>IF(X704="","",X704/MAX($X$4:X704)-1)</f>
        <v>-1.4863672867543865E-2</v>
      </c>
      <c r="AB704" s="44">
        <f>IF(Y704="","",Y704/MAX($Y$4:Y704)-1)</f>
        <v>-8.415182853816261E-3</v>
      </c>
    </row>
    <row r="705" spans="1:28" x14ac:dyDescent="0.45">
      <c r="A705" s="121">
        <v>46225</v>
      </c>
      <c r="B705" s="124">
        <v>747.41</v>
      </c>
      <c r="C705" s="124">
        <v>325.89</v>
      </c>
      <c r="D705" s="124">
        <v>390.34</v>
      </c>
      <c r="E705" s="124">
        <v>348.21</v>
      </c>
      <c r="F705" s="124">
        <v>154.44999999999999</v>
      </c>
      <c r="G705" s="124">
        <v>255.63</v>
      </c>
      <c r="H705" s="124">
        <v>244.85</v>
      </c>
      <c r="I705" s="124">
        <v>82.2</v>
      </c>
      <c r="J705" s="125">
        <v>109.33</v>
      </c>
      <c r="L705" s="39">
        <f t="shared" si="128"/>
        <v>-1.1626663815684029E-3</v>
      </c>
      <c r="M705" s="40">
        <f t="shared" si="120"/>
        <v>-5.6447183743211773E-3</v>
      </c>
      <c r="N705" s="40">
        <f t="shared" si="121"/>
        <v>-1.862979258328102E-2</v>
      </c>
      <c r="O705" s="40">
        <f t="shared" si="122"/>
        <v>8.6319265417256937E-3</v>
      </c>
      <c r="P705" s="40">
        <f t="shared" si="123"/>
        <v>1.8060773844835412E-2</v>
      </c>
      <c r="Q705" s="40">
        <f t="shared" si="124"/>
        <v>2.0031124057300113E-2</v>
      </c>
      <c r="R705" s="40">
        <f t="shared" si="125"/>
        <v>-1.0906887497475325E-2</v>
      </c>
      <c r="S705" s="40">
        <f t="shared" si="126"/>
        <v>2.8059045992436743E-3</v>
      </c>
      <c r="T705" s="41">
        <f t="shared" si="127"/>
        <v>-9.6023190506386649E-3</v>
      </c>
      <c r="V705" s="39">
        <f t="shared" si="129"/>
        <v>-1.1626663815684029E-3</v>
      </c>
      <c r="W705" s="40" cm="1">
        <f t="array" ref="W705">IF(M705="","",SUMPRODUCT(M705:T705,TRANSPOSE('04_Dashboard'!$C$53:$C$60)))</f>
        <v>4.3907493480641819E-3</v>
      </c>
      <c r="X705" s="42">
        <f t="shared" si="130"/>
        <v>1.7491048653202528</v>
      </c>
      <c r="Y705" s="118">
        <f t="shared" si="131"/>
        <v>1.9003905972381421</v>
      </c>
      <c r="AA705" s="43">
        <f>IF(X705="","",X705/MAX($X$4:X705)-1)</f>
        <v>-1.600905775636241E-2</v>
      </c>
      <c r="AB705" s="44">
        <f>IF(Y705="","",Y705/MAX($Y$4:Y705)-1)</f>
        <v>-4.061382464381369E-3</v>
      </c>
    </row>
    <row r="706" spans="1:28" x14ac:dyDescent="0.45">
      <c r="A706" s="121">
        <v>46226</v>
      </c>
      <c r="B706" s="124">
        <v>738.18</v>
      </c>
      <c r="C706" s="124">
        <v>321.66000000000003</v>
      </c>
      <c r="D706" s="124">
        <v>381.58</v>
      </c>
      <c r="E706" s="124">
        <v>349.9</v>
      </c>
      <c r="F706" s="124">
        <v>156.88999999999999</v>
      </c>
      <c r="G706" s="124">
        <v>259.27</v>
      </c>
      <c r="H706" s="124">
        <v>233.66</v>
      </c>
      <c r="I706" s="124">
        <v>81.17</v>
      </c>
      <c r="J706" s="125">
        <v>108.4</v>
      </c>
      <c r="L706" s="39">
        <f t="shared" si="128"/>
        <v>-1.2349312960757843E-2</v>
      </c>
      <c r="M706" s="40">
        <f t="shared" si="120"/>
        <v>-1.2979839823253127E-2</v>
      </c>
      <c r="N706" s="40">
        <f t="shared" si="121"/>
        <v>-2.2441973663985221E-2</v>
      </c>
      <c r="O706" s="40">
        <f t="shared" si="122"/>
        <v>4.853393067401849E-3</v>
      </c>
      <c r="P706" s="40">
        <f t="shared" si="123"/>
        <v>1.5797992877954015E-2</v>
      </c>
      <c r="Q706" s="40">
        <f t="shared" si="124"/>
        <v>1.423933028204822E-2</v>
      </c>
      <c r="R706" s="40">
        <f t="shared" si="125"/>
        <v>-4.5701449867265667E-2</v>
      </c>
      <c r="S706" s="40">
        <f t="shared" si="126"/>
        <v>-1.2530413625304149E-2</v>
      </c>
      <c r="T706" s="41">
        <f t="shared" si="127"/>
        <v>-8.5063569011249677E-3</v>
      </c>
      <c r="V706" s="39">
        <f t="shared" si="129"/>
        <v>-1.2349312960757843E-2</v>
      </c>
      <c r="W706" s="40" cm="1">
        <f t="array" ref="W706">IF(M706="","",SUMPRODUCT(M706:T706,TRANSPOSE('04_Dashboard'!$C$53:$C$60)))</f>
        <v>-3.191361047035162E-3</v>
      </c>
      <c r="X706" s="42">
        <f t="shared" si="130"/>
        <v>1.7275046219372288</v>
      </c>
      <c r="Y706" s="118">
        <f t="shared" si="131"/>
        <v>1.8943257647119642</v>
      </c>
      <c r="AA706" s="43">
        <f>IF(X706="","",X706/MAX($X$4:X706)-1)</f>
        <v>-2.8160669852680176E-2</v>
      </c>
      <c r="AB706" s="44">
        <f>IF(Y706="","",Y706/MAX($Y$4:Y706)-1)</f>
        <v>-7.2397821736227552E-3</v>
      </c>
    </row>
    <row r="707" spans="1:28" x14ac:dyDescent="0.45">
      <c r="A707" s="121">
        <v>46227</v>
      </c>
      <c r="B707" s="124">
        <v>738.93</v>
      </c>
      <c r="C707" s="124">
        <v>333.02</v>
      </c>
      <c r="D707" s="124">
        <v>381.7</v>
      </c>
      <c r="E707" s="124">
        <v>353.21</v>
      </c>
      <c r="F707" s="124">
        <v>156.94</v>
      </c>
      <c r="G707" s="124">
        <v>263.39999999999998</v>
      </c>
      <c r="H707" s="124">
        <v>232.11</v>
      </c>
      <c r="I707" s="124">
        <v>82.25</v>
      </c>
      <c r="J707" s="125">
        <v>109.47</v>
      </c>
      <c r="L707" s="39">
        <f t="shared" si="128"/>
        <v>1.0160123547102334E-3</v>
      </c>
      <c r="M707" s="40">
        <f t="shared" si="120"/>
        <v>3.5316794130448165E-2</v>
      </c>
      <c r="N707" s="40">
        <f t="shared" si="121"/>
        <v>3.1448189108445034E-4</v>
      </c>
      <c r="O707" s="40">
        <f t="shared" si="122"/>
        <v>9.4598456701914906E-3</v>
      </c>
      <c r="P707" s="40">
        <f t="shared" si="123"/>
        <v>3.186946268086645E-4</v>
      </c>
      <c r="Q707" s="40">
        <f t="shared" si="124"/>
        <v>1.5929340070197074E-2</v>
      </c>
      <c r="R707" s="40">
        <f t="shared" si="125"/>
        <v>-6.6335701446545532E-3</v>
      </c>
      <c r="S707" s="40">
        <f t="shared" si="126"/>
        <v>1.3305408402118989E-2</v>
      </c>
      <c r="T707" s="41">
        <f t="shared" si="127"/>
        <v>9.8708487084870206E-3</v>
      </c>
      <c r="V707" s="39">
        <f t="shared" si="129"/>
        <v>1.0160123547102334E-3</v>
      </c>
      <c r="W707" s="40" cm="1">
        <f t="array" ref="W707">IF(M707="","",SUMPRODUCT(M707:T707,TRANSPOSE('04_Dashboard'!$C$53:$C$60)))</f>
        <v>1.0753763071539963E-2</v>
      </c>
      <c r="X707" s="42">
        <f t="shared" si="130"/>
        <v>1.7292597879759362</v>
      </c>
      <c r="Y707" s="118">
        <f t="shared" si="131"/>
        <v>1.9146968951659904</v>
      </c>
      <c r="AA707" s="43">
        <f>IF(X707="","",X707/MAX($X$4:X707)-1)</f>
        <v>-2.7173269086457119E-2</v>
      </c>
      <c r="AB707" s="44">
        <f>IF(Y707="","",Y707/MAX($Y$4:Y707)-1)</f>
        <v>0</v>
      </c>
    </row>
    <row r="708" spans="1:28" x14ac:dyDescent="0.45">
      <c r="A708" s="121">
        <v>46230</v>
      </c>
      <c r="B708" s="124">
        <v>739.09</v>
      </c>
      <c r="C708" s="124">
        <v>336.91</v>
      </c>
      <c r="D708" s="124">
        <v>389.1</v>
      </c>
      <c r="E708" s="124">
        <v>356.2</v>
      </c>
      <c r="F708" s="124">
        <v>154.77000000000001</v>
      </c>
      <c r="G708" s="124">
        <v>265.95</v>
      </c>
      <c r="H708" s="124">
        <v>231.39</v>
      </c>
      <c r="I708" s="124">
        <v>84.07</v>
      </c>
      <c r="J708" s="125">
        <v>111.74</v>
      </c>
      <c r="L708" s="39">
        <f t="shared" si="128"/>
        <v>2.165293058883546E-4</v>
      </c>
      <c r="M708" s="40">
        <f t="shared" ref="M708:M755" si="132">IF(C708="","",(C708-C707)/C707)</f>
        <v>1.1680980121314166E-2</v>
      </c>
      <c r="N708" s="40">
        <f t="shared" ref="N708:N755" si="133">IF(D708="","",(D708-D707)/D707)</f>
        <v>1.9386953104532444E-2</v>
      </c>
      <c r="O708" s="40">
        <f t="shared" ref="O708:O755" si="134">IF(E708="","",(E708-E707)/E707)</f>
        <v>8.4652189915348074E-3</v>
      </c>
      <c r="P708" s="40">
        <f t="shared" ref="P708:P755" si="135">IF(F708="","",(F708-F707)/F707)</f>
        <v>-1.3826940231935692E-2</v>
      </c>
      <c r="Q708" s="40">
        <f t="shared" ref="Q708:Q755" si="136">IF(G708="","",(G708-G707)/G707)</f>
        <v>9.6810933940774929E-3</v>
      </c>
      <c r="R708" s="40">
        <f t="shared" ref="R708:R755" si="137">IF(H708="","",(H708-H707)/H707)</f>
        <v>-3.1019775106631651E-3</v>
      </c>
      <c r="S708" s="40">
        <f t="shared" ref="S708:S755" si="138">IF(I708="","",(I708-I707)/I707)</f>
        <v>2.2127659574468002E-2</v>
      </c>
      <c r="T708" s="41">
        <f t="shared" ref="T708:T755" si="139">IF(J708="","",(J708-J707)/J707)</f>
        <v>2.0736274778478087E-2</v>
      </c>
      <c r="V708" s="39">
        <f t="shared" si="129"/>
        <v>2.165293058883546E-4</v>
      </c>
      <c r="W708" s="40" cm="1">
        <f t="array" ref="W708">IF(M708="","",SUMPRODUCT(M708:T708,TRANSPOSE('04_Dashboard'!$C$53:$C$60)))</f>
        <v>1.1313346438914327E-2</v>
      </c>
      <c r="X708" s="42">
        <f t="shared" si="130"/>
        <v>1.7296342233975275</v>
      </c>
      <c r="Y708" s="118">
        <f t="shared" si="131"/>
        <v>1.9363585244665169</v>
      </c>
      <c r="AA708" s="43">
        <f>IF(X708="","",X708/MAX($X$4:X708)-1)</f>
        <v>-2.6962623589662615E-2</v>
      </c>
      <c r="AB708" s="44">
        <f>IF(Y708="","",Y708/MAX($Y$4:Y708)-1)</f>
        <v>0</v>
      </c>
    </row>
    <row r="709" spans="1:28" x14ac:dyDescent="0.45">
      <c r="A709" s="121">
        <v>46231</v>
      </c>
      <c r="B709" s="124">
        <v>740.86</v>
      </c>
      <c r="C709" s="124">
        <v>340.08</v>
      </c>
      <c r="D709" s="124">
        <v>393.35</v>
      </c>
      <c r="E709" s="124">
        <v>357.31</v>
      </c>
      <c r="F709" s="124">
        <v>153.04</v>
      </c>
      <c r="G709" s="124">
        <v>266.73</v>
      </c>
      <c r="H709" s="124">
        <v>230.86</v>
      </c>
      <c r="I709" s="124">
        <v>88.27</v>
      </c>
      <c r="J709" s="125">
        <v>113.1</v>
      </c>
      <c r="L709" s="39">
        <f t="shared" ref="L709:L751" si="140">IF(B709="","",(B709-B708)/B708)</f>
        <v>2.3948368940182952E-3</v>
      </c>
      <c r="M709" s="40">
        <f t="shared" si="132"/>
        <v>9.4090409901752964E-3</v>
      </c>
      <c r="N709" s="40">
        <f t="shared" si="133"/>
        <v>1.0922641994345925E-2</v>
      </c>
      <c r="O709" s="40">
        <f t="shared" si="134"/>
        <v>3.1162268388546144E-3</v>
      </c>
      <c r="P709" s="40">
        <f t="shared" si="135"/>
        <v>-1.1177876849518757E-2</v>
      </c>
      <c r="Q709" s="40">
        <f t="shared" si="136"/>
        <v>2.9328821206994907E-3</v>
      </c>
      <c r="R709" s="40">
        <f t="shared" si="137"/>
        <v>-2.2905052076579485E-3</v>
      </c>
      <c r="S709" s="40">
        <f t="shared" si="138"/>
        <v>4.9958368026644502E-2</v>
      </c>
      <c r="T709" s="41">
        <f t="shared" si="139"/>
        <v>1.2171111508859848E-2</v>
      </c>
      <c r="V709" s="39">
        <f t="shared" ref="V709:V755" si="141">L709</f>
        <v>2.3948368940182952E-3</v>
      </c>
      <c r="W709" s="40" cm="1">
        <f t="array" ref="W709">IF(M709="","",SUMPRODUCT(M709:T709,TRANSPOSE('04_Dashboard'!$C$53:$C$60)))</f>
        <v>1.0586495823561047E-2</v>
      </c>
      <c r="X709" s="42">
        <f t="shared" si="130"/>
        <v>1.7337764152488766</v>
      </c>
      <c r="Y709" s="118">
        <f t="shared" si="131"/>
        <v>1.9568577758986987</v>
      </c>
      <c r="AA709" s="43">
        <f>IF(X709="","",X709/MAX($X$4:X709)-1)</f>
        <v>-2.4632357781376291E-2</v>
      </c>
      <c r="AB709" s="44">
        <f>IF(Y709="","",Y709/MAX($Y$4:Y709)-1)</f>
        <v>0</v>
      </c>
    </row>
    <row r="710" spans="1:28" x14ac:dyDescent="0.45">
      <c r="A710" s="121">
        <v>46232</v>
      </c>
      <c r="B710" s="124">
        <v>729.46</v>
      </c>
      <c r="C710" s="124">
        <v>338.19</v>
      </c>
      <c r="D710" s="124">
        <v>390.54</v>
      </c>
      <c r="E710" s="124">
        <v>344.71</v>
      </c>
      <c r="F710" s="124">
        <v>156.75</v>
      </c>
      <c r="G710" s="124">
        <v>265.52999999999997</v>
      </c>
      <c r="H710" s="124">
        <v>226.65</v>
      </c>
      <c r="I710" s="124">
        <v>89.08</v>
      </c>
      <c r="J710" s="125">
        <v>114.22</v>
      </c>
      <c r="L710" s="39">
        <f t="shared" si="140"/>
        <v>-1.5387522608859942E-2</v>
      </c>
      <c r="M710" s="40">
        <f t="shared" si="132"/>
        <v>-5.5575158786167565E-3</v>
      </c>
      <c r="N710" s="40">
        <f t="shared" si="133"/>
        <v>-7.1437650946993827E-3</v>
      </c>
      <c r="O710" s="40">
        <f t="shared" si="134"/>
        <v>-3.5263496683552158E-2</v>
      </c>
      <c r="P710" s="40">
        <f t="shared" si="135"/>
        <v>2.4242028227914325E-2</v>
      </c>
      <c r="Q710" s="40">
        <f t="shared" si="136"/>
        <v>-4.498931503768025E-3</v>
      </c>
      <c r="R710" s="40">
        <f t="shared" si="137"/>
        <v>-1.8236160443558899E-2</v>
      </c>
      <c r="S710" s="40">
        <f t="shared" si="138"/>
        <v>9.1763906196896151E-3</v>
      </c>
      <c r="T710" s="41">
        <f t="shared" si="139"/>
        <v>9.9027409372237363E-3</v>
      </c>
      <c r="V710" s="39">
        <f t="shared" si="141"/>
        <v>-1.5387522608859942E-2</v>
      </c>
      <c r="W710" s="40" cm="1">
        <f t="array" ref="W710">IF(M710="","",SUMPRODUCT(M710:T710,TRANSPOSE('04_Dashboard'!$C$53:$C$60)))</f>
        <v>-7.70034677008257E-3</v>
      </c>
      <c r="X710" s="42">
        <f t="shared" ref="X710:X755" si="142">IF(V710="","",X709*(1+V710))</f>
        <v>1.7070978914605264</v>
      </c>
      <c r="Y710" s="118">
        <f t="shared" ref="Y710:Y755" si="143">IF(W710="","",Y709*(1+W710))</f>
        <v>1.9417892924445461</v>
      </c>
      <c r="AA710" s="43">
        <f>IF(X710="","",X710/MAX($X$4:X710)-1)</f>
        <v>-3.9640849427965752E-2</v>
      </c>
      <c r="AB710" s="44">
        <f>IF(Y710="","",Y710/MAX($Y$4:Y710)-1)</f>
        <v>-7.7003467700825778E-3</v>
      </c>
    </row>
    <row r="711" spans="1:28" x14ac:dyDescent="0.45">
      <c r="A711" s="121">
        <v>46233</v>
      </c>
      <c r="B711" s="124">
        <v>741.69</v>
      </c>
      <c r="C711" s="124">
        <v>333.43</v>
      </c>
      <c r="D711" s="124">
        <v>451.1</v>
      </c>
      <c r="E711" s="124">
        <v>350.85</v>
      </c>
      <c r="F711" s="124">
        <v>156.97</v>
      </c>
      <c r="G711" s="124">
        <v>255.82</v>
      </c>
      <c r="H711" s="124">
        <v>235.5</v>
      </c>
      <c r="I711" s="124">
        <v>88.49</v>
      </c>
      <c r="J711" s="125">
        <v>111.1</v>
      </c>
      <c r="L711" s="39">
        <f t="shared" si="140"/>
        <v>1.6765826775971292E-2</v>
      </c>
      <c r="M711" s="40">
        <f t="shared" si="132"/>
        <v>-1.4074928294745531E-2</v>
      </c>
      <c r="N711" s="40">
        <f t="shared" si="133"/>
        <v>0.15506734265376146</v>
      </c>
      <c r="O711" s="40">
        <f t="shared" si="134"/>
        <v>1.7812073917205892E-2</v>
      </c>
      <c r="P711" s="40">
        <f t="shared" si="135"/>
        <v>1.4035087719298173E-3</v>
      </c>
      <c r="Q711" s="40">
        <f t="shared" si="136"/>
        <v>-3.6568372688585024E-2</v>
      </c>
      <c r="R711" s="40">
        <f t="shared" si="137"/>
        <v>3.9046988749172708E-2</v>
      </c>
      <c r="S711" s="40">
        <f t="shared" si="138"/>
        <v>-6.6232599910193467E-3</v>
      </c>
      <c r="T711" s="41">
        <f t="shared" si="139"/>
        <v>-2.731570653125551E-2</v>
      </c>
      <c r="V711" s="39">
        <f t="shared" si="141"/>
        <v>1.6765826775971292E-2</v>
      </c>
      <c r="W711" s="40" cm="1">
        <f t="array" ref="W711">IF(M711="","",SUMPRODUCT(M711:T711,TRANSPOSE('04_Dashboard'!$C$53:$C$60)))</f>
        <v>3.4952344838304456E-3</v>
      </c>
      <c r="X711" s="42">
        <f t="shared" si="142"/>
        <v>1.7357187989983796</v>
      </c>
      <c r="Y711" s="118">
        <f t="shared" si="143"/>
        <v>1.948576301339831</v>
      </c>
      <c r="AA711" s="43">
        <f>IF(X711="","",X711/MAX($X$4:X711)-1)</f>
        <v>-2.3539634266756093E-2</v>
      </c>
      <c r="AB711" s="44">
        <f>IF(Y711="","",Y711/MAX($Y$4:Y711)-1)</f>
        <v>-4.232026803820399E-3</v>
      </c>
    </row>
    <row r="712" spans="1:28" x14ac:dyDescent="0.45">
      <c r="A712" s="121">
        <v>46234</v>
      </c>
      <c r="B712" s="124">
        <v>747.03</v>
      </c>
      <c r="C712" s="124">
        <v>308.91000000000003</v>
      </c>
      <c r="D712" s="124">
        <v>464.72</v>
      </c>
      <c r="E712" s="124">
        <v>351.79</v>
      </c>
      <c r="F712" s="124">
        <v>155.44</v>
      </c>
      <c r="G712" s="124">
        <v>256.35000000000002</v>
      </c>
      <c r="H712" s="124">
        <v>271.58</v>
      </c>
      <c r="I712" s="124">
        <v>87.59</v>
      </c>
      <c r="J712" s="125">
        <v>111.2</v>
      </c>
      <c r="L712" s="39">
        <f t="shared" si="140"/>
        <v>7.1997734902721055E-3</v>
      </c>
      <c r="M712" s="40">
        <f t="shared" si="132"/>
        <v>-7.353867378460241E-2</v>
      </c>
      <c r="N712" s="40">
        <f t="shared" si="133"/>
        <v>3.0192861893150087E-2</v>
      </c>
      <c r="O712" s="40">
        <f t="shared" si="134"/>
        <v>2.6792076385919843E-3</v>
      </c>
      <c r="P712" s="40">
        <f t="shared" si="135"/>
        <v>-9.7470854303370151E-3</v>
      </c>
      <c r="Q712" s="40">
        <f t="shared" si="136"/>
        <v>2.0717692127278147E-3</v>
      </c>
      <c r="R712" s="40">
        <f t="shared" si="137"/>
        <v>0.15320594479830141</v>
      </c>
      <c r="S712" s="40">
        <f t="shared" si="138"/>
        <v>-1.0170640750367178E-2</v>
      </c>
      <c r="T712" s="41">
        <f t="shared" si="139"/>
        <v>9.0009000900097692E-4</v>
      </c>
      <c r="V712" s="39">
        <f t="shared" si="141"/>
        <v>7.1997734902721055E-3</v>
      </c>
      <c r="W712" s="40" cm="1">
        <f t="array" ref="W712">IF(M712="","",SUMPRODUCT(M712:T712,TRANSPOSE('04_Dashboard'!$C$53:$C$60)))</f>
        <v>8.6272634335177387E-3</v>
      </c>
      <c r="X712" s="42">
        <f t="shared" si="142"/>
        <v>1.7482155811939748</v>
      </c>
      <c r="Y712" s="118">
        <f t="shared" si="143"/>
        <v>1.9653871824117994</v>
      </c>
      <c r="AA712" s="43">
        <f>IF(X712="","",X712/MAX($X$4:X712)-1)</f>
        <v>-1.6509340811248552E-2</v>
      </c>
      <c r="AB712" s="44">
        <f>IF(Y712="","",Y712/MAX($Y$4:Y712)-1)</f>
        <v>0</v>
      </c>
    </row>
    <row r="713" spans="1:28" x14ac:dyDescent="0.45">
      <c r="A713" s="121">
        <v>46237</v>
      </c>
      <c r="B713" s="124">
        <v>757.67</v>
      </c>
      <c r="C713" s="124">
        <v>303.42</v>
      </c>
      <c r="D713" s="124">
        <v>487.65</v>
      </c>
      <c r="E713" s="124">
        <v>352.64</v>
      </c>
      <c r="F713" s="124">
        <v>155.06</v>
      </c>
      <c r="G713" s="124">
        <v>254.41</v>
      </c>
      <c r="H713" s="124">
        <v>284.02</v>
      </c>
      <c r="I713" s="124">
        <v>86.86</v>
      </c>
      <c r="J713" s="125">
        <v>110.71</v>
      </c>
      <c r="L713" s="39">
        <f t="shared" si="140"/>
        <v>1.4243069220780941E-2</v>
      </c>
      <c r="M713" s="40">
        <f t="shared" si="132"/>
        <v>-1.7772166650480752E-2</v>
      </c>
      <c r="N713" s="40">
        <f t="shared" si="133"/>
        <v>4.9341538991220409E-2</v>
      </c>
      <c r="O713" s="40">
        <f t="shared" si="134"/>
        <v>2.4162142187099289E-3</v>
      </c>
      <c r="P713" s="40">
        <f t="shared" si="135"/>
        <v>-2.4446731857951328E-3</v>
      </c>
      <c r="Q713" s="40">
        <f t="shared" si="136"/>
        <v>-7.5677784279306647E-3</v>
      </c>
      <c r="R713" s="40">
        <f t="shared" si="137"/>
        <v>4.5806024007658881E-2</v>
      </c>
      <c r="S713" s="40">
        <f t="shared" si="138"/>
        <v>-8.3342847357004684E-3</v>
      </c>
      <c r="T713" s="41">
        <f t="shared" si="139"/>
        <v>-4.4064748201439663E-3</v>
      </c>
      <c r="V713" s="39">
        <f t="shared" si="141"/>
        <v>1.4243069220780941E-2</v>
      </c>
      <c r="W713" s="40" cm="1">
        <f t="array" ref="W713">IF(M713="","",SUMPRODUCT(M713:T713,TRANSPOSE('04_Dashboard'!$C$53:$C$60)))</f>
        <v>2.6244440411473087E-3</v>
      </c>
      <c r="X713" s="42">
        <f t="shared" si="142"/>
        <v>1.7731155367297682</v>
      </c>
      <c r="Y713" s="118">
        <f t="shared" si="143"/>
        <v>1.9705452310912275</v>
      </c>
      <c r="AA713" s="43">
        <f>IF(X713="","",X713/MAX($X$4:X713)-1)</f>
        <v>-2.5014152744318174E-3</v>
      </c>
      <c r="AB713" s="44">
        <f>IF(Y713="","",Y713/MAX($Y$4:Y713)-1)</f>
        <v>0</v>
      </c>
    </row>
    <row r="714" spans="1:28" x14ac:dyDescent="0.45">
      <c r="A714" s="121">
        <v>46238</v>
      </c>
      <c r="B714" s="124">
        <v>771.33</v>
      </c>
      <c r="C714" s="124">
        <v>309.38</v>
      </c>
      <c r="D714" s="124">
        <v>492.81</v>
      </c>
      <c r="E714" s="124">
        <v>357.52</v>
      </c>
      <c r="F714" s="124">
        <v>153.96</v>
      </c>
      <c r="G714" s="124">
        <v>254.93</v>
      </c>
      <c r="H714" s="124">
        <v>277.42</v>
      </c>
      <c r="I714" s="124">
        <v>86.56</v>
      </c>
      <c r="J714" s="125">
        <v>111.55</v>
      </c>
      <c r="L714" s="39">
        <f t="shared" si="140"/>
        <v>1.8028957197724713E-2</v>
      </c>
      <c r="M714" s="40">
        <f t="shared" si="132"/>
        <v>1.9642739437083841E-2</v>
      </c>
      <c r="N714" s="40">
        <f t="shared" si="133"/>
        <v>1.058135958166723E-2</v>
      </c>
      <c r="O714" s="40">
        <f t="shared" si="134"/>
        <v>1.3838475499092546E-2</v>
      </c>
      <c r="P714" s="40">
        <f t="shared" si="135"/>
        <v>-7.0940281181477768E-3</v>
      </c>
      <c r="Q714" s="40">
        <f t="shared" si="136"/>
        <v>2.0439448134900759E-3</v>
      </c>
      <c r="R714" s="40">
        <f t="shared" si="137"/>
        <v>-2.323780015491855E-2</v>
      </c>
      <c r="S714" s="40">
        <f t="shared" si="138"/>
        <v>-3.4538337554685375E-3</v>
      </c>
      <c r="T714" s="41">
        <f t="shared" si="139"/>
        <v>7.5873904796315006E-3</v>
      </c>
      <c r="V714" s="39">
        <f t="shared" si="141"/>
        <v>1.8028957197724713E-2</v>
      </c>
      <c r="W714" s="40" cm="1">
        <f t="array" ref="W714">IF(M714="","",SUMPRODUCT(M714:T714,TRANSPOSE('04_Dashboard'!$C$53:$C$60)))</f>
        <v>4.0864844042053077E-3</v>
      </c>
      <c r="X714" s="42">
        <f t="shared" si="142"/>
        <v>1.8050829608480901</v>
      </c>
      <c r="Y714" s="118">
        <f t="shared" si="143"/>
        <v>1.9785978334458627</v>
      </c>
      <c r="AA714" s="43">
        <f>IF(X714="","",X714/MAX($X$4:X714)-1)</f>
        <v>0</v>
      </c>
      <c r="AB714" s="44">
        <f>IF(Y714="","",Y714/MAX($Y$4:Y714)-1)</f>
        <v>0</v>
      </c>
    </row>
    <row r="715" spans="1:28" x14ac:dyDescent="0.45">
      <c r="A715" s="121">
        <v>46239</v>
      </c>
      <c r="B715" s="124">
        <v>769.79</v>
      </c>
      <c r="C715" s="124">
        <v>311</v>
      </c>
      <c r="D715" s="124">
        <v>487.46</v>
      </c>
      <c r="E715" s="124">
        <v>359.24</v>
      </c>
      <c r="F715" s="124">
        <v>151.63</v>
      </c>
      <c r="G715" s="124">
        <v>257.58999999999997</v>
      </c>
      <c r="H715" s="124">
        <v>272.64999999999998</v>
      </c>
      <c r="I715" s="124">
        <v>86.83</v>
      </c>
      <c r="J715" s="125">
        <v>112.34</v>
      </c>
      <c r="L715" s="39">
        <f t="shared" si="140"/>
        <v>-1.9965514111989387E-3</v>
      </c>
      <c r="M715" s="40">
        <f t="shared" si="132"/>
        <v>5.2362790096321821E-3</v>
      </c>
      <c r="N715" s="40">
        <f t="shared" si="133"/>
        <v>-1.0856110874373538E-2</v>
      </c>
      <c r="O715" s="40">
        <f t="shared" si="134"/>
        <v>4.8109196688297922E-3</v>
      </c>
      <c r="P715" s="40">
        <f t="shared" si="135"/>
        <v>-1.5133800987269502E-2</v>
      </c>
      <c r="Q715" s="40">
        <f t="shared" si="136"/>
        <v>1.0434236849331063E-2</v>
      </c>
      <c r="R715" s="40">
        <f t="shared" si="137"/>
        <v>-1.7194146060125579E-2</v>
      </c>
      <c r="S715" s="40">
        <f t="shared" si="138"/>
        <v>3.1192236598890483E-3</v>
      </c>
      <c r="T715" s="41">
        <f t="shared" si="139"/>
        <v>7.082025997310679E-3</v>
      </c>
      <c r="V715" s="39">
        <f t="shared" si="141"/>
        <v>-1.9965514111989387E-3</v>
      </c>
      <c r="W715" s="40" cm="1">
        <f t="array" ref="W715">IF(M715="","",SUMPRODUCT(M715:T715,TRANSPOSE('04_Dashboard'!$C$53:$C$60)))</f>
        <v>2.5755740804910042E-3</v>
      </c>
      <c r="X715" s="42">
        <f t="shared" si="142"/>
        <v>1.8014790199152777</v>
      </c>
      <c r="Y715" s="118">
        <f t="shared" si="143"/>
        <v>1.9836938587414013</v>
      </c>
      <c r="AA715" s="43">
        <f>IF(X715="","",X715/MAX($X$4:X715)-1)</f>
        <v>-1.9965514111989213E-3</v>
      </c>
      <c r="AB715" s="44">
        <f>IF(Y715="","",Y715/MAX($Y$4:Y715)-1)</f>
        <v>0</v>
      </c>
    </row>
    <row r="716" spans="1:28" x14ac:dyDescent="0.45">
      <c r="A716" s="121">
        <v>46240</v>
      </c>
      <c r="B716" s="124">
        <v>768.56</v>
      </c>
      <c r="C716" s="124">
        <v>312.41000000000003</v>
      </c>
      <c r="D716" s="124">
        <v>499.86</v>
      </c>
      <c r="E716" s="124">
        <v>356.3</v>
      </c>
      <c r="F716" s="124">
        <v>154.84</v>
      </c>
      <c r="G716" s="124">
        <v>256.98</v>
      </c>
      <c r="H716" s="124">
        <v>272.26</v>
      </c>
      <c r="I716" s="124">
        <v>86.85</v>
      </c>
      <c r="J716" s="125">
        <v>112.07</v>
      </c>
      <c r="L716" s="39">
        <f t="shared" si="140"/>
        <v>-1.5978383715039403E-3</v>
      </c>
      <c r="M716" s="40">
        <f t="shared" si="132"/>
        <v>4.5337620578778937E-3</v>
      </c>
      <c r="N716" s="40">
        <f t="shared" si="133"/>
        <v>2.5437984655151263E-2</v>
      </c>
      <c r="O716" s="40">
        <f t="shared" si="134"/>
        <v>-8.1839438815276624E-3</v>
      </c>
      <c r="P716" s="40">
        <f t="shared" si="135"/>
        <v>2.1169953175493028E-2</v>
      </c>
      <c r="Q716" s="40">
        <f t="shared" si="136"/>
        <v>-2.3681043518768465E-3</v>
      </c>
      <c r="R716" s="40">
        <f t="shared" si="137"/>
        <v>-1.430405281496374E-3</v>
      </c>
      <c r="S716" s="40">
        <f t="shared" si="138"/>
        <v>2.3033513762519891E-4</v>
      </c>
      <c r="T716" s="41">
        <f t="shared" si="139"/>
        <v>-2.4034181947659803E-3</v>
      </c>
      <c r="V716" s="39">
        <f t="shared" si="141"/>
        <v>-1.5978383715039403E-3</v>
      </c>
      <c r="W716" s="40" cm="1">
        <f t="array" ref="W716">IF(M716="","",SUMPRODUCT(M716:T716,TRANSPOSE('04_Dashboard'!$C$53:$C$60)))</f>
        <v>1.2611087951305285E-4</v>
      </c>
      <c r="X716" s="42">
        <f t="shared" si="142"/>
        <v>1.7986005476117977</v>
      </c>
      <c r="Y716" s="118">
        <f t="shared" si="143"/>
        <v>1.9839440241186117</v>
      </c>
      <c r="AA716" s="43">
        <f>IF(X716="","",X716/MAX($X$4:X716)-1)</f>
        <v>-3.5911996162474313E-3</v>
      </c>
      <c r="AB716" s="44">
        <f>IF(Y716="","",Y716/MAX($Y$4:Y716)-1)</f>
        <v>0</v>
      </c>
    </row>
    <row r="717" spans="1:28" x14ac:dyDescent="0.45">
      <c r="A717" s="121">
        <v>46241</v>
      </c>
      <c r="B717" s="124">
        <v>773.26</v>
      </c>
      <c r="C717" s="124">
        <v>313.33</v>
      </c>
      <c r="D717" s="124">
        <v>499.99</v>
      </c>
      <c r="E717" s="124">
        <v>357.52</v>
      </c>
      <c r="F717" s="124">
        <v>153.04</v>
      </c>
      <c r="G717" s="124">
        <v>259.24</v>
      </c>
      <c r="H717" s="124">
        <v>274.48</v>
      </c>
      <c r="I717" s="124">
        <v>87.05</v>
      </c>
      <c r="J717" s="125">
        <v>111.85</v>
      </c>
      <c r="L717" s="39">
        <f t="shared" si="140"/>
        <v>6.1153325700011004E-3</v>
      </c>
      <c r="M717" s="40">
        <f t="shared" si="132"/>
        <v>2.9448481162573509E-3</v>
      </c>
      <c r="N717" s="40">
        <f t="shared" si="133"/>
        <v>2.6007282038969999E-4</v>
      </c>
      <c r="O717" s="40">
        <f t="shared" si="134"/>
        <v>3.424080830760512E-3</v>
      </c>
      <c r="P717" s="40">
        <f t="shared" si="135"/>
        <v>-1.1624903125807358E-2</v>
      </c>
      <c r="Q717" s="40">
        <f t="shared" si="136"/>
        <v>8.7944587127402555E-3</v>
      </c>
      <c r="R717" s="40">
        <f t="shared" si="137"/>
        <v>8.153970469404347E-3</v>
      </c>
      <c r="S717" s="40">
        <f t="shared" si="138"/>
        <v>2.3028209556707293E-3</v>
      </c>
      <c r="T717" s="41">
        <f t="shared" si="139"/>
        <v>-1.9630588025341205E-3</v>
      </c>
      <c r="V717" s="39">
        <f t="shared" si="141"/>
        <v>6.1153325700011004E-3</v>
      </c>
      <c r="W717" s="40" cm="1">
        <f t="array" ref="W717">IF(M717="","",SUMPRODUCT(M717:T717,TRANSPOSE('04_Dashboard'!$C$53:$C$60)))</f>
        <v>3.1508284813138439E-3</v>
      </c>
      <c r="X717" s="42">
        <f t="shared" si="142"/>
        <v>1.8095995881210301</v>
      </c>
      <c r="Y717" s="118">
        <f t="shared" si="143"/>
        <v>1.990195091455137</v>
      </c>
      <c r="AA717" s="43">
        <f>IF(X717="","",X717/MAX($X$4:X717)-1)</f>
        <v>0</v>
      </c>
      <c r="AB717" s="44">
        <f>IF(Y717="","",Y717/MAX($Y$4:Y717)-1)</f>
        <v>0</v>
      </c>
    </row>
    <row r="718" spans="1:28" x14ac:dyDescent="0.45">
      <c r="A718" s="121">
        <v>46244</v>
      </c>
      <c r="B718" s="124">
        <v>773.03</v>
      </c>
      <c r="C718" s="124">
        <v>308.26</v>
      </c>
      <c r="D718" s="124">
        <v>506.06</v>
      </c>
      <c r="E718" s="124">
        <v>359.79</v>
      </c>
      <c r="F718" s="124">
        <v>159.79</v>
      </c>
      <c r="G718" s="124">
        <v>261.81</v>
      </c>
      <c r="H718" s="124">
        <v>278.08999999999997</v>
      </c>
      <c r="I718" s="124">
        <v>86.87</v>
      </c>
      <c r="J718" s="125">
        <v>112.66</v>
      </c>
      <c r="L718" s="39">
        <f t="shared" si="140"/>
        <v>-2.9744199881025555E-4</v>
      </c>
      <c r="M718" s="40">
        <f t="shared" si="132"/>
        <v>-1.6181023202374474E-2</v>
      </c>
      <c r="N718" s="40">
        <f t="shared" si="133"/>
        <v>1.2140242804856084E-2</v>
      </c>
      <c r="O718" s="40">
        <f t="shared" si="134"/>
        <v>6.3492951443276987E-3</v>
      </c>
      <c r="P718" s="40">
        <f t="shared" si="135"/>
        <v>4.4106116048092003E-2</v>
      </c>
      <c r="Q718" s="40">
        <f t="shared" si="136"/>
        <v>9.9135935812374367E-3</v>
      </c>
      <c r="R718" s="40">
        <f t="shared" si="137"/>
        <v>1.3152142232585094E-2</v>
      </c>
      <c r="S718" s="40">
        <f t="shared" si="138"/>
        <v>-2.0677771395748723E-3</v>
      </c>
      <c r="T718" s="41">
        <f t="shared" si="139"/>
        <v>7.2418417523469137E-3</v>
      </c>
      <c r="V718" s="39">
        <f t="shared" si="141"/>
        <v>-2.9744199881025555E-4</v>
      </c>
      <c r="W718" s="40" cm="1">
        <f t="array" ref="W718">IF(M718="","",SUMPRODUCT(M718:T718,TRANSPOSE('04_Dashboard'!$C$53:$C$60)))</f>
        <v>7.6980877749161913E-3</v>
      </c>
      <c r="X718" s="42">
        <f t="shared" si="142"/>
        <v>1.8090613372024933</v>
      </c>
      <c r="Y718" s="118">
        <f t="shared" si="143"/>
        <v>2.005515787958366</v>
      </c>
      <c r="AA718" s="43">
        <f>IF(X718="","",X718/MAX($X$4:X718)-1)</f>
        <v>-2.9744199881021061E-4</v>
      </c>
      <c r="AB718" s="44">
        <f>IF(Y718="","",Y718/MAX($Y$4:Y718)-1)</f>
        <v>0</v>
      </c>
    </row>
    <row r="719" spans="1:28" x14ac:dyDescent="0.45">
      <c r="A719" s="121">
        <v>46245</v>
      </c>
      <c r="B719" s="124">
        <v>770.56</v>
      </c>
      <c r="C719" s="124">
        <v>304.91000000000003</v>
      </c>
      <c r="D719" s="124">
        <v>503.81</v>
      </c>
      <c r="E719" s="124">
        <v>362.04</v>
      </c>
      <c r="F719" s="124">
        <v>159.80000000000001</v>
      </c>
      <c r="G719" s="124">
        <v>259.8</v>
      </c>
      <c r="H719" s="124">
        <v>272.27</v>
      </c>
      <c r="I719" s="124">
        <v>86.48</v>
      </c>
      <c r="J719" s="125">
        <v>113.26</v>
      </c>
      <c r="L719" s="39">
        <f t="shared" si="140"/>
        <v>-3.1952188142763249E-3</v>
      </c>
      <c r="M719" s="40">
        <f t="shared" si="132"/>
        <v>-1.0867449555569864E-2</v>
      </c>
      <c r="N719" s="40">
        <f t="shared" si="133"/>
        <v>-4.4461131091174961E-3</v>
      </c>
      <c r="O719" s="40">
        <f t="shared" si="134"/>
        <v>6.2536479613107638E-3</v>
      </c>
      <c r="P719" s="40">
        <f t="shared" si="135"/>
        <v>6.2582139057633943E-5</v>
      </c>
      <c r="Q719" s="40">
        <f t="shared" si="136"/>
        <v>-7.6773232496848516E-3</v>
      </c>
      <c r="R719" s="40">
        <f t="shared" si="137"/>
        <v>-2.0928476392534767E-2</v>
      </c>
      <c r="S719" s="40">
        <f t="shared" si="138"/>
        <v>-4.4894670196845921E-3</v>
      </c>
      <c r="T719" s="41">
        <f t="shared" si="139"/>
        <v>5.3257589206462683E-3</v>
      </c>
      <c r="V719" s="39">
        <f t="shared" si="141"/>
        <v>-3.1952188142763249E-3</v>
      </c>
      <c r="W719" s="40" cm="1">
        <f t="array" ref="W719">IF(M719="","",SUMPRODUCT(M719:T719,TRANSPOSE('04_Dashboard'!$C$53:$C$60)))</f>
        <v>-2.6633837080138781E-3</v>
      </c>
      <c r="X719" s="42">
        <f t="shared" si="142"/>
        <v>1.803280990381684</v>
      </c>
      <c r="Y719" s="118">
        <f t="shared" si="143"/>
        <v>2.0001743298825532</v>
      </c>
      <c r="AA719" s="43">
        <f>IF(X719="","",X719/MAX($X$4:X719)-1)</f>
        <v>-3.4917104208157523E-3</v>
      </c>
      <c r="AB719" s="44">
        <f>IF(Y719="","",Y719/MAX($Y$4:Y719)-1)</f>
        <v>-2.6633837080138889E-3</v>
      </c>
    </row>
    <row r="720" spans="1:28" x14ac:dyDescent="0.45">
      <c r="A720" s="121">
        <v>46246</v>
      </c>
      <c r="B720" s="124">
        <v>772.49</v>
      </c>
      <c r="C720" s="124">
        <v>302.25</v>
      </c>
      <c r="D720" s="124">
        <v>492.43</v>
      </c>
      <c r="E720" s="124">
        <v>365.18</v>
      </c>
      <c r="F720" s="124">
        <v>159.75</v>
      </c>
      <c r="G720" s="124">
        <v>260.86</v>
      </c>
      <c r="H720" s="124">
        <v>267.27999999999997</v>
      </c>
      <c r="I720" s="124">
        <v>86.71</v>
      </c>
      <c r="J720" s="125">
        <v>116.01</v>
      </c>
      <c r="L720" s="39">
        <f t="shared" si="140"/>
        <v>2.5046719269103818E-3</v>
      </c>
      <c r="M720" s="40">
        <f t="shared" si="132"/>
        <v>-8.7238857367748675E-3</v>
      </c>
      <c r="N720" s="40">
        <f t="shared" si="133"/>
        <v>-2.2587880351719887E-2</v>
      </c>
      <c r="O720" s="40">
        <f t="shared" si="134"/>
        <v>8.6730747983647834E-3</v>
      </c>
      <c r="P720" s="40">
        <f t="shared" si="135"/>
        <v>-3.1289111389243659E-4</v>
      </c>
      <c r="Q720" s="40">
        <f t="shared" si="136"/>
        <v>4.0800615858352669E-3</v>
      </c>
      <c r="R720" s="40">
        <f t="shared" si="137"/>
        <v>-1.832739559995596E-2</v>
      </c>
      <c r="S720" s="40">
        <f t="shared" si="138"/>
        <v>2.6595744680849879E-3</v>
      </c>
      <c r="T720" s="41">
        <f t="shared" si="139"/>
        <v>2.4280416740243685E-2</v>
      </c>
      <c r="V720" s="39">
        <f t="shared" si="141"/>
        <v>2.5046719269103818E-3</v>
      </c>
      <c r="W720" s="40" cm="1">
        <f t="array" ref="W720">IF(M720="","",SUMPRODUCT(M720:T720,TRANSPOSE('04_Dashboard'!$C$53:$C$60)))</f>
        <v>3.4026095976061516E-3</v>
      </c>
      <c r="X720" s="42">
        <f t="shared" si="142"/>
        <v>1.8077976176546242</v>
      </c>
      <c r="Y720" s="118">
        <f t="shared" si="143"/>
        <v>2.0069801422542968</v>
      </c>
      <c r="AA720" s="43">
        <f>IF(X720="","",X720/MAX($X$4:X720)-1)</f>
        <v>-9.9578408297318344E-4</v>
      </c>
      <c r="AB720" s="44">
        <f>IF(Y720="","",Y720/MAX($Y$4:Y720)-1)</f>
        <v>0</v>
      </c>
    </row>
    <row r="721" spans="1:28" x14ac:dyDescent="0.45">
      <c r="A721" s="121">
        <v>46247</v>
      </c>
      <c r="B721" s="124">
        <v>777.88</v>
      </c>
      <c r="C721" s="124">
        <v>305.26</v>
      </c>
      <c r="D721" s="124">
        <v>496.88</v>
      </c>
      <c r="E721" s="124">
        <v>363.11</v>
      </c>
      <c r="F721" s="124">
        <v>158.61000000000001</v>
      </c>
      <c r="G721" s="124">
        <v>262.08</v>
      </c>
      <c r="H721" s="124">
        <v>265.13</v>
      </c>
      <c r="I721" s="124">
        <v>87.42</v>
      </c>
      <c r="J721" s="125">
        <v>115.72</v>
      </c>
      <c r="L721" s="39">
        <f t="shared" si="140"/>
        <v>6.9774366011210323E-3</v>
      </c>
      <c r="M721" s="40">
        <f t="shared" si="132"/>
        <v>9.9586435070305734E-3</v>
      </c>
      <c r="N721" s="40">
        <f t="shared" si="133"/>
        <v>9.0368174156732709E-3</v>
      </c>
      <c r="O721" s="40">
        <f t="shared" si="134"/>
        <v>-5.6684374828851339E-3</v>
      </c>
      <c r="P721" s="40">
        <f t="shared" si="135"/>
        <v>-7.1361502347416983E-3</v>
      </c>
      <c r="Q721" s="40">
        <f t="shared" si="136"/>
        <v>4.6768381507320796E-3</v>
      </c>
      <c r="R721" s="40">
        <f t="shared" si="137"/>
        <v>-8.0439988027535825E-3</v>
      </c>
      <c r="S721" s="40">
        <f t="shared" si="138"/>
        <v>8.1882135855150268E-3</v>
      </c>
      <c r="T721" s="41">
        <f t="shared" si="139"/>
        <v>-2.4997845013361455E-3</v>
      </c>
      <c r="V721" s="39">
        <f t="shared" si="141"/>
        <v>6.9774366011210323E-3</v>
      </c>
      <c r="W721" s="40" cm="1">
        <f t="array" ref="W721">IF(M721="","",SUMPRODUCT(M721:T721,TRANSPOSE('04_Dashboard'!$C$53:$C$60)))</f>
        <v>7.7105999236428573E-4</v>
      </c>
      <c r="X721" s="42">
        <f t="shared" si="142"/>
        <v>1.8204114109194671</v>
      </c>
      <c r="Y721" s="118">
        <f t="shared" si="143"/>
        <v>2.0085276443474585</v>
      </c>
      <c r="AA721" s="43">
        <f>IF(X721="","",X721/MAX($X$4:X721)-1)</f>
        <v>0</v>
      </c>
      <c r="AB721" s="44">
        <f>IF(Y721="","",Y721/MAX($Y$4:Y721)-1)</f>
        <v>0</v>
      </c>
    </row>
    <row r="722" spans="1:28" x14ac:dyDescent="0.45">
      <c r="A722" s="121">
        <v>46248</v>
      </c>
      <c r="B722" s="124">
        <v>776.34</v>
      </c>
      <c r="C722" s="124">
        <v>305.93</v>
      </c>
      <c r="D722" s="124">
        <v>495.4</v>
      </c>
      <c r="E722" s="124">
        <v>362.84</v>
      </c>
      <c r="F722" s="124">
        <v>160.1</v>
      </c>
      <c r="G722" s="124">
        <v>260.35000000000002</v>
      </c>
      <c r="H722" s="124">
        <v>262.64999999999998</v>
      </c>
      <c r="I722" s="124">
        <v>87.71</v>
      </c>
      <c r="J722" s="125">
        <v>115.27</v>
      </c>
      <c r="L722" s="39">
        <f t="shared" si="140"/>
        <v>-1.9797398056254998E-3</v>
      </c>
      <c r="M722" s="40">
        <f t="shared" si="132"/>
        <v>2.1948502915547924E-3</v>
      </c>
      <c r="N722" s="40">
        <f t="shared" si="133"/>
        <v>-2.978586379005028E-3</v>
      </c>
      <c r="O722" s="40">
        <f t="shared" si="134"/>
        <v>-7.4357632673305231E-4</v>
      </c>
      <c r="P722" s="40">
        <f t="shared" si="135"/>
        <v>9.3941113422859879E-3</v>
      </c>
      <c r="Q722" s="40">
        <f t="shared" si="136"/>
        <v>-6.6010378510377036E-3</v>
      </c>
      <c r="R722" s="40">
        <f t="shared" si="137"/>
        <v>-9.3539018594652364E-3</v>
      </c>
      <c r="S722" s="40">
        <f t="shared" si="138"/>
        <v>3.3173186913748802E-3</v>
      </c>
      <c r="T722" s="41">
        <f t="shared" si="139"/>
        <v>-3.888696854476347E-3</v>
      </c>
      <c r="V722" s="39">
        <f t="shared" si="141"/>
        <v>-1.9797398056254998E-3</v>
      </c>
      <c r="W722" s="40" cm="1">
        <f t="array" ref="W722">IF(M722="","",SUMPRODUCT(M722:T722,TRANSPOSE('04_Dashboard'!$C$53:$C$60)))</f>
        <v>-2.1324645176428398E-3</v>
      </c>
      <c r="X722" s="42">
        <f t="shared" si="142"/>
        <v>1.816807469986655</v>
      </c>
      <c r="Y722" s="118">
        <f t="shared" si="143"/>
        <v>2.0042445304131826</v>
      </c>
      <c r="AA722" s="43">
        <f>IF(X722="","",X722/MAX($X$4:X722)-1)</f>
        <v>-1.9797398056254911E-3</v>
      </c>
      <c r="AB722" s="44">
        <f>IF(Y722="","",Y722/MAX($Y$4:Y722)-1)</f>
        <v>-2.1324645176429291E-3</v>
      </c>
    </row>
    <row r="723" spans="1:28" x14ac:dyDescent="0.45">
      <c r="A723" s="121">
        <v>46251</v>
      </c>
      <c r="B723" s="124">
        <v>772.67</v>
      </c>
      <c r="C723" s="124">
        <v>305.58999999999997</v>
      </c>
      <c r="D723" s="124">
        <v>480.35</v>
      </c>
      <c r="E723" s="124">
        <v>360.96</v>
      </c>
      <c r="F723" s="124">
        <v>161.46</v>
      </c>
      <c r="G723" s="124">
        <v>262.37</v>
      </c>
      <c r="H723" s="124">
        <v>261.31</v>
      </c>
      <c r="I723" s="124">
        <v>86.98</v>
      </c>
      <c r="J723" s="125">
        <v>114.33</v>
      </c>
      <c r="L723" s="39">
        <f t="shared" si="140"/>
        <v>-4.7273101991396459E-3</v>
      </c>
      <c r="M723" s="40">
        <f t="shared" si="132"/>
        <v>-1.1113653450136691E-3</v>
      </c>
      <c r="N723" s="40">
        <f t="shared" si="133"/>
        <v>-3.0379491320145245E-2</v>
      </c>
      <c r="O723" s="40">
        <f t="shared" si="134"/>
        <v>-5.1813471502590554E-3</v>
      </c>
      <c r="P723" s="40">
        <f t="shared" si="135"/>
        <v>8.4946908182386861E-3</v>
      </c>
      <c r="Q723" s="40">
        <f t="shared" si="136"/>
        <v>7.7587862492797454E-3</v>
      </c>
      <c r="R723" s="40">
        <f t="shared" si="137"/>
        <v>-5.1018465638681711E-3</v>
      </c>
      <c r="S723" s="40">
        <f t="shared" si="138"/>
        <v>-8.3228822255157885E-3</v>
      </c>
      <c r="T723" s="41">
        <f t="shared" si="139"/>
        <v>-8.1547670686214786E-3</v>
      </c>
      <c r="V723" s="39">
        <f t="shared" si="141"/>
        <v>-4.7273101991396459E-3</v>
      </c>
      <c r="W723" s="40" cm="1">
        <f t="array" ref="W723">IF(M723="","",SUMPRODUCT(M723:T723,TRANSPOSE('04_Dashboard'!$C$53:$C$60)))</f>
        <v>-3.7476372685680886E-3</v>
      </c>
      <c r="X723" s="42">
        <f t="shared" si="142"/>
        <v>1.808218857503914</v>
      </c>
      <c r="Y723" s="118">
        <f t="shared" si="143"/>
        <v>1.9967333489156824</v>
      </c>
      <c r="AA723" s="43">
        <f>IF(X723="","",X723/MAX($X$4:X723)-1)</f>
        <v>-6.6976911605903799E-3</v>
      </c>
      <c r="AB723" s="44">
        <f>IF(Y723="","",Y723/MAX($Y$4:Y723)-1)</f>
        <v>-5.8721100827107131E-3</v>
      </c>
    </row>
    <row r="724" spans="1:28" x14ac:dyDescent="0.45">
      <c r="A724" s="121">
        <v>46252</v>
      </c>
      <c r="B724" s="124">
        <v>767.45</v>
      </c>
      <c r="C724" s="124">
        <v>310.02999999999997</v>
      </c>
      <c r="D724" s="124">
        <v>481.63</v>
      </c>
      <c r="E724" s="124">
        <v>363.25</v>
      </c>
      <c r="F724" s="124">
        <v>165.56</v>
      </c>
      <c r="G724" s="124">
        <v>271.11</v>
      </c>
      <c r="H724" s="124">
        <v>259.45</v>
      </c>
      <c r="I724" s="124">
        <v>88.82</v>
      </c>
      <c r="J724" s="125">
        <v>115.2</v>
      </c>
      <c r="L724" s="39">
        <f t="shared" si="140"/>
        <v>-6.7557948412645943E-3</v>
      </c>
      <c r="M724" s="40">
        <f t="shared" si="132"/>
        <v>1.4529271245786832E-2</v>
      </c>
      <c r="N724" s="40">
        <f t="shared" si="133"/>
        <v>2.6647236390131626E-3</v>
      </c>
      <c r="O724" s="40">
        <f t="shared" si="134"/>
        <v>6.3441932624114048E-3</v>
      </c>
      <c r="P724" s="40">
        <f t="shared" si="135"/>
        <v>2.5393286262851443E-2</v>
      </c>
      <c r="Q724" s="40">
        <f t="shared" si="136"/>
        <v>3.3311735335594804E-2</v>
      </c>
      <c r="R724" s="40">
        <f t="shared" si="137"/>
        <v>-7.1179824729249302E-3</v>
      </c>
      <c r="S724" s="40">
        <f t="shared" si="138"/>
        <v>2.1154288342147495E-2</v>
      </c>
      <c r="T724" s="41">
        <f t="shared" si="139"/>
        <v>7.6095512988717268E-3</v>
      </c>
      <c r="V724" s="39">
        <f t="shared" si="141"/>
        <v>-6.7557948412645943E-3</v>
      </c>
      <c r="W724" s="40" cm="1">
        <f t="array" ref="W724">IF(M724="","",SUMPRODUCT(M724:T724,TRANSPOSE('04_Dashboard'!$C$53:$C$60)))</f>
        <v>1.5160831896589899E-2</v>
      </c>
      <c r="X724" s="42">
        <f t="shared" si="142"/>
        <v>1.7960029018745118</v>
      </c>
      <c r="Y724" s="118">
        <f t="shared" si="143"/>
        <v>2.027005487560908</v>
      </c>
      <c r="AA724" s="43">
        <f>IF(X724="","",X724/MAX($X$4:X724)-1)</f>
        <v>-1.340823777446376E-2</v>
      </c>
      <c r="AB724" s="44">
        <f>IF(Y724="","",Y724/MAX($Y$4:Y724)-1)</f>
        <v>0</v>
      </c>
    </row>
    <row r="725" spans="1:28" x14ac:dyDescent="0.45">
      <c r="A725" s="121">
        <v>46253</v>
      </c>
      <c r="B725" s="124">
        <v>769.06</v>
      </c>
      <c r="C725" s="124">
        <v>316.83</v>
      </c>
      <c r="D725" s="124">
        <v>484.31</v>
      </c>
      <c r="E725" s="124">
        <v>357.26</v>
      </c>
      <c r="F725" s="124">
        <v>164.77</v>
      </c>
      <c r="G725" s="124">
        <v>273.41000000000003</v>
      </c>
      <c r="H725" s="124">
        <v>265.83999999999997</v>
      </c>
      <c r="I725" s="124">
        <v>90.35</v>
      </c>
      <c r="J725" s="125">
        <v>114.3</v>
      </c>
      <c r="L725" s="39">
        <f t="shared" si="140"/>
        <v>2.0978565378850737E-3</v>
      </c>
      <c r="M725" s="40">
        <f t="shared" si="132"/>
        <v>2.1933361287617366E-2</v>
      </c>
      <c r="N725" s="40">
        <f t="shared" si="133"/>
        <v>5.564437431223152E-3</v>
      </c>
      <c r="O725" s="40">
        <f t="shared" si="134"/>
        <v>-1.6490020646937397E-2</v>
      </c>
      <c r="P725" s="40">
        <f t="shared" si="135"/>
        <v>-4.7716839816380283E-3</v>
      </c>
      <c r="Q725" s="40">
        <f t="shared" si="136"/>
        <v>8.4836413263989201E-3</v>
      </c>
      <c r="R725" s="40">
        <f t="shared" si="137"/>
        <v>2.4629022933127718E-2</v>
      </c>
      <c r="S725" s="40">
        <f t="shared" si="138"/>
        <v>1.7225850033776191E-2</v>
      </c>
      <c r="T725" s="41">
        <f t="shared" si="139"/>
        <v>-7.8125000000000486E-3</v>
      </c>
      <c r="V725" s="39">
        <f t="shared" si="141"/>
        <v>2.0978565378850737E-3</v>
      </c>
      <c r="W725" s="40" cm="1">
        <f t="array" ref="W725">IF(M725="","",SUMPRODUCT(M725:T725,TRANSPOSE('04_Dashboard'!$C$53:$C$60)))</f>
        <v>2.5682931103058171E-3</v>
      </c>
      <c r="X725" s="42">
        <f t="shared" si="142"/>
        <v>1.7997706583042699</v>
      </c>
      <c r="Y725" s="118">
        <f t="shared" si="143"/>
        <v>2.0322114317891624</v>
      </c>
      <c r="AA725" s="43">
        <f>IF(X725="","",X725/MAX($X$4:X725)-1)</f>
        <v>-1.1338509795855378E-2</v>
      </c>
      <c r="AB725" s="44">
        <f>IF(Y725="","",Y725/MAX($Y$4:Y725)-1)</f>
        <v>0</v>
      </c>
    </row>
    <row r="726" spans="1:28" x14ac:dyDescent="0.45">
      <c r="A726" s="121">
        <v>46254</v>
      </c>
      <c r="B726" s="124">
        <v>762.6</v>
      </c>
      <c r="C726" s="124">
        <v>311.3</v>
      </c>
      <c r="D726" s="124">
        <v>481.15</v>
      </c>
      <c r="E726" s="124">
        <v>351.55</v>
      </c>
      <c r="F726" s="124">
        <v>166.15</v>
      </c>
      <c r="G726" s="124">
        <v>267.37</v>
      </c>
      <c r="H726" s="124">
        <v>260.11</v>
      </c>
      <c r="I726" s="124">
        <v>90.5</v>
      </c>
      <c r="J726" s="125">
        <v>103.84</v>
      </c>
      <c r="L726" s="39">
        <f t="shared" si="140"/>
        <v>-8.3998647699788358E-3</v>
      </c>
      <c r="M726" s="40">
        <f t="shared" si="132"/>
        <v>-1.7454155225199549E-2</v>
      </c>
      <c r="N726" s="40">
        <f t="shared" si="133"/>
        <v>-6.5247465466334066E-3</v>
      </c>
      <c r="O726" s="40">
        <f t="shared" si="134"/>
        <v>-1.5982757655488941E-2</v>
      </c>
      <c r="P726" s="40">
        <f t="shared" si="135"/>
        <v>8.375311039630972E-3</v>
      </c>
      <c r="Q726" s="40">
        <f t="shared" si="136"/>
        <v>-2.209136461724158E-2</v>
      </c>
      <c r="R726" s="40">
        <f t="shared" si="137"/>
        <v>-2.1554318386999557E-2</v>
      </c>
      <c r="S726" s="40">
        <f t="shared" si="138"/>
        <v>1.6602102933038815E-3</v>
      </c>
      <c r="T726" s="41">
        <f t="shared" si="139"/>
        <v>-9.1513560804899335E-2</v>
      </c>
      <c r="V726" s="39">
        <f t="shared" si="141"/>
        <v>-8.3998647699788358E-3</v>
      </c>
      <c r="W726" s="40" cm="1">
        <f t="array" ref="W726">IF(M726="","",SUMPRODUCT(M726:T726,TRANSPOSE('04_Dashboard'!$C$53:$C$60)))</f>
        <v>-2.4162841027137429E-2</v>
      </c>
      <c r="X726" s="42">
        <f t="shared" si="142"/>
        <v>1.7846528281575382</v>
      </c>
      <c r="Y726" s="118">
        <f t="shared" si="143"/>
        <v>1.9831074300293097</v>
      </c>
      <c r="AA726" s="43">
        <f>IF(X726="","",X726/MAX($X$4:X726)-1)</f>
        <v>-1.9643132616855907E-2</v>
      </c>
      <c r="AB726" s="44">
        <f>IF(Y726="","",Y726/MAX($Y$4:Y726)-1)</f>
        <v>-2.4162841027137394E-2</v>
      </c>
    </row>
    <row r="727" spans="1:28" x14ac:dyDescent="0.45">
      <c r="A727" s="121">
        <v>46255</v>
      </c>
      <c r="B727" s="124">
        <v>765.72</v>
      </c>
      <c r="C727" s="124">
        <v>309.35000000000002</v>
      </c>
      <c r="D727" s="124">
        <v>483.24</v>
      </c>
      <c r="E727" s="124">
        <v>351.58</v>
      </c>
      <c r="F727" s="124">
        <v>165.11</v>
      </c>
      <c r="G727" s="124">
        <v>270.24</v>
      </c>
      <c r="H727" s="124">
        <v>258.63</v>
      </c>
      <c r="I727" s="124">
        <v>91.1</v>
      </c>
      <c r="J727" s="125">
        <v>103.7</v>
      </c>
      <c r="L727" s="39">
        <f t="shared" si="140"/>
        <v>4.0912667191188102E-3</v>
      </c>
      <c r="M727" s="40">
        <f t="shared" si="132"/>
        <v>-6.2640539672341421E-3</v>
      </c>
      <c r="N727" s="40">
        <f t="shared" si="133"/>
        <v>4.3437597422841777E-3</v>
      </c>
      <c r="O727" s="40">
        <f t="shared" si="134"/>
        <v>8.5336367515211824E-5</v>
      </c>
      <c r="P727" s="40">
        <f t="shared" si="135"/>
        <v>-6.2594041528738608E-3</v>
      </c>
      <c r="Q727" s="40">
        <f t="shared" si="136"/>
        <v>1.0734188577626527E-2</v>
      </c>
      <c r="R727" s="40">
        <f t="shared" si="137"/>
        <v>-5.6899004267426017E-3</v>
      </c>
      <c r="S727" s="40">
        <f t="shared" si="138"/>
        <v>6.629834254143584E-3</v>
      </c>
      <c r="T727" s="41">
        <f t="shared" si="139"/>
        <v>-1.3482280431433029E-3</v>
      </c>
      <c r="V727" s="39">
        <f t="shared" si="141"/>
        <v>4.0912667191188102E-3</v>
      </c>
      <c r="W727" s="40" cm="1">
        <f t="array" ref="W727">IF(M727="","",SUMPRODUCT(M727:T727,TRANSPOSE('04_Dashboard'!$C$53:$C$60)))</f>
        <v>2.5267767420624246E-3</v>
      </c>
      <c r="X727" s="42">
        <f t="shared" si="142"/>
        <v>1.7919543188785605</v>
      </c>
      <c r="Y727" s="118">
        <f t="shared" si="143"/>
        <v>1.9881182997605191</v>
      </c>
      <c r="AA727" s="43">
        <f>IF(X727="","",X727/MAX($X$4:X727)-1)</f>
        <v>-1.5632231192471702E-2</v>
      </c>
      <c r="AB727" s="44">
        <f>IF(Y727="","",Y727/MAX($Y$4:Y727)-1)</f>
        <v>-2.1697118389804371E-2</v>
      </c>
    </row>
    <row r="728" spans="1:28" x14ac:dyDescent="0.45">
      <c r="A728" s="121">
        <v>46258</v>
      </c>
      <c r="B728" s="124">
        <v>763.47</v>
      </c>
      <c r="C728" s="124">
        <v>310.33999999999997</v>
      </c>
      <c r="D728" s="124">
        <v>487.31</v>
      </c>
      <c r="E728" s="124">
        <v>356.39</v>
      </c>
      <c r="F728" s="124">
        <v>164.05</v>
      </c>
      <c r="G728" s="124">
        <v>273.04000000000002</v>
      </c>
      <c r="H728" s="124">
        <v>262.07</v>
      </c>
      <c r="I728" s="124">
        <v>91.99</v>
      </c>
      <c r="J728" s="125">
        <v>106.49</v>
      </c>
      <c r="L728" s="39">
        <f t="shared" si="140"/>
        <v>-2.938410907381288E-3</v>
      </c>
      <c r="M728" s="40">
        <f t="shared" si="132"/>
        <v>3.2002586067559468E-3</v>
      </c>
      <c r="N728" s="40">
        <f t="shared" si="133"/>
        <v>8.4223160334409262E-3</v>
      </c>
      <c r="O728" s="40">
        <f t="shared" si="134"/>
        <v>1.368109676318335E-2</v>
      </c>
      <c r="P728" s="40">
        <f t="shared" si="135"/>
        <v>-6.4199624492762529E-3</v>
      </c>
      <c r="Q728" s="40">
        <f t="shared" si="136"/>
        <v>1.0361160449970439E-2</v>
      </c>
      <c r="R728" s="40">
        <f t="shared" si="137"/>
        <v>1.3300854502571232E-2</v>
      </c>
      <c r="S728" s="40">
        <f t="shared" si="138"/>
        <v>9.7694840834248141E-3</v>
      </c>
      <c r="T728" s="41">
        <f t="shared" si="139"/>
        <v>2.6904532304725091E-2</v>
      </c>
      <c r="V728" s="39">
        <f t="shared" si="141"/>
        <v>-2.938410907381288E-3</v>
      </c>
      <c r="W728" s="40" cm="1">
        <f t="array" ref="W728">IF(M728="","",SUMPRODUCT(M728:T728,TRANSPOSE('04_Dashboard'!$C$53:$C$60)))</f>
        <v>1.222470570077849E-2</v>
      </c>
      <c r="X728" s="42">
        <f t="shared" si="142"/>
        <v>1.7866888207624387</v>
      </c>
      <c r="Y728" s="118">
        <f t="shared" si="143"/>
        <v>2.0124224608734238</v>
      </c>
      <c r="AA728" s="43">
        <f>IF(X728="","",X728/MAX($X$4:X728)-1)</f>
        <v>-1.8524708181210325E-2</v>
      </c>
      <c r="AB728" s="44">
        <f>IF(Y728="","",Y728/MAX($Y$4:Y728)-1)</f>
        <v>-9.7376535758960658E-3</v>
      </c>
    </row>
    <row r="729" spans="1:28" x14ac:dyDescent="0.45">
      <c r="A729" s="121">
        <v>46259</v>
      </c>
      <c r="B729" s="124">
        <v>765.91</v>
      </c>
      <c r="C729" s="124">
        <v>309.89999999999998</v>
      </c>
      <c r="D729" s="124">
        <v>491.71</v>
      </c>
      <c r="E729" s="124">
        <v>356.69</v>
      </c>
      <c r="F729" s="124">
        <v>160.63999999999999</v>
      </c>
      <c r="G729" s="124">
        <v>273.14</v>
      </c>
      <c r="H729" s="124">
        <v>261.06</v>
      </c>
      <c r="I729" s="124">
        <v>91.64</v>
      </c>
      <c r="J729" s="125">
        <v>105.38</v>
      </c>
      <c r="L729" s="39">
        <f t="shared" si="140"/>
        <v>3.1959343523647829E-3</v>
      </c>
      <c r="M729" s="40">
        <f t="shared" si="132"/>
        <v>-1.4177998324418307E-3</v>
      </c>
      <c r="N729" s="40">
        <f t="shared" si="133"/>
        <v>9.02916008290406E-3</v>
      </c>
      <c r="O729" s="40">
        <f t="shared" si="134"/>
        <v>8.4177446056289847E-4</v>
      </c>
      <c r="P729" s="40">
        <f t="shared" si="135"/>
        <v>-2.0786345626333587E-2</v>
      </c>
      <c r="Q729" s="40">
        <f t="shared" si="136"/>
        <v>3.6624670377954102E-4</v>
      </c>
      <c r="R729" s="40">
        <f t="shared" si="137"/>
        <v>-3.8539321555309306E-3</v>
      </c>
      <c r="S729" s="40">
        <f t="shared" si="138"/>
        <v>-3.8047613871072328E-3</v>
      </c>
      <c r="T729" s="41">
        <f t="shared" si="139"/>
        <v>-1.0423513944971353E-2</v>
      </c>
      <c r="V729" s="39">
        <f t="shared" si="141"/>
        <v>3.1959343523647829E-3</v>
      </c>
      <c r="W729" s="40" cm="1">
        <f t="array" ref="W729">IF(M729="","",SUMPRODUCT(M729:T729,TRANSPOSE('04_Dashboard'!$C$53:$C$60)))</f>
        <v>-2.4808128762263981E-3</v>
      </c>
      <c r="X729" s="42">
        <f t="shared" si="142"/>
        <v>1.7923989609416997</v>
      </c>
      <c r="Y729" s="118">
        <f t="shared" si="143"/>
        <v>2.0074300173200816</v>
      </c>
      <c r="AA729" s="43">
        <f>IF(X729="","",X729/MAX($X$4:X729)-1)</f>
        <v>-1.5387977580089252E-2</v>
      </c>
      <c r="AB729" s="44">
        <f>IF(Y729="","",Y729/MAX($Y$4:Y729)-1)</f>
        <v>-1.2194309155747263E-2</v>
      </c>
    </row>
    <row r="730" spans="1:28" x14ac:dyDescent="0.45">
      <c r="A730" s="121">
        <v>46260</v>
      </c>
      <c r="B730" s="124">
        <v>766.08</v>
      </c>
      <c r="C730" s="124">
        <v>313.45</v>
      </c>
      <c r="D730" s="124">
        <v>496.37</v>
      </c>
      <c r="E730" s="124">
        <v>356.5</v>
      </c>
      <c r="F730" s="124">
        <v>158.19</v>
      </c>
      <c r="G730" s="124">
        <v>270</v>
      </c>
      <c r="H730" s="124">
        <v>260.27999999999997</v>
      </c>
      <c r="I730" s="124">
        <v>90.08</v>
      </c>
      <c r="J730" s="125">
        <v>104.34</v>
      </c>
      <c r="L730" s="39">
        <f t="shared" si="140"/>
        <v>2.2195819352152703E-4</v>
      </c>
      <c r="M730" s="40">
        <f t="shared" si="132"/>
        <v>1.1455308163923884E-2</v>
      </c>
      <c r="N730" s="40">
        <f t="shared" si="133"/>
        <v>9.4771308291473136E-3</v>
      </c>
      <c r="O730" s="40">
        <f t="shared" si="134"/>
        <v>-5.3267543244833813E-4</v>
      </c>
      <c r="P730" s="40">
        <f t="shared" si="135"/>
        <v>-1.5251494023904313E-2</v>
      </c>
      <c r="Q730" s="40">
        <f t="shared" si="136"/>
        <v>-1.1495936149959678E-2</v>
      </c>
      <c r="R730" s="40">
        <f t="shared" si="137"/>
        <v>-2.9878188922088009E-3</v>
      </c>
      <c r="S730" s="40">
        <f t="shared" si="138"/>
        <v>-1.702313400261897E-2</v>
      </c>
      <c r="T730" s="41">
        <f t="shared" si="139"/>
        <v>-9.8690453596507119E-3</v>
      </c>
      <c r="V730" s="39">
        <f t="shared" si="141"/>
        <v>2.2195819352152703E-4</v>
      </c>
      <c r="W730" s="40" cm="1">
        <f t="array" ref="W730">IF(M730="","",SUMPRODUCT(M730:T730,TRANSPOSE('04_Dashboard'!$C$53:$C$60)))</f>
        <v>-6.3055747530735588E-3</v>
      </c>
      <c r="X730" s="42">
        <f t="shared" si="142"/>
        <v>1.79279679857714</v>
      </c>
      <c r="Y730" s="118">
        <f t="shared" si="143"/>
        <v>1.994772017284306</v>
      </c>
      <c r="AA730" s="43">
        <f>IF(X730="","",X730/MAX($X$4:X730)-1)</f>
        <v>-1.5169434874273469E-2</v>
      </c>
      <c r="AB730" s="44">
        <f>IF(Y730="","",Y730/MAX($Y$4:Y730)-1)</f>
        <v>-1.8422991780877251E-2</v>
      </c>
    </row>
    <row r="731" spans="1:28" x14ac:dyDescent="0.45">
      <c r="A731" s="121">
        <v>46261</v>
      </c>
      <c r="B731" s="124">
        <v>771.1</v>
      </c>
      <c r="C731" s="124">
        <v>314.58</v>
      </c>
      <c r="D731" s="124">
        <v>505.06</v>
      </c>
      <c r="E731" s="124">
        <v>354.22</v>
      </c>
      <c r="F731" s="124">
        <v>156.44</v>
      </c>
      <c r="G731" s="124">
        <v>265.77</v>
      </c>
      <c r="H731" s="124">
        <v>256.26</v>
      </c>
      <c r="I731" s="124">
        <v>89.06</v>
      </c>
      <c r="J731" s="125">
        <v>102.63</v>
      </c>
      <c r="L731" s="39">
        <f t="shared" si="140"/>
        <v>6.552840434419358E-3</v>
      </c>
      <c r="M731" s="40">
        <f t="shared" si="132"/>
        <v>3.6050406763439001E-3</v>
      </c>
      <c r="N731" s="40">
        <f t="shared" si="133"/>
        <v>1.7507101557306039E-2</v>
      </c>
      <c r="O731" s="40">
        <f t="shared" si="134"/>
        <v>-6.3955119214585488E-3</v>
      </c>
      <c r="P731" s="40">
        <f t="shared" si="135"/>
        <v>-1.1062646184967445E-2</v>
      </c>
      <c r="Q731" s="40">
        <f t="shared" si="136"/>
        <v>-1.5666666666666735E-2</v>
      </c>
      <c r="R731" s="40">
        <f t="shared" si="137"/>
        <v>-1.5444905486399194E-2</v>
      </c>
      <c r="S731" s="40">
        <f t="shared" si="138"/>
        <v>-1.1323268206039032E-2</v>
      </c>
      <c r="T731" s="41">
        <f t="shared" si="139"/>
        <v>-1.6388729154686678E-2</v>
      </c>
      <c r="V731" s="39">
        <f t="shared" si="141"/>
        <v>6.552840434419358E-3</v>
      </c>
      <c r="W731" s="40" cm="1">
        <f t="array" ref="W731">IF(M731="","",SUMPRODUCT(M731:T731,TRANSPOSE('04_Dashboard'!$C$53:$C$60)))</f>
        <v>-9.402841274400154E-3</v>
      </c>
      <c r="X731" s="42">
        <f t="shared" si="142"/>
        <v>1.8045447099295537</v>
      </c>
      <c r="Y731" s="118">
        <f t="shared" si="143"/>
        <v>1.9760154926271667</v>
      </c>
      <c r="AA731" s="43">
        <f>IF(X731="","",X731/MAX($X$4:X731)-1)</f>
        <v>-8.7159973260656498E-3</v>
      </c>
      <c r="AB731" s="44">
        <f>IF(Y731="","",Y731/MAX($Y$4:Y731)-1)</f>
        <v>-2.7652604587762197E-2</v>
      </c>
    </row>
    <row r="732" spans="1:28" x14ac:dyDescent="0.45">
      <c r="A732" s="121">
        <v>46262</v>
      </c>
      <c r="B732" s="124">
        <v>769.35</v>
      </c>
      <c r="C732" s="124">
        <v>319.7</v>
      </c>
      <c r="D732" s="124">
        <v>513.53</v>
      </c>
      <c r="E732" s="124">
        <v>357.62</v>
      </c>
      <c r="F732" s="124">
        <v>156.71</v>
      </c>
      <c r="G732" s="124">
        <v>268.04000000000002</v>
      </c>
      <c r="H732" s="124">
        <v>266.43</v>
      </c>
      <c r="I732" s="124">
        <v>89.66</v>
      </c>
      <c r="J732" s="125">
        <v>103.09</v>
      </c>
      <c r="L732" s="39">
        <f t="shared" si="140"/>
        <v>-2.2694851510828688E-3</v>
      </c>
      <c r="M732" s="40">
        <f t="shared" si="132"/>
        <v>1.6275669146163154E-2</v>
      </c>
      <c r="N732" s="40">
        <f t="shared" si="133"/>
        <v>1.6770284718647232E-2</v>
      </c>
      <c r="O732" s="40">
        <f t="shared" si="134"/>
        <v>9.5985545706057732E-3</v>
      </c>
      <c r="P732" s="40">
        <f t="shared" si="135"/>
        <v>1.7259013040143839E-3</v>
      </c>
      <c r="Q732" s="40">
        <f t="shared" si="136"/>
        <v>8.5412198517516597E-3</v>
      </c>
      <c r="R732" s="40">
        <f t="shared" si="137"/>
        <v>3.9686256146101682E-2</v>
      </c>
      <c r="S732" s="40">
        <f t="shared" si="138"/>
        <v>6.7370312149112321E-3</v>
      </c>
      <c r="T732" s="41">
        <f t="shared" si="139"/>
        <v>4.4821202377473253E-3</v>
      </c>
      <c r="V732" s="39">
        <f t="shared" si="141"/>
        <v>-2.2694851510828688E-3</v>
      </c>
      <c r="W732" s="40" cm="1">
        <f t="array" ref="W732">IF(M732="","",SUMPRODUCT(M732:T732,TRANSPOSE('04_Dashboard'!$C$53:$C$60)))</f>
        <v>1.0911838985278038E-2</v>
      </c>
      <c r="X732" s="42">
        <f t="shared" si="142"/>
        <v>1.8004493225059035</v>
      </c>
      <c r="Y732" s="118">
        <f t="shared" si="143"/>
        <v>1.9975774555151291</v>
      </c>
      <c r="AA732" s="43">
        <f>IF(X732="","",X732/MAX($X$4:X732)-1)</f>
        <v>-1.0965701650640036E-2</v>
      </c>
      <c r="AB732" s="44">
        <f>IF(Y732="","",Y732/MAX($Y$4:Y732)-1)</f>
        <v>-1.7042506371269361E-2</v>
      </c>
    </row>
    <row r="733" spans="1:28" x14ac:dyDescent="0.45">
      <c r="A733" s="121">
        <v>46265</v>
      </c>
      <c r="B733" s="124">
        <v>767.05</v>
      </c>
      <c r="C733" s="124">
        <v>316.85000000000002</v>
      </c>
      <c r="D733" s="124">
        <v>507.29</v>
      </c>
      <c r="E733" s="124">
        <v>356.02</v>
      </c>
      <c r="F733" s="124">
        <v>160.94999999999999</v>
      </c>
      <c r="G733" s="124">
        <v>265.85000000000002</v>
      </c>
      <c r="H733" s="124">
        <v>259.77</v>
      </c>
      <c r="I733" s="124">
        <v>88.67</v>
      </c>
      <c r="J733" s="125">
        <v>104.87</v>
      </c>
      <c r="L733" s="39">
        <f t="shared" si="140"/>
        <v>-2.9895366218237059E-3</v>
      </c>
      <c r="M733" s="40">
        <f t="shared" si="132"/>
        <v>-8.9146074444790922E-3</v>
      </c>
      <c r="N733" s="40">
        <f t="shared" si="133"/>
        <v>-1.2151188830253252E-2</v>
      </c>
      <c r="O733" s="40">
        <f t="shared" si="134"/>
        <v>-4.4740227056652947E-3</v>
      </c>
      <c r="P733" s="40">
        <f t="shared" si="135"/>
        <v>2.7056346117031334E-2</v>
      </c>
      <c r="Q733" s="40">
        <f t="shared" si="136"/>
        <v>-8.1704223250261068E-3</v>
      </c>
      <c r="R733" s="40">
        <f t="shared" si="137"/>
        <v>-2.4997185001689091E-2</v>
      </c>
      <c r="S733" s="40">
        <f t="shared" si="138"/>
        <v>-1.1041713138523254E-2</v>
      </c>
      <c r="T733" s="41">
        <f t="shared" si="139"/>
        <v>1.7266466194587264E-2</v>
      </c>
      <c r="V733" s="39">
        <f t="shared" si="141"/>
        <v>-2.9895366218237059E-3</v>
      </c>
      <c r="W733" s="40" cm="1">
        <f t="array" ref="W733">IF(M733="","",SUMPRODUCT(M733:T733,TRANSPOSE('04_Dashboard'!$C$53:$C$60)))</f>
        <v>-3.9310952352290193E-3</v>
      </c>
      <c r="X733" s="42">
        <f t="shared" si="142"/>
        <v>1.7950668133205345</v>
      </c>
      <c r="Y733" s="118">
        <f t="shared" si="143"/>
        <v>1.9897247882977527</v>
      </c>
      <c r="AA733" s="43">
        <f>IF(X733="","",X733/MAX($X$4:X733)-1)</f>
        <v>-1.3922455905795106E-2</v>
      </c>
      <c r="AB733" s="44">
        <f>IF(Y733="","",Y733/MAX($Y$4:Y733)-1)</f>
        <v>-2.0906605890905983E-2</v>
      </c>
    </row>
    <row r="734" spans="1:28" x14ac:dyDescent="0.45">
      <c r="A734" s="121">
        <v>46266</v>
      </c>
      <c r="B734" s="124">
        <v>761.78</v>
      </c>
      <c r="C734" s="124">
        <v>325.13</v>
      </c>
      <c r="D734" s="124">
        <v>501.02</v>
      </c>
      <c r="E734" s="124">
        <v>354.95</v>
      </c>
      <c r="F734" s="124">
        <v>164.55</v>
      </c>
      <c r="G734" s="124">
        <v>271.19</v>
      </c>
      <c r="H734" s="124">
        <v>254.92</v>
      </c>
      <c r="I734" s="124">
        <v>88</v>
      </c>
      <c r="J734" s="125">
        <v>105.92</v>
      </c>
      <c r="L734" s="39">
        <f t="shared" si="140"/>
        <v>-6.87047780457595E-3</v>
      </c>
      <c r="M734" s="40">
        <f t="shared" si="132"/>
        <v>2.6132239229919432E-2</v>
      </c>
      <c r="N734" s="40">
        <f t="shared" si="133"/>
        <v>-1.2359794200555971E-2</v>
      </c>
      <c r="O734" s="40">
        <f t="shared" si="134"/>
        <v>-3.0054491320712128E-3</v>
      </c>
      <c r="P734" s="40">
        <f t="shared" si="135"/>
        <v>2.2367194780988028E-2</v>
      </c>
      <c r="Q734" s="40">
        <f t="shared" si="136"/>
        <v>2.008651495204053E-2</v>
      </c>
      <c r="R734" s="40">
        <f t="shared" si="137"/>
        <v>-1.8670362243523097E-2</v>
      </c>
      <c r="S734" s="40">
        <f t="shared" si="138"/>
        <v>-7.5561069132739564E-3</v>
      </c>
      <c r="T734" s="41">
        <f t="shared" si="139"/>
        <v>1.0012396300181149E-2</v>
      </c>
      <c r="V734" s="39">
        <f t="shared" si="141"/>
        <v>-6.87047780457595E-3</v>
      </c>
      <c r="W734" s="40" cm="1">
        <f t="array" ref="W734">IF(M734="","",SUMPRODUCT(M734:T734,TRANSPOSE('04_Dashboard'!$C$53:$C$60)))</f>
        <v>4.7698892369732702E-3</v>
      </c>
      <c r="X734" s="42">
        <f t="shared" si="142"/>
        <v>1.7827338466218849</v>
      </c>
      <c r="Y734" s="118">
        <f t="shared" si="143"/>
        <v>1.9992155551499928</v>
      </c>
      <c r="AA734" s="43">
        <f>IF(X734="","",X734/MAX($X$4:X734)-1)</f>
        <v>-2.0697279786085154E-2</v>
      </c>
      <c r="AB734" s="44">
        <f>IF(Y734="","",Y734/MAX($Y$4:Y734)-1)</f>
        <v>-1.6236438848353463E-2</v>
      </c>
    </row>
    <row r="735" spans="1:28" x14ac:dyDescent="0.45">
      <c r="A735" s="121">
        <v>46267</v>
      </c>
      <c r="B735" s="124">
        <v>765.16</v>
      </c>
      <c r="C735" s="124">
        <v>324.95999999999998</v>
      </c>
      <c r="D735" s="124">
        <v>496.82</v>
      </c>
      <c r="E735" s="124">
        <v>356.22</v>
      </c>
      <c r="F735" s="124">
        <v>164.15</v>
      </c>
      <c r="G735" s="124">
        <v>275.20999999999998</v>
      </c>
      <c r="H735" s="124">
        <v>254.98</v>
      </c>
      <c r="I735" s="124">
        <v>88.24</v>
      </c>
      <c r="J735" s="125">
        <v>106.09</v>
      </c>
      <c r="L735" s="39">
        <f t="shared" si="140"/>
        <v>4.4369765549108608E-3</v>
      </c>
      <c r="M735" s="40">
        <f t="shared" si="132"/>
        <v>-5.2286777596658547E-4</v>
      </c>
      <c r="N735" s="40">
        <f t="shared" si="133"/>
        <v>-8.3828988862719826E-3</v>
      </c>
      <c r="O735" s="40">
        <f t="shared" si="134"/>
        <v>3.5779687279899669E-3</v>
      </c>
      <c r="P735" s="40">
        <f t="shared" si="135"/>
        <v>-2.4308720753570688E-3</v>
      </c>
      <c r="Q735" s="40">
        <f t="shared" si="136"/>
        <v>1.4823555440834772E-2</v>
      </c>
      <c r="R735" s="40">
        <f t="shared" si="137"/>
        <v>2.3536795857524823E-4</v>
      </c>
      <c r="S735" s="40">
        <f t="shared" si="138"/>
        <v>2.7272727272726689E-3</v>
      </c>
      <c r="T735" s="41">
        <f t="shared" si="139"/>
        <v>1.6049848942598349E-3</v>
      </c>
      <c r="V735" s="39">
        <f t="shared" si="141"/>
        <v>4.4369765549108608E-3</v>
      </c>
      <c r="W735" s="40" cm="1">
        <f t="array" ref="W735">IF(M735="","",SUMPRODUCT(M735:T735,TRANSPOSE('04_Dashboard'!$C$53:$C$60)))</f>
        <v>4.2787864267652157E-3</v>
      </c>
      <c r="X735" s="42">
        <f t="shared" si="142"/>
        <v>1.7906437949029923</v>
      </c>
      <c r="Y735" s="118">
        <f t="shared" si="143"/>
        <v>2.0077697715315468</v>
      </c>
      <c r="AA735" s="43">
        <f>IF(X735="","",X735/MAX($X$4:X735)-1)</f>
        <v>-1.6352136576335496E-2</v>
      </c>
      <c r="AB735" s="44">
        <f>IF(Y735="","",Y735/MAX($Y$4:Y735)-1)</f>
        <v>-1.2027124675751399E-2</v>
      </c>
    </row>
    <row r="736" spans="1:28" x14ac:dyDescent="0.45">
      <c r="A736" s="121">
        <v>46268</v>
      </c>
      <c r="B736" s="124">
        <v>773.17</v>
      </c>
      <c r="C736" s="124">
        <v>328.21</v>
      </c>
      <c r="D736" s="124">
        <v>510.12</v>
      </c>
      <c r="E736" s="124">
        <v>362.06</v>
      </c>
      <c r="F736" s="124">
        <v>162.21</v>
      </c>
      <c r="G736" s="124">
        <v>278.43</v>
      </c>
      <c r="H736" s="124">
        <v>258.89999999999998</v>
      </c>
      <c r="I736" s="124">
        <v>88.81</v>
      </c>
      <c r="J736" s="125">
        <v>108.42</v>
      </c>
      <c r="L736" s="39">
        <f t="shared" si="140"/>
        <v>1.0468398766271095E-2</v>
      </c>
      <c r="M736" s="40">
        <f t="shared" si="132"/>
        <v>1.0001230920728705E-2</v>
      </c>
      <c r="N736" s="40">
        <f t="shared" si="133"/>
        <v>2.6770258846262249E-2</v>
      </c>
      <c r="O736" s="40">
        <f t="shared" si="134"/>
        <v>1.6394363034079991E-2</v>
      </c>
      <c r="P736" s="40">
        <f t="shared" si="135"/>
        <v>-1.1818458726774278E-2</v>
      </c>
      <c r="Q736" s="40">
        <f t="shared" si="136"/>
        <v>1.1700156244322617E-2</v>
      </c>
      <c r="R736" s="40">
        <f t="shared" si="137"/>
        <v>1.5373754804298327E-2</v>
      </c>
      <c r="S736" s="40">
        <f t="shared" si="138"/>
        <v>6.4596554850408824E-3</v>
      </c>
      <c r="T736" s="41">
        <f t="shared" si="139"/>
        <v>2.196248468281646E-2</v>
      </c>
      <c r="V736" s="39">
        <f t="shared" si="141"/>
        <v>1.0468398766271095E-2</v>
      </c>
      <c r="W736" s="40" cm="1">
        <f t="array" ref="W736">IF(M736="","",SUMPRODUCT(M736:T736,TRANSPOSE('04_Dashboard'!$C$53:$C$60)))</f>
        <v>1.3544865013857491E-2</v>
      </c>
      <c r="X736" s="42">
        <f t="shared" si="142"/>
        <v>1.8093889681963857</v>
      </c>
      <c r="Y736" s="118">
        <f t="shared" si="143"/>
        <v>2.0349647420658448</v>
      </c>
      <c r="AA736" s="43">
        <f>IF(X736="","",X736/MAX($X$4:X736)-1)</f>
        <v>-6.0549184964261427E-3</v>
      </c>
      <c r="AB736" s="44">
        <f>IF(Y736="","",Y736/MAX($Y$4:Y736)-1)</f>
        <v>0</v>
      </c>
    </row>
    <row r="737" spans="1:28" x14ac:dyDescent="0.45">
      <c r="A737" s="121">
        <v>46269</v>
      </c>
      <c r="B737" s="124">
        <v>770.19</v>
      </c>
      <c r="C737" s="124">
        <v>319.97000000000003</v>
      </c>
      <c r="D737" s="124">
        <v>499.7</v>
      </c>
      <c r="E737" s="124">
        <v>358.64</v>
      </c>
      <c r="F737" s="124">
        <v>159.47</v>
      </c>
      <c r="G737" s="124">
        <v>275.23</v>
      </c>
      <c r="H737" s="124">
        <v>258.51</v>
      </c>
      <c r="I737" s="124">
        <v>88.07</v>
      </c>
      <c r="J737" s="125">
        <v>107.14</v>
      </c>
      <c r="L737" s="39">
        <f t="shared" si="140"/>
        <v>-3.8542623226456079E-3</v>
      </c>
      <c r="M737" s="40">
        <f t="shared" si="132"/>
        <v>-2.5105877334633171E-2</v>
      </c>
      <c r="N737" s="40">
        <f t="shared" si="133"/>
        <v>-2.0426566298125962E-2</v>
      </c>
      <c r="O737" s="40">
        <f t="shared" si="134"/>
        <v>-9.4459481853836815E-3</v>
      </c>
      <c r="P737" s="40">
        <f t="shared" si="135"/>
        <v>-1.6891683619998821E-2</v>
      </c>
      <c r="Q737" s="40">
        <f t="shared" si="136"/>
        <v>-1.1493014402183631E-2</v>
      </c>
      <c r="R737" s="40">
        <f t="shared" si="137"/>
        <v>-1.5063731170335511E-3</v>
      </c>
      <c r="S737" s="40">
        <f t="shared" si="138"/>
        <v>-8.332395000563101E-3</v>
      </c>
      <c r="T737" s="41">
        <f t="shared" si="139"/>
        <v>-1.180593986349383E-2</v>
      </c>
      <c r="V737" s="39">
        <f t="shared" si="141"/>
        <v>-3.8542623226456079E-3</v>
      </c>
      <c r="W737" s="40" cm="1">
        <f t="array" ref="W737">IF(M737="","",SUMPRODUCT(M737:T737,TRANSPOSE('04_Dashboard'!$C$53:$C$60)))</f>
        <v>-1.1507434941345795E-2</v>
      </c>
      <c r="X737" s="42">
        <f t="shared" si="142"/>
        <v>1.8024151084692557</v>
      </c>
      <c r="Y737" s="118">
        <f t="shared" si="143"/>
        <v>2.0115475176885895</v>
      </c>
      <c r="AA737" s="43">
        <f>IF(X737="","",X737/MAX($X$4:X737)-1)</f>
        <v>-9.8858435748443441E-3</v>
      </c>
      <c r="AB737" s="44">
        <f>IF(Y737="","",Y737/MAX($Y$4:Y737)-1)</f>
        <v>-1.1507434941345762E-2</v>
      </c>
    </row>
    <row r="738" spans="1:28" x14ac:dyDescent="0.45">
      <c r="A738" s="121">
        <v>46273</v>
      </c>
      <c r="B738" s="124">
        <v>765.96</v>
      </c>
      <c r="C738" s="124">
        <v>316.22000000000003</v>
      </c>
      <c r="D738" s="124">
        <v>493.95</v>
      </c>
      <c r="E738" s="124">
        <v>353.51</v>
      </c>
      <c r="F738" s="124">
        <v>160.66</v>
      </c>
      <c r="G738" s="124">
        <v>269.12</v>
      </c>
      <c r="H738" s="124">
        <v>256.97000000000003</v>
      </c>
      <c r="I738" s="124">
        <v>88.36</v>
      </c>
      <c r="J738" s="125">
        <v>106.05</v>
      </c>
      <c r="L738" s="39">
        <f t="shared" si="140"/>
        <v>-5.4921512873447043E-3</v>
      </c>
      <c r="M738" s="40">
        <f t="shared" si="132"/>
        <v>-1.1719848735818982E-2</v>
      </c>
      <c r="N738" s="40">
        <f t="shared" si="133"/>
        <v>-1.1506904142485492E-2</v>
      </c>
      <c r="O738" s="40">
        <f t="shared" si="134"/>
        <v>-1.4304037474905185E-2</v>
      </c>
      <c r="P738" s="40">
        <f t="shared" si="135"/>
        <v>7.4622185991095359E-3</v>
      </c>
      <c r="Q738" s="40">
        <f t="shared" si="136"/>
        <v>-2.2199614867565356E-2</v>
      </c>
      <c r="R738" s="40">
        <f t="shared" si="137"/>
        <v>-5.9572163552665805E-3</v>
      </c>
      <c r="S738" s="40">
        <f t="shared" si="138"/>
        <v>3.2928352446917938E-3</v>
      </c>
      <c r="T738" s="41">
        <f t="shared" si="139"/>
        <v>-1.0173604629456818E-2</v>
      </c>
      <c r="V738" s="39">
        <f t="shared" si="141"/>
        <v>-5.4921512873447043E-3</v>
      </c>
      <c r="W738" s="40" cm="1">
        <f t="array" ref="W738">IF(M738="","",SUMPRODUCT(M738:T738,TRANSPOSE('04_Dashboard'!$C$53:$C$60)))</f>
        <v>-1.1138189860581845E-2</v>
      </c>
      <c r="X738" s="42">
        <f t="shared" si="142"/>
        <v>1.7925159720109467</v>
      </c>
      <c r="Y738" s="118">
        <f t="shared" si="143"/>
        <v>1.9891425195229919</v>
      </c>
      <c r="AA738" s="43">
        <f>IF(X738="","",X738/MAX($X$4:X738)-1)</f>
        <v>-1.5323700313672917E-2</v>
      </c>
      <c r="AB738" s="44">
        <f>IF(Y738="","",Y738/MAX($Y$4:Y738)-1)</f>
        <v>-2.2517452806742666E-2</v>
      </c>
    </row>
    <row r="739" spans="1:28" x14ac:dyDescent="0.45">
      <c r="A739" s="121">
        <v>46274</v>
      </c>
      <c r="B739" s="124">
        <v>762.4</v>
      </c>
      <c r="C739" s="124">
        <v>315.33999999999997</v>
      </c>
      <c r="D739" s="124">
        <v>491.65</v>
      </c>
      <c r="E739" s="124">
        <v>354.71</v>
      </c>
      <c r="F739" s="124">
        <v>164.23</v>
      </c>
      <c r="G739" s="124">
        <v>267.08</v>
      </c>
      <c r="H739" s="124">
        <v>252.4</v>
      </c>
      <c r="I739" s="124">
        <v>87.55</v>
      </c>
      <c r="J739" s="125">
        <v>105.83</v>
      </c>
      <c r="L739" s="39">
        <f t="shared" si="140"/>
        <v>-4.6477622852369041E-3</v>
      </c>
      <c r="M739" s="40">
        <f t="shared" si="132"/>
        <v>-2.7828726835748916E-3</v>
      </c>
      <c r="N739" s="40">
        <f t="shared" si="133"/>
        <v>-4.6563417349934433E-3</v>
      </c>
      <c r="O739" s="40">
        <f t="shared" si="134"/>
        <v>3.394529150519048E-3</v>
      </c>
      <c r="P739" s="40">
        <f t="shared" si="135"/>
        <v>2.222083903896423E-2</v>
      </c>
      <c r="Q739" s="40">
        <f t="shared" si="136"/>
        <v>-7.5802615933413366E-3</v>
      </c>
      <c r="R739" s="40">
        <f t="shared" si="137"/>
        <v>-1.7784177141300622E-2</v>
      </c>
      <c r="S739" s="40">
        <f t="shared" si="138"/>
        <v>-9.167043911272094E-3</v>
      </c>
      <c r="T739" s="41">
        <f t="shared" si="139"/>
        <v>-2.0744931636020639E-3</v>
      </c>
      <c r="V739" s="39">
        <f t="shared" si="141"/>
        <v>-4.6477622852369041E-3</v>
      </c>
      <c r="W739" s="40" cm="1">
        <f t="array" ref="W739">IF(M739="","",SUMPRODUCT(M739:T739,TRANSPOSE('04_Dashboard'!$C$53:$C$60)))</f>
        <v>-3.2274653035119566E-3</v>
      </c>
      <c r="X739" s="42">
        <f t="shared" si="142"/>
        <v>1.7841847838805496</v>
      </c>
      <c r="Y739" s="118">
        <f t="shared" si="143"/>
        <v>1.9827226310574912</v>
      </c>
      <c r="AA739" s="43">
        <f>IF(X739="","",X739/MAX($X$4:X739)-1)</f>
        <v>-1.990024168252158E-2</v>
      </c>
      <c r="AB739" s="44">
        <f>IF(Y739="","",Y739/MAX($Y$4:Y739)-1)</f>
        <v>-2.5672243812597251E-2</v>
      </c>
    </row>
    <row r="740" spans="1:28" x14ac:dyDescent="0.45">
      <c r="A740" s="121">
        <v>46275</v>
      </c>
      <c r="B740" s="124">
        <v>757.83</v>
      </c>
      <c r="C740" s="124">
        <v>326.57</v>
      </c>
      <c r="D740" s="124">
        <v>492.44</v>
      </c>
      <c r="E740" s="124">
        <v>353.56</v>
      </c>
      <c r="F740" s="124">
        <v>165.23</v>
      </c>
      <c r="G740" s="124">
        <v>266.35000000000002</v>
      </c>
      <c r="H740" s="124">
        <v>251.89</v>
      </c>
      <c r="I740" s="124">
        <v>87.83</v>
      </c>
      <c r="J740" s="125">
        <v>105.73</v>
      </c>
      <c r="L740" s="39">
        <f t="shared" si="140"/>
        <v>-5.9942287513115641E-3</v>
      </c>
      <c r="M740" s="40">
        <f t="shared" si="132"/>
        <v>3.5612354918500726E-2</v>
      </c>
      <c r="N740" s="40">
        <f t="shared" si="133"/>
        <v>1.6068341299705492E-3</v>
      </c>
      <c r="O740" s="40">
        <f t="shared" si="134"/>
        <v>-3.2420850835893473E-3</v>
      </c>
      <c r="P740" s="40">
        <f t="shared" si="135"/>
        <v>6.0890214942458751E-3</v>
      </c>
      <c r="Q740" s="40">
        <f t="shared" si="136"/>
        <v>-2.7332634416652739E-3</v>
      </c>
      <c r="R740" s="40">
        <f t="shared" si="137"/>
        <v>-2.0206022187005518E-3</v>
      </c>
      <c r="S740" s="40">
        <f t="shared" si="138"/>
        <v>3.1981724728726573E-3</v>
      </c>
      <c r="T740" s="41">
        <f t="shared" si="139"/>
        <v>-9.4491165076060013E-4</v>
      </c>
      <c r="V740" s="39">
        <f t="shared" si="141"/>
        <v>-5.9942287513115641E-3</v>
      </c>
      <c r="W740" s="40" cm="1">
        <f t="array" ref="W740">IF(M740="","",SUMPRODUCT(M740:T740,TRANSPOSE('04_Dashboard'!$C$53:$C$60)))</f>
        <v>1.119324665821971E-3</v>
      </c>
      <c r="X740" s="42">
        <f t="shared" si="142"/>
        <v>1.7734899721513602</v>
      </c>
      <c r="Y740" s="118">
        <f t="shared" si="143"/>
        <v>1.9849419414039171</v>
      </c>
      <c r="AA740" s="43">
        <f>IF(X740="","",X740/MAX($X$4:X740)-1)</f>
        <v>-2.5775183832981718E-2</v>
      </c>
      <c r="AB740" s="44">
        <f>IF(Y740="","",Y740/MAX($Y$4:Y740)-1)</f>
        <v>-2.4581654722501844E-2</v>
      </c>
    </row>
    <row r="741" spans="1:28" x14ac:dyDescent="0.45">
      <c r="A741" s="121">
        <v>46276</v>
      </c>
      <c r="B741" s="124">
        <v>764.29</v>
      </c>
      <c r="C741" s="124">
        <v>332.27</v>
      </c>
      <c r="D741" s="124">
        <v>495.63</v>
      </c>
      <c r="E741" s="124">
        <v>356.23</v>
      </c>
      <c r="F741" s="124">
        <v>165.99</v>
      </c>
      <c r="G741" s="124">
        <v>265.58</v>
      </c>
      <c r="H741" s="124">
        <v>256.77999999999997</v>
      </c>
      <c r="I741" s="124">
        <v>88.29</v>
      </c>
      <c r="J741" s="125">
        <v>107.15</v>
      </c>
      <c r="L741" s="39">
        <f t="shared" si="140"/>
        <v>8.5243392317537209E-3</v>
      </c>
      <c r="M741" s="40">
        <f t="shared" si="132"/>
        <v>1.7454144593808337E-2</v>
      </c>
      <c r="N741" s="40">
        <f t="shared" si="133"/>
        <v>6.477946551864182E-3</v>
      </c>
      <c r="O741" s="40">
        <f t="shared" si="134"/>
        <v>7.5517592487838441E-3</v>
      </c>
      <c r="P741" s="40">
        <f t="shared" si="135"/>
        <v>4.5996489741573525E-3</v>
      </c>
      <c r="Q741" s="40">
        <f t="shared" si="136"/>
        <v>-2.8909329829173592E-3</v>
      </c>
      <c r="R741" s="40">
        <f t="shared" si="137"/>
        <v>1.9413235936321358E-2</v>
      </c>
      <c r="S741" s="40">
        <f t="shared" si="138"/>
        <v>5.237390413298508E-3</v>
      </c>
      <c r="T741" s="41">
        <f t="shared" si="139"/>
        <v>1.3430436016267868E-2</v>
      </c>
      <c r="V741" s="39">
        <f t="shared" si="141"/>
        <v>8.5243392317537209E-3</v>
      </c>
      <c r="W741" s="40" cm="1">
        <f t="array" ref="W741">IF(M741="","",SUMPRODUCT(M741:T741,TRANSPOSE('04_Dashboard'!$C$53:$C$60)))</f>
        <v>6.7605285736804868E-3</v>
      </c>
      <c r="X741" s="42">
        <f t="shared" si="142"/>
        <v>1.788607802298092</v>
      </c>
      <c r="Y741" s="118">
        <f t="shared" si="143"/>
        <v>1.9983611981158751</v>
      </c>
      <c r="AA741" s="43">
        <f>IF(X741="","",X741/MAX($X$4:X741)-1)</f>
        <v>-1.7470561011981078E-2</v>
      </c>
      <c r="AB741" s="44">
        <f>IF(Y741="","",Y741/MAX($Y$4:Y741)-1)</f>
        <v>-1.7987311127961259E-2</v>
      </c>
    </row>
    <row r="742" spans="1:28" x14ac:dyDescent="0.45">
      <c r="A742" s="121">
        <v>46279</v>
      </c>
      <c r="B742" s="124">
        <v>760.88</v>
      </c>
      <c r="C742" s="124">
        <v>333.08</v>
      </c>
      <c r="D742" s="124">
        <v>505.41</v>
      </c>
      <c r="E742" s="124">
        <v>350.13</v>
      </c>
      <c r="F742" s="124">
        <v>165.08</v>
      </c>
      <c r="G742" s="124">
        <v>266.32</v>
      </c>
      <c r="H742" s="124">
        <v>253.54</v>
      </c>
      <c r="I742" s="124">
        <v>89.35</v>
      </c>
      <c r="J742" s="125">
        <v>109.08</v>
      </c>
      <c r="L742" s="39">
        <f t="shared" si="140"/>
        <v>-4.4616572243519718E-3</v>
      </c>
      <c r="M742" s="40">
        <f t="shared" si="132"/>
        <v>2.4377765070575205E-3</v>
      </c>
      <c r="N742" s="40">
        <f t="shared" si="133"/>
        <v>1.9732461715392592E-2</v>
      </c>
      <c r="O742" s="40">
        <f t="shared" si="134"/>
        <v>-1.7123768351907539E-2</v>
      </c>
      <c r="P742" s="40">
        <f t="shared" si="135"/>
        <v>-5.4822579673474096E-3</v>
      </c>
      <c r="Q742" s="40">
        <f t="shared" si="136"/>
        <v>2.7863543941562207E-3</v>
      </c>
      <c r="R742" s="40">
        <f t="shared" si="137"/>
        <v>-1.2617805125009662E-2</v>
      </c>
      <c r="S742" s="40">
        <f t="shared" si="138"/>
        <v>1.2005889681730525E-2</v>
      </c>
      <c r="T742" s="41">
        <f t="shared" si="139"/>
        <v>1.8012132524498296E-2</v>
      </c>
      <c r="V742" s="39">
        <f t="shared" si="141"/>
        <v>-4.4616572243519718E-3</v>
      </c>
      <c r="W742" s="40" cm="1">
        <f t="array" ref="W742">IF(M742="","",SUMPRODUCT(M742:T742,TRANSPOSE('04_Dashboard'!$C$53:$C$60)))</f>
        <v>1.054754281839128E-3</v>
      </c>
      <c r="X742" s="42">
        <f t="shared" si="142"/>
        <v>1.7806276473754363</v>
      </c>
      <c r="Y742" s="118">
        <f t="shared" si="143"/>
        <v>2.000468978146249</v>
      </c>
      <c r="AA742" s="43">
        <f>IF(X742="","",X742/MAX($X$4:X742)-1)</f>
        <v>-2.1854270581580515E-2</v>
      </c>
      <c r="AB742" s="44">
        <f>IF(Y742="","",Y742/MAX($Y$4:Y742)-1)</f>
        <v>-1.6951529039552993E-2</v>
      </c>
    </row>
    <row r="743" spans="1:28" x14ac:dyDescent="0.45">
      <c r="A743" s="121">
        <v>46280</v>
      </c>
      <c r="B743" s="124">
        <v>757.39</v>
      </c>
      <c r="C743" s="124">
        <v>331.34</v>
      </c>
      <c r="D743" s="124">
        <v>497.12</v>
      </c>
      <c r="E743" s="124">
        <v>352.49</v>
      </c>
      <c r="F743" s="124">
        <v>169.32</v>
      </c>
      <c r="G743" s="124">
        <v>267.2</v>
      </c>
      <c r="H743" s="124">
        <v>248.42</v>
      </c>
      <c r="I743" s="124">
        <v>88.71</v>
      </c>
      <c r="J743" s="125">
        <v>108.09</v>
      </c>
      <c r="L743" s="39">
        <f t="shared" si="140"/>
        <v>-4.5867942382504592E-3</v>
      </c>
      <c r="M743" s="40">
        <f t="shared" si="132"/>
        <v>-5.2239702173652253E-3</v>
      </c>
      <c r="N743" s="40">
        <f t="shared" si="133"/>
        <v>-1.6402524682930731E-2</v>
      </c>
      <c r="O743" s="40">
        <f t="shared" si="134"/>
        <v>6.7403535829549414E-3</v>
      </c>
      <c r="P743" s="40">
        <f t="shared" si="135"/>
        <v>2.5684516598012967E-2</v>
      </c>
      <c r="Q743" s="40">
        <f t="shared" si="136"/>
        <v>3.3042955842595206E-3</v>
      </c>
      <c r="R743" s="40">
        <f t="shared" si="137"/>
        <v>-2.0194052220556934E-2</v>
      </c>
      <c r="S743" s="40">
        <f t="shared" si="138"/>
        <v>-7.1628427532176905E-3</v>
      </c>
      <c r="T743" s="41">
        <f t="shared" si="139"/>
        <v>-9.0759075907590296E-3</v>
      </c>
      <c r="V743" s="39">
        <f t="shared" si="141"/>
        <v>-4.5867942382504592E-3</v>
      </c>
      <c r="W743" s="40" cm="1">
        <f t="array" ref="W743">IF(M743="","",SUMPRODUCT(M743:T743,TRANSPOSE('04_Dashboard'!$C$53:$C$60)))</f>
        <v>-1.4775537111174908E-3</v>
      </c>
      <c r="X743" s="42">
        <f t="shared" si="142"/>
        <v>1.7724602747419851</v>
      </c>
      <c r="Y743" s="118">
        <f t="shared" si="143"/>
        <v>1.9975131777836137</v>
      </c>
      <c r="AA743" s="43">
        <f>IF(X743="","",X743/MAX($X$4:X743)-1)</f>
        <v>-2.6340823777446287E-2</v>
      </c>
      <c r="AB743" s="44">
        <f>IF(Y743="","",Y743/MAX($Y$4:Y743)-1)</f>
        <v>-1.8404035956029019E-2</v>
      </c>
    </row>
    <row r="744" spans="1:28" x14ac:dyDescent="0.45">
      <c r="A744" s="121">
        <v>46281</v>
      </c>
      <c r="B744" s="124">
        <v>754.05</v>
      </c>
      <c r="C744" s="124">
        <v>332.41</v>
      </c>
      <c r="D744" s="124">
        <v>490.3</v>
      </c>
      <c r="E744" s="124">
        <v>348.92</v>
      </c>
      <c r="F744" s="124">
        <v>163.32</v>
      </c>
      <c r="G744" s="124">
        <v>267.27999999999997</v>
      </c>
      <c r="H744" s="124">
        <v>245.96</v>
      </c>
      <c r="I744" s="124">
        <v>87.87</v>
      </c>
      <c r="J744" s="125">
        <v>107.5</v>
      </c>
      <c r="L744" s="39">
        <f t="shared" si="140"/>
        <v>-4.4098813028955117E-3</v>
      </c>
      <c r="M744" s="40">
        <f t="shared" si="132"/>
        <v>3.2293112814633009E-3</v>
      </c>
      <c r="N744" s="40">
        <f t="shared" si="133"/>
        <v>-1.3719021564209835E-2</v>
      </c>
      <c r="O744" s="40">
        <f t="shared" si="134"/>
        <v>-1.0127946892110395E-2</v>
      </c>
      <c r="P744" s="40">
        <f t="shared" si="135"/>
        <v>-3.543586109142452E-2</v>
      </c>
      <c r="Q744" s="40">
        <f t="shared" si="136"/>
        <v>2.9940119760473084E-4</v>
      </c>
      <c r="R744" s="40">
        <f t="shared" si="137"/>
        <v>-9.9025843329843804E-3</v>
      </c>
      <c r="S744" s="40">
        <f t="shared" si="138"/>
        <v>-9.4690564761581476E-3</v>
      </c>
      <c r="T744" s="41">
        <f t="shared" si="139"/>
        <v>-5.4584142843926674E-3</v>
      </c>
      <c r="V744" s="39">
        <f t="shared" si="141"/>
        <v>-4.4098813028955117E-3</v>
      </c>
      <c r="W744" s="40" cm="1">
        <f t="array" ref="W744">IF(M744="","",SUMPRODUCT(M744:T744,TRANSPOSE('04_Dashboard'!$C$53:$C$60)))</f>
        <v>-7.65721336291195E-3</v>
      </c>
      <c r="X744" s="42">
        <f t="shared" si="142"/>
        <v>1.7646439353162753</v>
      </c>
      <c r="Y744" s="118">
        <f t="shared" si="143"/>
        <v>1.9822177931860963</v>
      </c>
      <c r="AA744" s="43">
        <f>IF(X744="","",X744/MAX($X$4:X744)-1)</f>
        <v>-3.0634545174062833E-2</v>
      </c>
      <c r="AB744" s="44">
        <f>IF(Y744="","",Y744/MAX($Y$4:Y744)-1)</f>
        <v>-2.5920325688886914E-2</v>
      </c>
    </row>
    <row r="745" spans="1:28" x14ac:dyDescent="0.45">
      <c r="A745" s="121">
        <v>46282</v>
      </c>
      <c r="B745" s="124">
        <v>762.6</v>
      </c>
      <c r="C745" s="124">
        <v>337</v>
      </c>
      <c r="D745" s="124">
        <v>497.75</v>
      </c>
      <c r="E745" s="124">
        <v>349.31</v>
      </c>
      <c r="F745" s="124">
        <v>163.27000000000001</v>
      </c>
      <c r="G745" s="124">
        <v>270.22000000000003</v>
      </c>
      <c r="H745" s="124">
        <v>251.19</v>
      </c>
      <c r="I745" s="124">
        <v>88.06</v>
      </c>
      <c r="J745" s="125">
        <v>106.79</v>
      </c>
      <c r="L745" s="39">
        <f t="shared" si="140"/>
        <v>1.1338770638551911E-2</v>
      </c>
      <c r="M745" s="40">
        <f t="shared" si="132"/>
        <v>1.380824884931252E-2</v>
      </c>
      <c r="N745" s="40">
        <f t="shared" si="133"/>
        <v>1.5194778706914111E-2</v>
      </c>
      <c r="O745" s="40">
        <f t="shared" si="134"/>
        <v>1.1177347242920621E-3</v>
      </c>
      <c r="P745" s="40">
        <f t="shared" si="135"/>
        <v>-3.0614744060729213E-4</v>
      </c>
      <c r="Q745" s="40">
        <f t="shared" si="136"/>
        <v>1.0999700688416847E-2</v>
      </c>
      <c r="R745" s="40">
        <f t="shared" si="137"/>
        <v>2.1263620100829359E-2</v>
      </c>
      <c r="S745" s="40">
        <f t="shared" si="138"/>
        <v>2.1622851940366191E-3</v>
      </c>
      <c r="T745" s="41">
        <f t="shared" si="139"/>
        <v>-6.6046511627906399E-3</v>
      </c>
      <c r="V745" s="39">
        <f t="shared" si="141"/>
        <v>1.1338770638551911E-2</v>
      </c>
      <c r="W745" s="40" cm="1">
        <f t="array" ref="W745">IF(M745="","",SUMPRODUCT(M745:T745,TRANSPOSE('04_Dashboard'!$C$53:$C$60)))</f>
        <v>5.6076073961066446E-3</v>
      </c>
      <c r="X745" s="42">
        <f t="shared" si="142"/>
        <v>1.7846528281575382</v>
      </c>
      <c r="Y745" s="118">
        <f t="shared" si="143"/>
        <v>1.9933332923438609</v>
      </c>
      <c r="AA745" s="43">
        <f>IF(X745="","",X745/MAX($X$4:X745)-1)</f>
        <v>-1.9643132616855907E-2</v>
      </c>
      <c r="AB745" s="44">
        <f>IF(Y745="","",Y745/MAX($Y$4:Y745)-1)</f>
        <v>-2.045806930282279E-2</v>
      </c>
    </row>
    <row r="746" spans="1:28" x14ac:dyDescent="0.45">
      <c r="A746" s="121">
        <v>46283</v>
      </c>
      <c r="B746" s="124">
        <v>761.69</v>
      </c>
      <c r="C746" s="124">
        <v>336.13</v>
      </c>
      <c r="D746" s="124">
        <v>493.78</v>
      </c>
      <c r="E746" s="124">
        <v>349.67</v>
      </c>
      <c r="F746" s="124">
        <v>163.54</v>
      </c>
      <c r="G746" s="124">
        <v>269.99</v>
      </c>
      <c r="H746" s="124">
        <v>253.71</v>
      </c>
      <c r="I746" s="124">
        <v>88.25</v>
      </c>
      <c r="J746" s="125">
        <v>106.73</v>
      </c>
      <c r="L746" s="39">
        <f t="shared" si="140"/>
        <v>-1.1932861264096093E-3</v>
      </c>
      <c r="M746" s="40">
        <f t="shared" si="132"/>
        <v>-2.5816023738872537E-3</v>
      </c>
      <c r="N746" s="40">
        <f t="shared" si="133"/>
        <v>-7.9758915118031681E-3</v>
      </c>
      <c r="O746" s="40">
        <f t="shared" si="134"/>
        <v>1.030603189144352E-3</v>
      </c>
      <c r="P746" s="40">
        <f t="shared" si="135"/>
        <v>1.653702456054277E-3</v>
      </c>
      <c r="Q746" s="40">
        <f t="shared" si="136"/>
        <v>-8.5115831544674031E-4</v>
      </c>
      <c r="R746" s="40">
        <f t="shared" si="137"/>
        <v>1.0032246506628489E-2</v>
      </c>
      <c r="S746" s="40">
        <f t="shared" si="138"/>
        <v>2.1576198046786023E-3</v>
      </c>
      <c r="T746" s="41">
        <f t="shared" si="139"/>
        <v>-5.6185036052066922E-4</v>
      </c>
      <c r="V746" s="39">
        <f t="shared" si="141"/>
        <v>-1.1932861264096093E-3</v>
      </c>
      <c r="W746" s="40" cm="1">
        <f t="array" ref="W746">IF(M746="","",SUMPRODUCT(M746:T746,TRANSPOSE('04_Dashboard'!$C$53:$C$60)))</f>
        <v>3.9741890327490645E-4</v>
      </c>
      <c r="X746" s="42">
        <f t="shared" si="142"/>
        <v>1.7825232266972402</v>
      </c>
      <c r="Y746" s="118">
        <f t="shared" si="143"/>
        <v>1.9941254806747657</v>
      </c>
      <c r="AA746" s="43">
        <f>IF(X746="","",X746/MAX($X$4:X746)-1)</f>
        <v>-2.0812978865634602E-2</v>
      </c>
      <c r="AB746" s="44">
        <f>IF(Y746="","",Y746/MAX($Y$4:Y746)-1)</f>
        <v>-2.0068780823013221E-2</v>
      </c>
    </row>
    <row r="747" spans="1:28" x14ac:dyDescent="0.45">
      <c r="A747" s="121">
        <v>46286</v>
      </c>
      <c r="B747" s="124">
        <v>773.5</v>
      </c>
      <c r="C747" s="124">
        <v>338.98</v>
      </c>
      <c r="D747" s="124">
        <v>501.61</v>
      </c>
      <c r="E747" s="124">
        <v>352.04</v>
      </c>
      <c r="F747" s="124">
        <v>158.30000000000001</v>
      </c>
      <c r="G747" s="124">
        <v>269.47000000000003</v>
      </c>
      <c r="H747" s="124">
        <v>258.45</v>
      </c>
      <c r="I747" s="124">
        <v>87.12</v>
      </c>
      <c r="J747" s="125">
        <v>107.44</v>
      </c>
      <c r="L747" s="39">
        <f t="shared" si="140"/>
        <v>1.5504995470598202E-2</v>
      </c>
      <c r="M747" s="40">
        <f t="shared" si="132"/>
        <v>8.4788623449261382E-3</v>
      </c>
      <c r="N747" s="40">
        <f t="shared" si="133"/>
        <v>1.5857264368747299E-2</v>
      </c>
      <c r="O747" s="40">
        <f t="shared" si="134"/>
        <v>6.7778190865673479E-3</v>
      </c>
      <c r="P747" s="40">
        <f t="shared" si="135"/>
        <v>-3.2041090864620161E-2</v>
      </c>
      <c r="Q747" s="40">
        <f t="shared" si="136"/>
        <v>-1.9259972591576791E-3</v>
      </c>
      <c r="R747" s="40">
        <f t="shared" si="137"/>
        <v>1.8682748019392143E-2</v>
      </c>
      <c r="S747" s="40">
        <f t="shared" si="138"/>
        <v>-1.2804532577903632E-2</v>
      </c>
      <c r="T747" s="41">
        <f t="shared" si="139"/>
        <v>6.6523001967581158E-3</v>
      </c>
      <c r="V747" s="39">
        <f t="shared" si="141"/>
        <v>1.5504995470598202E-2</v>
      </c>
      <c r="W747" s="40" cm="1">
        <f t="array" ref="W747">IF(M747="","",SUMPRODUCT(M747:T747,TRANSPOSE('04_Dashboard'!$C$53:$C$60)))</f>
        <v>1.6211279272255624E-3</v>
      </c>
      <c r="X747" s="42">
        <f t="shared" si="142"/>
        <v>1.8101612412534169</v>
      </c>
      <c r="Y747" s="118">
        <f t="shared" si="143"/>
        <v>1.9973582131818797</v>
      </c>
      <c r="AA747" s="43">
        <f>IF(X747="","",X747/MAX($X$4:X747)-1)</f>
        <v>-5.6306885380777993E-3</v>
      </c>
      <c r="AB747" s="44">
        <f>IF(Y747="","",Y747/MAX($Y$4:Y747)-1)</f>
        <v>-1.8480186956845168E-2</v>
      </c>
    </row>
    <row r="748" spans="1:28" x14ac:dyDescent="0.45">
      <c r="A748" s="121">
        <v>46287</v>
      </c>
      <c r="B748" s="124">
        <v>773.38</v>
      </c>
      <c r="C748" s="124">
        <v>339.75</v>
      </c>
      <c r="D748" s="124">
        <v>498</v>
      </c>
      <c r="E748" s="124">
        <v>340</v>
      </c>
      <c r="F748" s="124">
        <v>158.71</v>
      </c>
      <c r="G748" s="124">
        <v>269.19</v>
      </c>
      <c r="H748" s="124">
        <v>254.98</v>
      </c>
      <c r="I748" s="124">
        <v>88.61</v>
      </c>
      <c r="J748" s="125">
        <v>110.12</v>
      </c>
      <c r="L748" s="39">
        <f t="shared" si="140"/>
        <v>-1.551389786683963E-4</v>
      </c>
      <c r="M748" s="40">
        <f t="shared" si="132"/>
        <v>2.2715204436839394E-3</v>
      </c>
      <c r="N748" s="40">
        <f t="shared" si="133"/>
        <v>-7.1968262195730021E-3</v>
      </c>
      <c r="O748" s="40">
        <f t="shared" si="134"/>
        <v>-3.4200659016020964E-2</v>
      </c>
      <c r="P748" s="40">
        <f t="shared" si="135"/>
        <v>2.5900189513581588E-3</v>
      </c>
      <c r="Q748" s="40">
        <f t="shared" si="136"/>
        <v>-1.0390767061269511E-3</v>
      </c>
      <c r="R748" s="40">
        <f t="shared" si="137"/>
        <v>-1.3426194621783707E-2</v>
      </c>
      <c r="S748" s="40">
        <f t="shared" si="138"/>
        <v>1.7102846648301133E-2</v>
      </c>
      <c r="T748" s="41">
        <f t="shared" si="139"/>
        <v>2.4944154877140794E-2</v>
      </c>
      <c r="V748" s="39">
        <f t="shared" si="141"/>
        <v>-1.551389786683963E-4</v>
      </c>
      <c r="W748" s="40" cm="1">
        <f t="array" ref="W748">IF(M748="","",SUMPRODUCT(M748:T748,TRANSPOSE('04_Dashboard'!$C$53:$C$60)))</f>
        <v>-3.728963001465033E-3</v>
      </c>
      <c r="X748" s="42">
        <f t="shared" si="142"/>
        <v>1.8098804146872238</v>
      </c>
      <c r="Y748" s="118">
        <f t="shared" si="143"/>
        <v>1.9899101383042521</v>
      </c>
      <c r="AA748" s="43">
        <f>IF(X748="","",X748/MAX($X$4:X748)-1)</f>
        <v>-5.7849539774771364E-3</v>
      </c>
      <c r="AB748" s="44">
        <f>IF(Y748="","",Y748/MAX($Y$4:Y748)-1)</f>
        <v>-2.214023802488807E-2</v>
      </c>
    </row>
    <row r="749" spans="1:28" x14ac:dyDescent="0.45">
      <c r="A749" s="121">
        <v>46288</v>
      </c>
      <c r="B749" s="124">
        <v>767.81</v>
      </c>
      <c r="C749" s="124">
        <v>337.02</v>
      </c>
      <c r="D749" s="124">
        <v>500.59</v>
      </c>
      <c r="E749" s="124">
        <v>337.53</v>
      </c>
      <c r="F749" s="124">
        <v>161.22999999999999</v>
      </c>
      <c r="G749" s="124">
        <v>269.17</v>
      </c>
      <c r="H749" s="124">
        <v>249.27</v>
      </c>
      <c r="I749" s="124">
        <v>88.09</v>
      </c>
      <c r="J749" s="125">
        <v>110.53</v>
      </c>
      <c r="L749" s="39">
        <f t="shared" si="140"/>
        <v>-7.2021515943004088E-3</v>
      </c>
      <c r="M749" s="40">
        <f t="shared" si="132"/>
        <v>-8.0353200883002737E-3</v>
      </c>
      <c r="N749" s="40">
        <f t="shared" si="133"/>
        <v>5.200803212851355E-3</v>
      </c>
      <c r="O749" s="40">
        <f t="shared" si="134"/>
        <v>-7.2647058823530212E-3</v>
      </c>
      <c r="P749" s="40">
        <f t="shared" si="135"/>
        <v>1.5878016508096414E-2</v>
      </c>
      <c r="Q749" s="40">
        <f t="shared" si="136"/>
        <v>-7.4296964968913445E-5</v>
      </c>
      <c r="R749" s="40">
        <f t="shared" si="137"/>
        <v>-2.2393913248097811E-2</v>
      </c>
      <c r="S749" s="40">
        <f t="shared" si="138"/>
        <v>-5.8684121430989285E-3</v>
      </c>
      <c r="T749" s="41">
        <f t="shared" si="139"/>
        <v>3.7232110424990608E-3</v>
      </c>
      <c r="V749" s="39">
        <f t="shared" si="141"/>
        <v>-7.2021515943004088E-3</v>
      </c>
      <c r="W749" s="40" cm="1">
        <f t="array" ref="W749">IF(M749="","",SUMPRODUCT(M749:T749,TRANSPOSE('04_Dashboard'!$C$53:$C$60)))</f>
        <v>-2.9749880388479583E-3</v>
      </c>
      <c r="X749" s="42">
        <f t="shared" si="142"/>
        <v>1.7968453815730911</v>
      </c>
      <c r="Y749" s="118">
        <f t="shared" si="143"/>
        <v>1.9839901794444146</v>
      </c>
      <c r="AA749" s="43">
        <f>IF(X749="","",X749/MAX($X$4:X749)-1)</f>
        <v>-1.2945441456265638E-2</v>
      </c>
      <c r="AB749" s="44">
        <f>IF(Y749="","",Y749/MAX($Y$4:Y749)-1)</f>
        <v>-2.5049359120434711E-2</v>
      </c>
    </row>
    <row r="750" spans="1:28" x14ac:dyDescent="0.45">
      <c r="A750" s="121">
        <v>46289</v>
      </c>
      <c r="B750" s="124">
        <v>767.18</v>
      </c>
      <c r="C750" s="124">
        <v>335.92</v>
      </c>
      <c r="D750" s="124">
        <v>497.93</v>
      </c>
      <c r="E750" s="124">
        <v>338.56</v>
      </c>
      <c r="F750" s="124">
        <v>162.13999999999999</v>
      </c>
      <c r="G750" s="124">
        <v>270.68</v>
      </c>
      <c r="H750" s="124">
        <v>249.38</v>
      </c>
      <c r="I750" s="124">
        <v>88.1</v>
      </c>
      <c r="J750" s="125">
        <v>107.59</v>
      </c>
      <c r="L750" s="39">
        <f t="shared" si="140"/>
        <v>-8.2051549211392856E-4</v>
      </c>
      <c r="M750" s="40">
        <f t="shared" si="132"/>
        <v>-3.2639012521511065E-3</v>
      </c>
      <c r="N750" s="40">
        <f t="shared" si="133"/>
        <v>-5.3137297988373085E-3</v>
      </c>
      <c r="O750" s="40">
        <f t="shared" si="134"/>
        <v>3.0515806002430292E-3</v>
      </c>
      <c r="P750" s="40">
        <f t="shared" si="135"/>
        <v>5.6441108974756354E-3</v>
      </c>
      <c r="Q750" s="40">
        <f t="shared" si="136"/>
        <v>5.6098376490693273E-3</v>
      </c>
      <c r="R750" s="40">
        <f t="shared" si="137"/>
        <v>4.4128856260274089E-4</v>
      </c>
      <c r="S750" s="40">
        <f t="shared" si="138"/>
        <v>1.1352026336690776E-4</v>
      </c>
      <c r="T750" s="41">
        <f t="shared" si="139"/>
        <v>-2.6599113362887884E-2</v>
      </c>
      <c r="V750" s="39">
        <f t="shared" si="141"/>
        <v>-8.2051549211392856E-4</v>
      </c>
      <c r="W750" s="40" cm="1">
        <f t="array" ref="W750">IF(M750="","",SUMPRODUCT(M750:T750,TRANSPOSE('04_Dashboard'!$C$53:$C$60)))</f>
        <v>-1.8617246892691961E-3</v>
      </c>
      <c r="X750" s="42">
        <f t="shared" si="142"/>
        <v>1.7953710421005771</v>
      </c>
      <c r="Y750" s="118">
        <f t="shared" si="143"/>
        <v>1.9802965359440754</v>
      </c>
      <c r="AA750" s="43">
        <f>IF(X750="","",X750/MAX($X$4:X750)-1)</f>
        <v>-1.3755335013112435E-2</v>
      </c>
      <c r="AB750" s="44">
        <f>IF(Y750="","",Y750/MAX($Y$4:Y750)-1)</f>
        <v>-2.6864448799378993E-2</v>
      </c>
    </row>
    <row r="751" spans="1:28" x14ac:dyDescent="0.45">
      <c r="A751" s="121">
        <v>46290</v>
      </c>
      <c r="B751" s="124">
        <v>771.35</v>
      </c>
      <c r="C751" s="124">
        <v>341.07</v>
      </c>
      <c r="D751" s="124">
        <v>516.16999999999996</v>
      </c>
      <c r="E751" s="124">
        <v>343.06</v>
      </c>
      <c r="F751" s="124">
        <v>160.59</v>
      </c>
      <c r="G751" s="124">
        <v>271.22000000000003</v>
      </c>
      <c r="H751" s="124">
        <v>249.67</v>
      </c>
      <c r="I751" s="124">
        <v>87.81</v>
      </c>
      <c r="J751" s="125">
        <v>107.98</v>
      </c>
      <c r="L751" s="39">
        <f t="shared" si="140"/>
        <v>5.4354910190569008E-3</v>
      </c>
      <c r="M751" s="40">
        <f t="shared" si="132"/>
        <v>1.5331031197904195E-2</v>
      </c>
      <c r="N751" s="40">
        <f t="shared" si="133"/>
        <v>3.6631655051914833E-2</v>
      </c>
      <c r="O751" s="40">
        <f t="shared" si="134"/>
        <v>1.3291587901701324E-2</v>
      </c>
      <c r="P751" s="40">
        <f t="shared" si="135"/>
        <v>-9.5596398174416126E-3</v>
      </c>
      <c r="Q751" s="40">
        <f t="shared" si="136"/>
        <v>1.994975616964757E-3</v>
      </c>
      <c r="R751" s="40">
        <f t="shared" si="137"/>
        <v>1.1628839522014277E-3</v>
      </c>
      <c r="S751" s="40">
        <f t="shared" si="138"/>
        <v>-3.2917139614074015E-3</v>
      </c>
      <c r="T751" s="41">
        <f t="shared" si="139"/>
        <v>3.6248722000185945E-3</v>
      </c>
      <c r="V751" s="39">
        <f t="shared" si="141"/>
        <v>5.4354910190569008E-3</v>
      </c>
      <c r="W751" s="40" cm="1">
        <f t="array" ref="W751">IF(M751="","",SUMPRODUCT(M751:T751,TRANSPOSE('04_Dashboard'!$C$53:$C$60)))</f>
        <v>6.6206779128086066E-3</v>
      </c>
      <c r="X751" s="42">
        <f t="shared" si="142"/>
        <v>1.8051297652757894</v>
      </c>
      <c r="Y751" s="118">
        <f t="shared" si="143"/>
        <v>1.9934074414804117</v>
      </c>
      <c r="AA751" s="43">
        <f>IF(X751="","",X751/MAX($X$4:X751)-1)</f>
        <v>-8.3946109939836422E-3</v>
      </c>
      <c r="AB751" s="44">
        <f>IF(Y751="","",Y751/MAX($Y$4:Y751)-1)</f>
        <v>-2.0421631749376279E-2</v>
      </c>
    </row>
    <row r="752" spans="1:28" x14ac:dyDescent="0.45">
      <c r="A752" s="121">
        <v>46293</v>
      </c>
      <c r="B752" s="124">
        <v>765.61</v>
      </c>
      <c r="C752" s="124">
        <v>338.4</v>
      </c>
      <c r="D752" s="124">
        <v>509.22</v>
      </c>
      <c r="E752" s="124">
        <v>336.59</v>
      </c>
      <c r="F752" s="124">
        <v>162.52000000000001</v>
      </c>
      <c r="G752" s="124">
        <v>271.95</v>
      </c>
      <c r="H752" s="124">
        <v>246.15</v>
      </c>
      <c r="I752" s="124">
        <v>87.18</v>
      </c>
      <c r="J752" s="125">
        <v>108.73</v>
      </c>
      <c r="L752" s="39">
        <f>IF(B752="","",(B752-B751)/B751)</f>
        <v>-7.4414986711609631E-3</v>
      </c>
      <c r="M752" s="40">
        <f t="shared" si="132"/>
        <v>-7.8283050400211572E-3</v>
      </c>
      <c r="N752" s="40">
        <f t="shared" si="133"/>
        <v>-1.3464556250847458E-2</v>
      </c>
      <c r="O752" s="40">
        <f t="shared" si="134"/>
        <v>-1.88596746924737E-2</v>
      </c>
      <c r="P752" s="40">
        <f t="shared" si="135"/>
        <v>1.201818295037055E-2</v>
      </c>
      <c r="Q752" s="40">
        <f t="shared" si="136"/>
        <v>2.6915419216870483E-3</v>
      </c>
      <c r="R752" s="40">
        <f t="shared" si="137"/>
        <v>-1.4098610165418281E-2</v>
      </c>
      <c r="S752" s="40">
        <f t="shared" si="138"/>
        <v>-7.174581482746788E-3</v>
      </c>
      <c r="T752" s="41">
        <f t="shared" si="139"/>
        <v>6.9457306908686789E-3</v>
      </c>
      <c r="V752" s="39">
        <f t="shared" si="141"/>
        <v>-7.4414986711609631E-3</v>
      </c>
      <c r="W752" s="40" cm="1">
        <f t="array" ref="W752">IF(M752="","",SUMPRODUCT(M752:T752,TRANSPOSE('04_Dashboard'!$C$53:$C$60)))</f>
        <v>-5.636839740007768E-3</v>
      </c>
      <c r="X752" s="42">
        <f t="shared" si="142"/>
        <v>1.7916968945262166</v>
      </c>
      <c r="Y752" s="118">
        <f t="shared" si="143"/>
        <v>1.9821709231962479</v>
      </c>
      <c r="AA752" s="43">
        <f>IF(X752="","",X752/MAX($X$4:X752)-1)</f>
        <v>-1.5773641178587816E-2</v>
      </c>
      <c r="AB752" s="44">
        <f>IF(Y752="","",Y752/MAX($Y$4:Y752)-1)</f>
        <v>-2.5943358023983176E-2</v>
      </c>
    </row>
    <row r="753" spans="1:28" x14ac:dyDescent="0.45">
      <c r="A753" s="121">
        <v>46294</v>
      </c>
      <c r="B753" s="124">
        <v>764.2</v>
      </c>
      <c r="C753" s="124">
        <v>329.4</v>
      </c>
      <c r="D753" s="124">
        <v>508.96</v>
      </c>
      <c r="E753" s="124">
        <v>334.98</v>
      </c>
      <c r="F753" s="124">
        <v>161.35</v>
      </c>
      <c r="G753" s="124">
        <v>267.57</v>
      </c>
      <c r="H753" s="124">
        <v>246.67</v>
      </c>
      <c r="I753" s="124">
        <v>86.84</v>
      </c>
      <c r="J753" s="125">
        <v>106.8</v>
      </c>
      <c r="L753" s="39">
        <f t="shared" ref="L753:L755" si="144">IF(B753="","",(B753-B752)/B752)</f>
        <v>-1.8416687347343531E-3</v>
      </c>
      <c r="M753" s="40">
        <f t="shared" si="132"/>
        <v>-2.6595744680851064E-2</v>
      </c>
      <c r="N753" s="40">
        <f t="shared" si="133"/>
        <v>-5.1058481599318124E-4</v>
      </c>
      <c r="O753" s="40">
        <f t="shared" si="134"/>
        <v>-4.7832674767520041E-3</v>
      </c>
      <c r="P753" s="40">
        <f t="shared" si="135"/>
        <v>-7.1991139552056108E-3</v>
      </c>
      <c r="Q753" s="40">
        <f t="shared" si="136"/>
        <v>-1.6105901820187517E-2</v>
      </c>
      <c r="R753" s="40">
        <f t="shared" si="137"/>
        <v>2.1125330083281812E-3</v>
      </c>
      <c r="S753" s="40">
        <f t="shared" si="138"/>
        <v>-3.8999770589585154E-3</v>
      </c>
      <c r="T753" s="41">
        <f t="shared" si="139"/>
        <v>-1.7750390876483092E-2</v>
      </c>
      <c r="V753" s="39">
        <f t="shared" si="141"/>
        <v>-1.8416687347343531E-3</v>
      </c>
      <c r="W753" s="40" cm="1">
        <f t="array" ref="W753">IF(M753="","",SUMPRODUCT(M753:T753,TRANSPOSE('04_Dashboard'!$C$53:$C$60)))</f>
        <v>-9.6936035653968997E-3</v>
      </c>
      <c r="X753" s="42">
        <f t="shared" si="142"/>
        <v>1.788397182373447</v>
      </c>
      <c r="Y753" s="118">
        <f t="shared" si="143"/>
        <v>1.9629565440679266</v>
      </c>
      <c r="AA753" s="43">
        <f>IF(X753="","",X753/MAX($X$4:X753)-1)</f>
        <v>-1.7586260091530637E-2</v>
      </c>
      <c r="AB753" s="44">
        <f>IF(Y753="","",Y753/MAX($Y$4:Y753)-1)</f>
        <v>-3.5385476961540485E-2</v>
      </c>
    </row>
    <row r="754" spans="1:28" x14ac:dyDescent="0.45">
      <c r="A754" s="123">
        <v>46295</v>
      </c>
      <c r="B754" s="124">
        <v>766.64</v>
      </c>
      <c r="C754" s="124">
        <v>335.59500000000003</v>
      </c>
      <c r="D754" s="124">
        <v>517.23720000000003</v>
      </c>
      <c r="E754" s="124">
        <v>332.14</v>
      </c>
      <c r="F754" s="124">
        <v>163.47999999999999</v>
      </c>
      <c r="G754" s="124">
        <v>265.41000000000003</v>
      </c>
      <c r="H754" s="124">
        <v>250.12</v>
      </c>
      <c r="I754" s="124">
        <v>86.33</v>
      </c>
      <c r="J754" s="125">
        <v>104.68</v>
      </c>
      <c r="L754" s="39">
        <f t="shared" ref="L754:T754" si="145">IF(B754="","",(B754-B753)/B753)</f>
        <v>3.1928814446479203E-3</v>
      </c>
      <c r="M754" s="40">
        <f t="shared" si="145"/>
        <v>1.8806921675774288E-2</v>
      </c>
      <c r="N754" s="40">
        <f t="shared" si="145"/>
        <v>1.6262967620245306E-2</v>
      </c>
      <c r="O754" s="40">
        <f t="shared" si="145"/>
        <v>-8.4781180966028765E-3</v>
      </c>
      <c r="P754" s="40">
        <f t="shared" si="145"/>
        <v>1.3201115587232696E-2</v>
      </c>
      <c r="Q754" s="40">
        <f t="shared" si="145"/>
        <v>-8.0726538849645625E-3</v>
      </c>
      <c r="R754" s="40">
        <f t="shared" si="145"/>
        <v>1.3986297482466523E-2</v>
      </c>
      <c r="S754" s="40">
        <f t="shared" si="145"/>
        <v>-5.8728696453247938E-3</v>
      </c>
      <c r="T754" s="41">
        <f t="shared" si="145"/>
        <v>-1.9850187265917512E-2</v>
      </c>
      <c r="V754" s="39">
        <f t="shared" si="141"/>
        <v>3.1928814446479203E-3</v>
      </c>
      <c r="W754" s="40" cm="1">
        <f t="array" ref="W754">IF(M754="","",SUMPRODUCT(M754:T754,TRANSPOSE('04_Dashboard'!$C$53:$C$60)))</f>
        <v>-3.6839943136599542E-3</v>
      </c>
      <c r="X754" s="42">
        <f t="shared" si="142"/>
        <v>1.794107322552708</v>
      </c>
      <c r="Y754" s="118">
        <f>IF(W754="","",Y753*(1+W754))</f>
        <v>1.9557250233216188</v>
      </c>
      <c r="AA754" s="43">
        <f>IF(X754="","",X754/MAX($X$4:X754)-1)</f>
        <v>-1.4449529490409674E-2</v>
      </c>
      <c r="AB754" s="44">
        <f>IF(Y754="","",Y754/MAX($Y$4:Y754)-1)</f>
        <v>-3.8939111379287961E-2</v>
      </c>
    </row>
    <row r="755" spans="1:28" ht="14.65" thickBot="1" x14ac:dyDescent="0.5">
      <c r="L755" s="45" t="str">
        <f t="shared" si="144"/>
        <v/>
      </c>
      <c r="M755" s="46" t="str">
        <f t="shared" si="132"/>
        <v/>
      </c>
      <c r="N755" s="46" t="str">
        <f t="shared" si="133"/>
        <v/>
      </c>
      <c r="O755" s="46" t="str">
        <f t="shared" si="134"/>
        <v/>
      </c>
      <c r="P755" s="46" t="str">
        <f t="shared" si="135"/>
        <v/>
      </c>
      <c r="Q755" s="46" t="str">
        <f t="shared" si="136"/>
        <v/>
      </c>
      <c r="R755" s="46" t="str">
        <f t="shared" si="137"/>
        <v/>
      </c>
      <c r="S755" s="46" t="str">
        <f t="shared" si="138"/>
        <v/>
      </c>
      <c r="T755" s="47" t="str">
        <f t="shared" si="139"/>
        <v/>
      </c>
      <c r="V755" s="45" t="str">
        <f t="shared" si="141"/>
        <v/>
      </c>
      <c r="W755" s="46" t="str" cm="1">
        <f t="array" ref="W755">IF(M755="","",SUMPRODUCT(M755:T755,TRANSPOSE('04_Dashboard'!$C$53:$C$60)))</f>
        <v/>
      </c>
      <c r="X755" s="48" t="str">
        <f t="shared" si="142"/>
        <v/>
      </c>
      <c r="Y755" s="119" t="str">
        <f t="shared" si="143"/>
        <v/>
      </c>
      <c r="AA755" s="49" t="str">
        <f>IF(X755="","",X755/MAX($X$4:X755)-1)</f>
        <v/>
      </c>
      <c r="AB755" s="50" t="str">
        <f>IF(Y755="","",Y755/MAX($Y$4:Y755)-1)</f>
        <v/>
      </c>
    </row>
    <row r="756" spans="1:28" x14ac:dyDescent="0.45">
      <c r="L756" s="40"/>
      <c r="M756" s="40"/>
      <c r="N756" s="40"/>
      <c r="O756" s="40"/>
      <c r="P756" s="40"/>
      <c r="Q756" s="40"/>
      <c r="R756" s="40"/>
      <c r="S756" s="40"/>
      <c r="T756" s="40"/>
    </row>
  </sheetData>
  <sheetProtection algorithmName="SHA-512" hashValue="LRh0wFY+dQYig7FtZ6pYy4KO8m8W3TqiXJp4STuM093UZDC9EJ0K8jCL8V11vfa7KR8eJxFMFyMwCLh2fbeX1Q==" saltValue="6Pj3+aP7ls/IV83wew5AIA==" spinCount="100000" sheet="1" objects="1" scenarios="1" selectLockedCells="1"/>
  <mergeCells count="4">
    <mergeCell ref="B1:J1"/>
    <mergeCell ref="L1:T1"/>
    <mergeCell ref="V1:Y1"/>
    <mergeCell ref="AA1:AB1"/>
  </mergeCells>
  <phoneticPr fontId="3" type="noConversion"/>
  <pageMargins left="0.7" right="0.7" top="0.75" bottom="0.75" header="0.3" footer="0.3"/>
  <pageSetup paperSize="9" scale="45"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3A77E-54A0-475F-9399-9C1303770B34}">
  <sheetPr codeName="Feuil8">
    <pageSetUpPr fitToPage="1"/>
  </sheetPr>
  <dimension ref="B1:K36"/>
  <sheetViews>
    <sheetView showGridLines="0" zoomScaleNormal="100" workbookViewId="0">
      <selection activeCell="C5" sqref="C5:J6"/>
    </sheetView>
  </sheetViews>
  <sheetFormatPr baseColWidth="10" defaultRowHeight="14.25" x14ac:dyDescent="0.45"/>
  <cols>
    <col min="1" max="1" width="3.19921875" customWidth="1"/>
    <col min="2" max="2" width="18.6640625" customWidth="1"/>
    <col min="3" max="10" width="16.73046875" customWidth="1"/>
  </cols>
  <sheetData>
    <row r="1" spans="2:10" ht="14.65" thickBot="1" x14ac:dyDescent="0.5">
      <c r="C1" s="34" t="s">
        <v>19</v>
      </c>
      <c r="D1" s="34" t="s">
        <v>20</v>
      </c>
      <c r="E1" s="34" t="s">
        <v>21</v>
      </c>
      <c r="F1" s="34" t="s">
        <v>31</v>
      </c>
      <c r="G1" s="34" t="s">
        <v>32</v>
      </c>
      <c r="H1" s="34" t="s">
        <v>22</v>
      </c>
      <c r="I1" s="34" t="s">
        <v>23</v>
      </c>
      <c r="J1" s="34" t="s">
        <v>33</v>
      </c>
    </row>
    <row r="2" spans="2:10" ht="14.65" thickBot="1" x14ac:dyDescent="0.5">
      <c r="B2" s="54" t="s">
        <v>18</v>
      </c>
      <c r="C2" s="22" t="s">
        <v>2</v>
      </c>
      <c r="D2" s="22" t="s">
        <v>3</v>
      </c>
      <c r="E2" s="22" t="s">
        <v>4</v>
      </c>
      <c r="F2" s="22" t="s">
        <v>5</v>
      </c>
      <c r="G2" s="22" t="s">
        <v>6</v>
      </c>
      <c r="H2" s="22" t="s">
        <v>7</v>
      </c>
      <c r="I2" s="22" t="s">
        <v>8</v>
      </c>
      <c r="J2" s="23" t="s">
        <v>9</v>
      </c>
    </row>
    <row r="3" spans="2:10" x14ac:dyDescent="0.45">
      <c r="B3" s="55" t="s">
        <v>10</v>
      </c>
      <c r="C3" s="56">
        <f>AVERAGE('01_Data_Raw'!M4:M755)*252</f>
        <v>0.25675384087597597</v>
      </c>
      <c r="D3" s="56">
        <f>AVERAGE('01_Data_Raw'!N4:N755)*252</f>
        <v>0.19348289562508622</v>
      </c>
      <c r="E3" s="56">
        <f>AVERAGE('01_Data_Raw'!O4:O755)*252</f>
        <v>0.30796584676718119</v>
      </c>
      <c r="F3" s="56">
        <f>AVERAGE('01_Data_Raw'!P4:P755)*252</f>
        <v>0.14393009096201714</v>
      </c>
      <c r="G3" s="56">
        <f>AVERAGE('01_Data_Raw'!Q4:Q755)*252</f>
        <v>0.19643252377229298</v>
      </c>
      <c r="H3" s="56">
        <f>AVERAGE('01_Data_Raw'!R4:R755)*252</f>
        <v>0.27220607333450725</v>
      </c>
      <c r="I3" s="56">
        <f>AVERAGE('01_Data_Raw'!S4:S755)*252</f>
        <v>0.1622499229723022</v>
      </c>
      <c r="J3" s="57">
        <f>AVERAGE('01_Data_Raw'!T4:T755)*252</f>
        <v>0.25306386270389369</v>
      </c>
    </row>
    <row r="4" spans="2:10" x14ac:dyDescent="0.45">
      <c r="B4" s="58" t="s">
        <v>37</v>
      </c>
      <c r="C4" s="59">
        <f>SQRT(VARP('01_Data_Raw'!M4:M755)*252)</f>
        <v>0.2682392391736278</v>
      </c>
      <c r="D4" s="59">
        <f>SQRT(VARP('01_Data_Raw'!N4:N755)*252)</f>
        <v>0.26281432202807875</v>
      </c>
      <c r="E4" s="59">
        <f>SQRT(VARP('01_Data_Raw'!O4:O755)*252)</f>
        <v>0.23164209328114241</v>
      </c>
      <c r="F4" s="59">
        <f>SQRT(VARP('01_Data_Raw'!P4:P755)*252)</f>
        <v>0.23499261114597764</v>
      </c>
      <c r="G4" s="59">
        <f>SQRT(VARP('01_Data_Raw'!Q4:Q755)*252)</f>
        <v>0.18006821760284697</v>
      </c>
      <c r="H4" s="59">
        <f>SQRT(VARP('01_Data_Raw'!R4:R755)*252)</f>
        <v>0.32125246351071196</v>
      </c>
      <c r="I4" s="59">
        <f>SQRT(VARP('01_Data_Raw'!S4:S755)*252)</f>
        <v>0.16658873590592566</v>
      </c>
      <c r="J4" s="60">
        <f>SQRT(VARP('01_Data_Raw'!T4:T755)*252)</f>
        <v>0.23178810914314396</v>
      </c>
    </row>
    <row r="5" spans="2:10" x14ac:dyDescent="0.45">
      <c r="B5" s="58" t="s">
        <v>25</v>
      </c>
      <c r="C5" s="2">
        <v>0.05</v>
      </c>
      <c r="D5" s="2">
        <v>0.05</v>
      </c>
      <c r="E5" s="2">
        <v>0.1</v>
      </c>
      <c r="F5" s="2">
        <v>0.05</v>
      </c>
      <c r="G5" s="2">
        <v>0.05</v>
      </c>
      <c r="H5" s="2">
        <v>0.02</v>
      </c>
      <c r="I5" s="2">
        <v>0.05</v>
      </c>
      <c r="J5" s="3">
        <v>0.05</v>
      </c>
    </row>
    <row r="6" spans="2:10" ht="14.65" thickBot="1" x14ac:dyDescent="0.5">
      <c r="B6" s="61" t="s">
        <v>24</v>
      </c>
      <c r="C6" s="4">
        <v>0.35</v>
      </c>
      <c r="D6" s="5">
        <v>0.4</v>
      </c>
      <c r="E6" s="5">
        <v>0.4</v>
      </c>
      <c r="F6" s="5">
        <v>0.4</v>
      </c>
      <c r="G6" s="5">
        <v>0.4</v>
      </c>
      <c r="H6" s="5">
        <v>0.25</v>
      </c>
      <c r="I6" s="5">
        <v>0.4</v>
      </c>
      <c r="J6" s="6">
        <v>0.4</v>
      </c>
    </row>
    <row r="7" spans="2:10" ht="14.65" thickBot="1" x14ac:dyDescent="0.5">
      <c r="B7" s="62" t="s">
        <v>34</v>
      </c>
      <c r="C7" s="63">
        <v>0.05</v>
      </c>
      <c r="D7" s="63">
        <v>0.13588394741463944</v>
      </c>
      <c r="E7" s="63">
        <v>0.1</v>
      </c>
      <c r="F7" s="63">
        <v>0.12925409778526289</v>
      </c>
      <c r="G7" s="63">
        <v>0.22649914470316243</v>
      </c>
      <c r="H7" s="63">
        <v>3.9034283951063224E-2</v>
      </c>
      <c r="I7" s="63">
        <v>0.26186331967216736</v>
      </c>
      <c r="J7" s="64">
        <v>5.7465406430046738E-2</v>
      </c>
    </row>
    <row r="8" spans="2:10" ht="14.65" thickBot="1" x14ac:dyDescent="0.5"/>
    <row r="9" spans="2:10" x14ac:dyDescent="0.45">
      <c r="B9" s="142" t="s">
        <v>26</v>
      </c>
      <c r="C9" s="143"/>
    </row>
    <row r="10" spans="2:10" x14ac:dyDescent="0.45">
      <c r="B10" s="67" t="s">
        <v>27</v>
      </c>
      <c r="C10" s="41">
        <f>SUMPRODUCT(C3:J3,C7:J7)</f>
        <v>0.20067593934188305</v>
      </c>
      <c r="D10" s="51"/>
      <c r="E10" s="51"/>
      <c r="G10" s="40"/>
    </row>
    <row r="11" spans="2:10" x14ac:dyDescent="0.45">
      <c r="B11" s="67" t="s">
        <v>17</v>
      </c>
      <c r="C11" s="41" cm="1">
        <f t="array" ref="C11">SQRT(MMULT(MMULT(C7:J7,C29:J36),TRANSPOSE(C7:J7)))*SQRT(252)</f>
        <v>0.10690989587884811</v>
      </c>
    </row>
    <row r="12" spans="2:10" x14ac:dyDescent="0.45">
      <c r="B12" s="67" t="s">
        <v>76</v>
      </c>
      <c r="C12" s="1">
        <v>4.6800000000000001E-2</v>
      </c>
      <c r="D12" s="68"/>
      <c r="E12" s="68"/>
    </row>
    <row r="13" spans="2:10" ht="14.65" thickBot="1" x14ac:dyDescent="0.5">
      <c r="B13" s="67" t="s">
        <v>28</v>
      </c>
      <c r="C13" s="69">
        <f>SUM(C7:J7)</f>
        <v>1.0000001999563422</v>
      </c>
    </row>
    <row r="14" spans="2:10" ht="14.65" thickBot="1" x14ac:dyDescent="0.5">
      <c r="B14" s="70" t="s">
        <v>14</v>
      </c>
      <c r="C14" s="71">
        <f>(C10-C12)/C11</f>
        <v>1.4393049219340515</v>
      </c>
    </row>
    <row r="16" spans="2:10" ht="14.65" thickBot="1" x14ac:dyDescent="0.5">
      <c r="B16" s="144" t="s">
        <v>12</v>
      </c>
      <c r="C16" s="144"/>
      <c r="D16" s="144"/>
      <c r="E16" s="144"/>
      <c r="F16" s="144"/>
      <c r="G16" s="144"/>
      <c r="H16" s="144"/>
      <c r="I16" s="144"/>
      <c r="J16" s="144"/>
    </row>
    <row r="17" spans="2:11" x14ac:dyDescent="0.45">
      <c r="B17" s="72"/>
      <c r="C17" s="72" t="s">
        <v>2</v>
      </c>
      <c r="D17" s="72" t="s">
        <v>3</v>
      </c>
      <c r="E17" s="72" t="s">
        <v>4</v>
      </c>
      <c r="F17" s="72" t="s">
        <v>5</v>
      </c>
      <c r="G17" s="72" t="s">
        <v>6</v>
      </c>
      <c r="H17" s="72" t="s">
        <v>7</v>
      </c>
      <c r="I17" s="72" t="s">
        <v>8</v>
      </c>
      <c r="J17" s="72" t="s">
        <v>9</v>
      </c>
    </row>
    <row r="18" spans="2:11" x14ac:dyDescent="0.45">
      <c r="B18" s="73" t="s">
        <v>2</v>
      </c>
      <c r="C18" s="74">
        <f>CORREL(
INDEX('01_Data_Raw'!$M$4:$T$755,0,MATCH($B18,'01_Data_Raw'!$M$3:$T$3,0)),
INDEX('01_Data_Raw'!$M$4:$T$755,0,MATCH(C$17,'01_Data_Raw'!$M$3:$T$3,0))
)</f>
        <v>1</v>
      </c>
      <c r="D18" s="19">
        <f>CORREL(
INDEX('01_Data_Raw'!$M$4:$T$755,0,MATCH($B18,'01_Data_Raw'!$M$3:$T$3,0)),
INDEX('01_Data_Raw'!$M$4:$T$755,0,MATCH(D$17,'01_Data_Raw'!$M$3:$T$3,0))
)</f>
        <v>0.34861676172683276</v>
      </c>
      <c r="E18" s="19">
        <f>CORREL(
INDEX('01_Data_Raw'!$M$4:$T$755,0,MATCH($B18,'01_Data_Raw'!$M$3:$T$3,0)),
INDEX('01_Data_Raw'!$M$4:$T$755,0,MATCH(E$17,'01_Data_Raw'!$M$3:$T$3,0))
)</f>
        <v>0.27688411050046846</v>
      </c>
      <c r="F18" s="19">
        <f>CORREL(
INDEX('01_Data_Raw'!$M$4:$T$755,0,MATCH($B18,'01_Data_Raw'!$M$3:$T$3,0)),
INDEX('01_Data_Raw'!$M$4:$T$755,0,MATCH(F$17,'01_Data_Raw'!$M$3:$T$3,0))
)</f>
        <v>0.10231389130092418</v>
      </c>
      <c r="G18" s="19">
        <f>CORREL(
INDEX('01_Data_Raw'!$M$4:$T$755,0,MATCH($B18,'01_Data_Raw'!$M$3:$T$3,0)),
INDEX('01_Data_Raw'!$M$4:$T$755,0,MATCH(G$17,'01_Data_Raw'!$M$3:$T$3,0))
)</f>
        <v>5.4147322959933478E-2</v>
      </c>
      <c r="H18" s="19">
        <f>CORREL(
INDEX('01_Data_Raw'!$M$4:$T$755,0,MATCH($B18,'01_Data_Raw'!$M$3:$T$3,0)),
INDEX('01_Data_Raw'!$M$4:$T$755,0,MATCH(H$17,'01_Data_Raw'!$M$3:$T$3,0))
)</f>
        <v>0.36903513564449597</v>
      </c>
      <c r="I18" s="19">
        <f>CORREL(
INDEX('01_Data_Raw'!$M$4:$T$755,0,MATCH($B18,'01_Data_Raw'!$M$3:$T$3,0)),
INDEX('01_Data_Raw'!$M$4:$T$755,0,MATCH(I$17,'01_Data_Raw'!$M$3:$T$3,0))
)</f>
        <v>0.11563481128785966</v>
      </c>
      <c r="J18" s="19">
        <f>CORREL(
INDEX('01_Data_Raw'!$M$4:$T$755,0,MATCH($B18,'01_Data_Raw'!$M$3:$T$3,0)),
INDEX('01_Data_Raw'!$M$4:$T$755,0,MATCH(J$17,'01_Data_Raw'!$M$3:$T$3,0))
)</f>
        <v>0.22693307790535824</v>
      </c>
    </row>
    <row r="19" spans="2:11" x14ac:dyDescent="0.45">
      <c r="B19" s="73" t="s">
        <v>3</v>
      </c>
      <c r="C19" s="19">
        <f>CORREL(
INDEX('01_Data_Raw'!$M$4:$T$755,0,MATCH($B19,'01_Data_Raw'!$M$3:$T$3,0)),
INDEX('01_Data_Raw'!$M$4:$T$755,0,MATCH(C$17,'01_Data_Raw'!$M$3:$T$3,0))
)</f>
        <v>0.34861676172683276</v>
      </c>
      <c r="D19" s="74">
        <f>CORREL(
INDEX('01_Data_Raw'!$M$4:$T$755,0,MATCH($B19,'01_Data_Raw'!$M$3:$T$3,0)),
INDEX('01_Data_Raw'!$M$4:$T$755,0,MATCH(D$17,'01_Data_Raw'!$M$3:$T$3,0))
)</f>
        <v>1.0000000000000002</v>
      </c>
      <c r="E19" s="19">
        <f>CORREL(
INDEX('01_Data_Raw'!$M$4:$T$755,0,MATCH($B19,'01_Data_Raw'!$M$3:$T$3,0)),
INDEX('01_Data_Raw'!$M$4:$T$755,0,MATCH(E$17,'01_Data_Raw'!$M$3:$T$3,0))
)</f>
        <v>0.23193024509727683</v>
      </c>
      <c r="F19" s="19">
        <f>CORREL(
INDEX('01_Data_Raw'!$M$4:$T$755,0,MATCH($B19,'01_Data_Raw'!$M$3:$T$3,0)),
INDEX('01_Data_Raw'!$M$4:$T$755,0,MATCH(F$17,'01_Data_Raw'!$M$3:$T$3,0))
)</f>
        <v>-4.3497489648142887E-2</v>
      </c>
      <c r="G19" s="19">
        <f>CORREL(
INDEX('01_Data_Raw'!$M$4:$T$755,0,MATCH($B19,'01_Data_Raw'!$M$3:$T$3,0)),
INDEX('01_Data_Raw'!$M$4:$T$755,0,MATCH(G$17,'01_Data_Raw'!$M$3:$T$3,0))
)</f>
        <v>-0.16652140394325501</v>
      </c>
      <c r="H19" s="19">
        <f>CORREL(
INDEX('01_Data_Raw'!$M$4:$T$755,0,MATCH($B19,'01_Data_Raw'!$M$3:$T$3,0)),
INDEX('01_Data_Raw'!$M$4:$T$755,0,MATCH(H$17,'01_Data_Raw'!$M$3:$T$3,0))
)</f>
        <v>0.52633004623197133</v>
      </c>
      <c r="I19" s="19">
        <f>CORREL(
INDEX('01_Data_Raw'!$M$4:$T$755,0,MATCH($B19,'01_Data_Raw'!$M$3:$T$3,0)),
INDEX('01_Data_Raw'!$M$4:$T$755,0,MATCH(I$17,'01_Data_Raw'!$M$3:$T$3,0))
)</f>
        <v>-6.1067800047305436E-2</v>
      </c>
      <c r="J19" s="19">
        <f>CORREL(
INDEX('01_Data_Raw'!$M$4:$T$755,0,MATCH($B19,'01_Data_Raw'!$M$3:$T$3,0)),
INDEX('01_Data_Raw'!$M$4:$T$755,0,MATCH(J$17,'01_Data_Raw'!$M$3:$T$3,0))
)</f>
        <v>7.7426231385484393E-2</v>
      </c>
      <c r="K19" s="75"/>
    </row>
    <row r="20" spans="2:11" x14ac:dyDescent="0.45">
      <c r="B20" s="73" t="s">
        <v>4</v>
      </c>
      <c r="C20" s="19">
        <f>CORREL(
INDEX('01_Data_Raw'!$M$4:$T$755,0,MATCH($B20,'01_Data_Raw'!$M$3:$T$3,0)),
INDEX('01_Data_Raw'!$M$4:$T$755,0,MATCH(C$17,'01_Data_Raw'!$M$3:$T$3,0))
)</f>
        <v>0.27688411050046846</v>
      </c>
      <c r="D20" s="19">
        <f>CORREL(
INDEX('01_Data_Raw'!$M$4:$T$755,0,MATCH($B20,'01_Data_Raw'!$M$3:$T$3,0)),
INDEX('01_Data_Raw'!$M$4:$T$755,0,MATCH(D$17,'01_Data_Raw'!$M$3:$T$3,0))
)</f>
        <v>0.23193024509727683</v>
      </c>
      <c r="E20" s="74">
        <f>CORREL(
INDEX('01_Data_Raw'!$M$4:$T$755,0,MATCH($B20,'01_Data_Raw'!$M$3:$T$3,0)),
INDEX('01_Data_Raw'!$M$4:$T$755,0,MATCH(E$17,'01_Data_Raw'!$M$3:$T$3,0))
)</f>
        <v>1</v>
      </c>
      <c r="F20" s="19">
        <f>CORREL(
INDEX('01_Data_Raw'!$M$4:$T$755,0,MATCH($B20,'01_Data_Raw'!$M$3:$T$3,0)),
INDEX('01_Data_Raw'!$M$4:$T$755,0,MATCH(F$17,'01_Data_Raw'!$M$3:$T$3,0))
)</f>
        <v>0.19427870081906198</v>
      </c>
      <c r="G20" s="19">
        <f>CORREL(
INDEX('01_Data_Raw'!$M$4:$T$755,0,MATCH($B20,'01_Data_Raw'!$M$3:$T$3,0)),
INDEX('01_Data_Raw'!$M$4:$T$755,0,MATCH(G$17,'01_Data_Raw'!$M$3:$T$3,0))
)</f>
        <v>0.11807559858652666</v>
      </c>
      <c r="H20" s="19">
        <f>CORREL(
INDEX('01_Data_Raw'!$M$4:$T$755,0,MATCH($B20,'01_Data_Raw'!$M$3:$T$3,0)),
INDEX('01_Data_Raw'!$M$4:$T$755,0,MATCH(H$17,'01_Data_Raw'!$M$3:$T$3,0))
)</f>
        <v>0.32177742261828007</v>
      </c>
      <c r="I20" s="19">
        <f>CORREL(
INDEX('01_Data_Raw'!$M$4:$T$755,0,MATCH($B20,'01_Data_Raw'!$M$3:$T$3,0)),
INDEX('01_Data_Raw'!$M$4:$T$755,0,MATCH(I$17,'01_Data_Raw'!$M$3:$T$3,0))
)</f>
        <v>2.5744401537835134E-2</v>
      </c>
      <c r="J20" s="19">
        <f>CORREL(
INDEX('01_Data_Raw'!$M$4:$T$755,0,MATCH($B20,'01_Data_Raw'!$M$3:$T$3,0)),
INDEX('01_Data_Raw'!$M$4:$T$755,0,MATCH(J$17,'01_Data_Raw'!$M$3:$T$3,0))
)</f>
        <v>0.17254601101790781</v>
      </c>
    </row>
    <row r="21" spans="2:11" x14ac:dyDescent="0.45">
      <c r="B21" s="73" t="s">
        <v>5</v>
      </c>
      <c r="C21" s="19">
        <f>CORREL(
INDEX('01_Data_Raw'!$M$4:$T$755,0,MATCH($B21,'01_Data_Raw'!$M$3:$T$3,0)),
INDEX('01_Data_Raw'!$M$4:$T$755,0,MATCH(C$17,'01_Data_Raw'!$M$3:$T$3,0))
)</f>
        <v>0.10231389130092418</v>
      </c>
      <c r="D21" s="19">
        <f>CORREL(
INDEX('01_Data_Raw'!$M$4:$T$755,0,MATCH($B21,'01_Data_Raw'!$M$3:$T$3,0)),
INDEX('01_Data_Raw'!$M$4:$T$755,0,MATCH(D$17,'01_Data_Raw'!$M$3:$T$3,0))
)</f>
        <v>-4.3497489648142887E-2</v>
      </c>
      <c r="E21" s="19">
        <f>CORREL(
INDEX('01_Data_Raw'!$M$4:$T$755,0,MATCH($B21,'01_Data_Raw'!$M$3:$T$3,0)),
INDEX('01_Data_Raw'!$M$4:$T$755,0,MATCH(E$17,'01_Data_Raw'!$M$3:$T$3,0))
)</f>
        <v>0.19427870081906198</v>
      </c>
      <c r="F21" s="74">
        <f>CORREL(
INDEX('01_Data_Raw'!$M$4:$T$755,0,MATCH($B21,'01_Data_Raw'!$M$3:$T$3,0)),
INDEX('01_Data_Raw'!$M$4:$T$755,0,MATCH(F$17,'01_Data_Raw'!$M$3:$T$3,0))
)</f>
        <v>1</v>
      </c>
      <c r="G21" s="19">
        <f>CORREL(
INDEX('01_Data_Raw'!$M$4:$T$755,0,MATCH($B21,'01_Data_Raw'!$M$3:$T$3,0)),
INDEX('01_Data_Raw'!$M$4:$T$755,0,MATCH(G$17,'01_Data_Raw'!$M$3:$T$3,0))
)</f>
        <v>0.1617512634546166</v>
      </c>
      <c r="H21" s="19">
        <f>CORREL(
INDEX('01_Data_Raw'!$M$4:$T$755,0,MATCH($B21,'01_Data_Raw'!$M$3:$T$3,0)),
INDEX('01_Data_Raw'!$M$4:$T$755,0,MATCH(H$17,'01_Data_Raw'!$M$3:$T$3,0))
)</f>
        <v>-3.4343723209549488E-2</v>
      </c>
      <c r="I21" s="19">
        <f>CORREL(
INDEX('01_Data_Raw'!$M$4:$T$755,0,MATCH($B21,'01_Data_Raw'!$M$3:$T$3,0)),
INDEX('01_Data_Raw'!$M$4:$T$755,0,MATCH(I$17,'01_Data_Raw'!$M$3:$T$3,0))
)</f>
        <v>0.13504134297999196</v>
      </c>
      <c r="J21" s="19">
        <f>CORREL(
INDEX('01_Data_Raw'!$M$4:$T$755,0,MATCH($B21,'01_Data_Raw'!$M$3:$T$3,0)),
INDEX('01_Data_Raw'!$M$4:$T$755,0,MATCH(J$17,'01_Data_Raw'!$M$3:$T$3,0))
)</f>
        <v>6.832283001184819E-2</v>
      </c>
    </row>
    <row r="22" spans="2:11" x14ac:dyDescent="0.45">
      <c r="B22" s="73" t="s">
        <v>6</v>
      </c>
      <c r="C22" s="19">
        <f>CORREL(
INDEX('01_Data_Raw'!$M$4:$T$755,0,MATCH($B22,'01_Data_Raw'!$M$3:$T$3,0)),
INDEX('01_Data_Raw'!$M$4:$T$755,0,MATCH(C$17,'01_Data_Raw'!$M$3:$T$3,0))
)</f>
        <v>5.4147322959933478E-2</v>
      </c>
      <c r="D22" s="19">
        <f>CORREL(
INDEX('01_Data_Raw'!$M$4:$T$755,0,MATCH($B22,'01_Data_Raw'!$M$3:$T$3,0)),
INDEX('01_Data_Raw'!$M$4:$T$755,0,MATCH(D$17,'01_Data_Raw'!$M$3:$T$3,0))
)</f>
        <v>-0.16652140394325501</v>
      </c>
      <c r="E22" s="19">
        <f>CORREL(
INDEX('01_Data_Raw'!$M$4:$T$755,0,MATCH($B22,'01_Data_Raw'!$M$3:$T$3,0)),
INDEX('01_Data_Raw'!$M$4:$T$755,0,MATCH(E$17,'01_Data_Raw'!$M$3:$T$3,0))
)</f>
        <v>0.11807559858652666</v>
      </c>
      <c r="F22" s="19">
        <f>CORREL(
INDEX('01_Data_Raw'!$M$4:$T$755,0,MATCH($B22,'01_Data_Raw'!$M$3:$T$3,0)),
INDEX('01_Data_Raw'!$M$4:$T$755,0,MATCH(F$17,'01_Data_Raw'!$M$3:$T$3,0))
)</f>
        <v>0.1617512634546166</v>
      </c>
      <c r="G22" s="74">
        <f>CORREL(
INDEX('01_Data_Raw'!$M$4:$T$755,0,MATCH($B22,'01_Data_Raw'!$M$3:$T$3,0)),
INDEX('01_Data_Raw'!$M$4:$T$755,0,MATCH(G$17,'01_Data_Raw'!$M$3:$T$3,0))
)</f>
        <v>1</v>
      </c>
      <c r="H22" s="19">
        <f>CORREL(
INDEX('01_Data_Raw'!$M$4:$T$755,0,MATCH($B22,'01_Data_Raw'!$M$3:$T$3,0)),
INDEX('01_Data_Raw'!$M$4:$T$755,0,MATCH(H$17,'01_Data_Raw'!$M$3:$T$3,0))
)</f>
        <v>-0.13763024545541494</v>
      </c>
      <c r="I22" s="19">
        <f>CORREL(
INDEX('01_Data_Raw'!$M$4:$T$755,0,MATCH($B22,'01_Data_Raw'!$M$3:$T$3,0)),
INDEX('01_Data_Raw'!$M$4:$T$755,0,MATCH(I$17,'01_Data_Raw'!$M$3:$T$3,0))
)</f>
        <v>0.41210789107608625</v>
      </c>
      <c r="J22" s="19">
        <f>CORREL(
INDEX('01_Data_Raw'!$M$4:$T$755,0,MATCH($B22,'01_Data_Raw'!$M$3:$T$3,0)),
INDEX('01_Data_Raw'!$M$4:$T$755,0,MATCH(J$17,'01_Data_Raw'!$M$3:$T$3,0))
)</f>
        <v>0.20519654751032129</v>
      </c>
    </row>
    <row r="23" spans="2:11" x14ac:dyDescent="0.45">
      <c r="B23" s="73" t="s">
        <v>7</v>
      </c>
      <c r="C23" s="19">
        <f>CORREL(
INDEX('01_Data_Raw'!$M$4:$T$755,0,MATCH($B23,'01_Data_Raw'!$M$3:$T$3,0)),
INDEX('01_Data_Raw'!$M$4:$T$755,0,MATCH(C$17,'01_Data_Raw'!$M$3:$T$3,0))
)</f>
        <v>0.36903513564449597</v>
      </c>
      <c r="D23" s="19">
        <f>CORREL(
INDEX('01_Data_Raw'!$M$4:$T$755,0,MATCH($B23,'01_Data_Raw'!$M$3:$T$3,0)),
INDEX('01_Data_Raw'!$M$4:$T$755,0,MATCH(D$17,'01_Data_Raw'!$M$3:$T$3,0))
)</f>
        <v>0.52633004623197133</v>
      </c>
      <c r="E23" s="19">
        <f>CORREL(
INDEX('01_Data_Raw'!$M$4:$T$755,0,MATCH($B23,'01_Data_Raw'!$M$3:$T$3,0)),
INDEX('01_Data_Raw'!$M$4:$T$755,0,MATCH(E$17,'01_Data_Raw'!$M$3:$T$3,0))
)</f>
        <v>0.32177742261828007</v>
      </c>
      <c r="F23" s="19">
        <f>CORREL(
INDEX('01_Data_Raw'!$M$4:$T$755,0,MATCH($B23,'01_Data_Raw'!$M$3:$T$3,0)),
INDEX('01_Data_Raw'!$M$4:$T$755,0,MATCH(F$17,'01_Data_Raw'!$M$3:$T$3,0))
)</f>
        <v>-3.4343723209549488E-2</v>
      </c>
      <c r="G23" s="19">
        <f>CORREL(
INDEX('01_Data_Raw'!$M$4:$T$755,0,MATCH($B23,'01_Data_Raw'!$M$3:$T$3,0)),
INDEX('01_Data_Raw'!$M$4:$T$755,0,MATCH(G$17,'01_Data_Raw'!$M$3:$T$3,0))
)</f>
        <v>-0.13763024545541494</v>
      </c>
      <c r="H23" s="74">
        <f>CORREL(
INDEX('01_Data_Raw'!$M$4:$T$755,0,MATCH($B23,'01_Data_Raw'!$M$3:$T$3,0)),
INDEX('01_Data_Raw'!$M$4:$T$755,0,MATCH(H$17,'01_Data_Raw'!$M$3:$T$3,0))
)</f>
        <v>1</v>
      </c>
      <c r="I23" s="19">
        <f>CORREL(
INDEX('01_Data_Raw'!$M$4:$T$755,0,MATCH($B23,'01_Data_Raw'!$M$3:$T$3,0)),
INDEX('01_Data_Raw'!$M$4:$T$755,0,MATCH(I$17,'01_Data_Raw'!$M$3:$T$3,0))
)</f>
        <v>-9.6128308794023412E-2</v>
      </c>
      <c r="J23" s="19">
        <f>CORREL(
INDEX('01_Data_Raw'!$M$4:$T$755,0,MATCH($B23,'01_Data_Raw'!$M$3:$T$3,0)),
INDEX('01_Data_Raw'!$M$4:$T$755,0,MATCH(J$17,'01_Data_Raw'!$M$3:$T$3,0))
)</f>
        <v>0.14815563669496731</v>
      </c>
    </row>
    <row r="24" spans="2:11" x14ac:dyDescent="0.45">
      <c r="B24" s="73" t="s">
        <v>8</v>
      </c>
      <c r="C24" s="19">
        <f>CORREL(
INDEX('01_Data_Raw'!$M$4:$T$755,0,MATCH($B24,'01_Data_Raw'!$M$3:$T$3,0)),
INDEX('01_Data_Raw'!$M$4:$T$755,0,MATCH(C$17,'01_Data_Raw'!$M$3:$T$3,0))
)</f>
        <v>0.11563481128785966</v>
      </c>
      <c r="D24" s="19">
        <f>CORREL(
INDEX('01_Data_Raw'!$M$4:$T$755,0,MATCH($B24,'01_Data_Raw'!$M$3:$T$3,0)),
INDEX('01_Data_Raw'!$M$4:$T$755,0,MATCH(D$17,'01_Data_Raw'!$M$3:$T$3,0))
)</f>
        <v>-6.1067800047305436E-2</v>
      </c>
      <c r="E24" s="19">
        <f>CORREL(
INDEX('01_Data_Raw'!$M$4:$T$755,0,MATCH($B24,'01_Data_Raw'!$M$3:$T$3,0)),
INDEX('01_Data_Raw'!$M$4:$T$755,0,MATCH(E$17,'01_Data_Raw'!$M$3:$T$3,0))
)</f>
        <v>2.5744401537835134E-2</v>
      </c>
      <c r="F24" s="19">
        <f>CORREL(
INDEX('01_Data_Raw'!$M$4:$T$755,0,MATCH($B24,'01_Data_Raw'!$M$3:$T$3,0)),
INDEX('01_Data_Raw'!$M$4:$T$755,0,MATCH(F$17,'01_Data_Raw'!$M$3:$T$3,0))
)</f>
        <v>0.13504134297999196</v>
      </c>
      <c r="G24" s="19">
        <f>CORREL(
INDEX('01_Data_Raw'!$M$4:$T$755,0,MATCH($B24,'01_Data_Raw'!$M$3:$T$3,0)),
INDEX('01_Data_Raw'!$M$4:$T$755,0,MATCH(G$17,'01_Data_Raw'!$M$3:$T$3,0))
)</f>
        <v>0.41210789107608625</v>
      </c>
      <c r="H24" s="19">
        <f>CORREL(
INDEX('01_Data_Raw'!$M$4:$T$755,0,MATCH($B24,'01_Data_Raw'!$M$3:$T$3,0)),
INDEX('01_Data_Raw'!$M$4:$T$755,0,MATCH(H$17,'01_Data_Raw'!$M$3:$T$3,0))
)</f>
        <v>-9.6128308794023412E-2</v>
      </c>
      <c r="I24" s="74">
        <f>CORREL(
INDEX('01_Data_Raw'!$M$4:$T$755,0,MATCH($B24,'01_Data_Raw'!$M$3:$T$3,0)),
INDEX('01_Data_Raw'!$M$4:$T$755,0,MATCH(I$17,'01_Data_Raw'!$M$3:$T$3,0))
)</f>
        <v>1.0000000000000002</v>
      </c>
      <c r="J24" s="19">
        <f>CORREL(
INDEX('01_Data_Raw'!$M$4:$T$755,0,MATCH($B24,'01_Data_Raw'!$M$3:$T$3,0)),
INDEX('01_Data_Raw'!$M$4:$T$755,0,MATCH(J$17,'01_Data_Raw'!$M$3:$T$3,0))
)</f>
        <v>0.29552442261081563</v>
      </c>
    </row>
    <row r="25" spans="2:11" ht="14.65" thickBot="1" x14ac:dyDescent="0.5">
      <c r="B25" s="76" t="s">
        <v>9</v>
      </c>
      <c r="C25" s="77">
        <f>CORREL(
INDEX('01_Data_Raw'!$M$4:$T$755,0,MATCH($B25,'01_Data_Raw'!$M$3:$T$3,0)),
INDEX('01_Data_Raw'!$M$4:$T$755,0,MATCH(C$17,'01_Data_Raw'!$M$3:$T$3,0))
)</f>
        <v>0.22693307790535824</v>
      </c>
      <c r="D25" s="77">
        <f>CORREL(
INDEX('01_Data_Raw'!$M$4:$T$755,0,MATCH($B25,'01_Data_Raw'!$M$3:$T$3,0)),
INDEX('01_Data_Raw'!$M$4:$T$755,0,MATCH(D$17,'01_Data_Raw'!$M$3:$T$3,0))
)</f>
        <v>7.7426231385484393E-2</v>
      </c>
      <c r="E25" s="77">
        <f>CORREL(
INDEX('01_Data_Raw'!$M$4:$T$755,0,MATCH($B25,'01_Data_Raw'!$M$3:$T$3,0)),
INDEX('01_Data_Raw'!$M$4:$T$755,0,MATCH(E$17,'01_Data_Raw'!$M$3:$T$3,0))
)</f>
        <v>0.17254601101790781</v>
      </c>
      <c r="F25" s="77">
        <f>CORREL(
INDEX('01_Data_Raw'!$M$4:$T$755,0,MATCH($B25,'01_Data_Raw'!$M$3:$T$3,0)),
INDEX('01_Data_Raw'!$M$4:$T$755,0,MATCH(F$17,'01_Data_Raw'!$M$3:$T$3,0))
)</f>
        <v>6.832283001184819E-2</v>
      </c>
      <c r="G25" s="77">
        <f>CORREL(
INDEX('01_Data_Raw'!$M$4:$T$755,0,MATCH($B25,'01_Data_Raw'!$M$3:$T$3,0)),
INDEX('01_Data_Raw'!$M$4:$T$755,0,MATCH(G$17,'01_Data_Raw'!$M$3:$T$3,0))
)</f>
        <v>0.20519654751032129</v>
      </c>
      <c r="H25" s="77">
        <f>CORREL(
INDEX('01_Data_Raw'!$M$4:$T$755,0,MATCH($B25,'01_Data_Raw'!$M$3:$T$3,0)),
INDEX('01_Data_Raw'!$M$4:$T$755,0,MATCH(H$17,'01_Data_Raw'!$M$3:$T$3,0))
)</f>
        <v>0.14815563669496731</v>
      </c>
      <c r="I25" s="77">
        <f>CORREL(
INDEX('01_Data_Raw'!$M$4:$T$755,0,MATCH($B25,'01_Data_Raw'!$M$3:$T$3,0)),
INDEX('01_Data_Raw'!$M$4:$T$755,0,MATCH(I$17,'01_Data_Raw'!$M$3:$T$3,0))
)</f>
        <v>0.29552442261081563</v>
      </c>
      <c r="J25" s="78">
        <f>CORREL(
INDEX('01_Data_Raw'!$M$4:$T$755,0,MATCH($B25,'01_Data_Raw'!$M$3:$T$3,0)),
INDEX('01_Data_Raw'!$M$4:$T$755,0,MATCH(J$17,'01_Data_Raw'!$M$3:$T$3,0))
)</f>
        <v>1</v>
      </c>
    </row>
    <row r="27" spans="2:11" ht="14.65" thickBot="1" x14ac:dyDescent="0.5">
      <c r="B27" s="144" t="s">
        <v>11</v>
      </c>
      <c r="C27" s="144"/>
      <c r="D27" s="144"/>
      <c r="E27" s="144"/>
      <c r="F27" s="144"/>
      <c r="G27" s="144"/>
      <c r="H27" s="144"/>
      <c r="I27" s="144"/>
      <c r="J27" s="144"/>
    </row>
    <row r="28" spans="2:11" x14ac:dyDescent="0.45">
      <c r="B28" s="72"/>
      <c r="C28" s="72" t="s">
        <v>2</v>
      </c>
      <c r="D28" s="72" t="s">
        <v>3</v>
      </c>
      <c r="E28" s="72" t="s">
        <v>4</v>
      </c>
      <c r="F28" s="72" t="s">
        <v>5</v>
      </c>
      <c r="G28" s="72" t="s">
        <v>6</v>
      </c>
      <c r="H28" s="72" t="s">
        <v>7</v>
      </c>
      <c r="I28" s="72" t="s">
        <v>8</v>
      </c>
      <c r="J28" s="72" t="s">
        <v>9</v>
      </c>
    </row>
    <row r="29" spans="2:11" x14ac:dyDescent="0.45">
      <c r="B29" s="73" t="s">
        <v>2</v>
      </c>
      <c r="C29" s="79">
        <f>_xlfn.COVARIANCE.P(
INDEX('01_Data_Raw'!$M$4:$T$755,0,MATCH($B29,'01_Data_Raw'!$M$3:$T$3,0)),
INDEX('01_Data_Raw'!$M$4:$T$755,0,MATCH(C$28,'01_Data_Raw'!$M$3:$T$3,0))
)</f>
        <v>2.8552495806526493E-4</v>
      </c>
      <c r="D29" s="80">
        <f>_xlfn.COVARIANCE.P(
INDEX('01_Data_Raw'!$M$4:$T$755,0,MATCH($B29,'01_Data_Raw'!$M$3:$T$3,0)),
INDEX('01_Data_Raw'!$M$4:$T$755,0,MATCH(D$28,'01_Data_Raw'!$M$3:$T$3,0))
)</f>
        <v>9.7525696502879974E-5</v>
      </c>
      <c r="E29" s="80">
        <f>_xlfn.COVARIANCE.P(
INDEX('01_Data_Raw'!$M$4:$T$755,0,MATCH($B29,'01_Data_Raw'!$M$3:$T$3,0)),
INDEX('01_Data_Raw'!$M$4:$T$755,0,MATCH(E$28,'01_Data_Raw'!$M$3:$T$3,0))
)</f>
        <v>6.8271160051572999E-5</v>
      </c>
      <c r="F29" s="80">
        <f>_xlfn.COVARIANCE.P(
INDEX('01_Data_Raw'!$M$4:$T$755,0,MATCH($B29,'01_Data_Raw'!$M$3:$T$3,0)),
INDEX('01_Data_Raw'!$M$4:$T$755,0,MATCH(F$28,'01_Data_Raw'!$M$3:$T$3,0))
)</f>
        <v>2.5592374207641807E-5</v>
      </c>
      <c r="G29" s="80">
        <f>_xlfn.COVARIANCE.P(
INDEX('01_Data_Raw'!$M$4:$T$755,0,MATCH($B29,'01_Data_Raw'!$M$3:$T$3,0)),
INDEX('01_Data_Raw'!$M$4:$T$755,0,MATCH(G$28,'01_Data_Raw'!$M$3:$T$3,0))
)</f>
        <v>1.037852948724747E-5</v>
      </c>
      <c r="H29" s="80">
        <f>_xlfn.COVARIANCE.P(
INDEX('01_Data_Raw'!$M$4:$T$755,0,MATCH($B29,'01_Data_Raw'!$M$3:$T$3,0)),
INDEX('01_Data_Raw'!$M$4:$T$755,0,MATCH(H$28,'01_Data_Raw'!$M$3:$T$3,0))
)</f>
        <v>1.2619319951020003E-4</v>
      </c>
      <c r="I29" s="80">
        <f>_xlfn.COVARIANCE.P(
INDEX('01_Data_Raw'!$M$4:$T$755,0,MATCH($B29,'01_Data_Raw'!$M$3:$T$3,0)),
INDEX('01_Data_Raw'!$M$4:$T$755,0,MATCH(I$28,'01_Data_Raw'!$M$3:$T$3,0))
)</f>
        <v>2.0504821666823162E-5</v>
      </c>
      <c r="J29" s="80">
        <f>_xlfn.COVARIANCE.P(
INDEX('01_Data_Raw'!$M$4:$T$755,0,MATCH($B29,'01_Data_Raw'!$M$3:$T$3,0)),
INDEX('01_Data_Raw'!$M$4:$T$755,0,MATCH(J$28,'01_Data_Raw'!$M$3:$T$3,0))
)</f>
        <v>5.5990033069714587E-5</v>
      </c>
    </row>
    <row r="30" spans="2:11" x14ac:dyDescent="0.45">
      <c r="B30" s="73" t="s">
        <v>3</v>
      </c>
      <c r="C30" s="80">
        <f>_xlfn.COVARIANCE.P(
INDEX('01_Data_Raw'!$M$4:$T$755,0,MATCH($B30,'01_Data_Raw'!$M$3:$T$3,0)),
INDEX('01_Data_Raw'!$M$4:$T$755,0,MATCH(C$28,'01_Data_Raw'!$M$3:$T$3,0))
)</f>
        <v>9.7525696502879974E-5</v>
      </c>
      <c r="D30" s="79">
        <f>_xlfn.COVARIANCE.P(
INDEX('01_Data_Raw'!$M$4:$T$755,0,MATCH($B30,'01_Data_Raw'!$M$3:$T$3,0)),
INDEX('01_Data_Raw'!$M$4:$T$755,0,MATCH(D$28,'01_Data_Raw'!$M$3:$T$3,0))
)</f>
        <v>2.7409272961539157E-4</v>
      </c>
      <c r="E30" s="80">
        <f>_xlfn.COVARIANCE.P(
INDEX('01_Data_Raw'!$M$4:$T$755,0,MATCH($B30,'01_Data_Raw'!$M$3:$T$3,0)),
INDEX('01_Data_Raw'!$M$4:$T$755,0,MATCH(E$28,'01_Data_Raw'!$M$3:$T$3,0))
)</f>
        <v>5.6030352584113663E-5</v>
      </c>
      <c r="F30" s="80">
        <f>_xlfn.COVARIANCE.P(
INDEX('01_Data_Raw'!$M$4:$T$755,0,MATCH($B30,'01_Data_Raw'!$M$3:$T$3,0)),
INDEX('01_Data_Raw'!$M$4:$T$755,0,MATCH(F$28,'01_Data_Raw'!$M$3:$T$3,0))
)</f>
        <v>-1.0660237684694939E-5</v>
      </c>
      <c r="G30" s="80">
        <f>_xlfn.COVARIANCE.P(
INDEX('01_Data_Raw'!$M$4:$T$755,0,MATCH($B30,'01_Data_Raw'!$M$3:$T$3,0)),
INDEX('01_Data_Raw'!$M$4:$T$755,0,MATCH(G$28,'01_Data_Raw'!$M$3:$T$3,0))
)</f>
        <v>-3.1271997095160343E-5</v>
      </c>
      <c r="H30" s="80">
        <f>_xlfn.COVARIANCE.P(
INDEX('01_Data_Raw'!$M$4:$T$755,0,MATCH($B30,'01_Data_Raw'!$M$3:$T$3,0)),
INDEX('01_Data_Raw'!$M$4:$T$755,0,MATCH(H$28,'01_Data_Raw'!$M$3:$T$3,0))
)</f>
        <v>1.7634092610066134E-4</v>
      </c>
      <c r="I30" s="80">
        <f>_xlfn.COVARIANCE.P(
INDEX('01_Data_Raw'!$M$4:$T$755,0,MATCH($B30,'01_Data_Raw'!$M$3:$T$3,0)),
INDEX('01_Data_Raw'!$M$4:$T$755,0,MATCH(I$28,'01_Data_Raw'!$M$3:$T$3,0))
)</f>
        <v>-1.0609780404916675E-5</v>
      </c>
      <c r="J30" s="80">
        <f>_xlfn.COVARIANCE.P(
INDEX('01_Data_Raw'!$M$4:$T$755,0,MATCH($B30,'01_Data_Raw'!$M$3:$T$3,0)),
INDEX('01_Data_Raw'!$M$4:$T$755,0,MATCH(J$28,'01_Data_Raw'!$M$3:$T$3,0))
)</f>
        <v>1.8716634578512806E-5</v>
      </c>
    </row>
    <row r="31" spans="2:11" x14ac:dyDescent="0.45">
      <c r="B31" s="73" t="s">
        <v>4</v>
      </c>
      <c r="C31" s="80">
        <f>_xlfn.COVARIANCE.P(
INDEX('01_Data_Raw'!$M$4:$T$755,0,MATCH($B31,'01_Data_Raw'!$M$3:$T$3,0)),
INDEX('01_Data_Raw'!$M$4:$T$755,0,MATCH(C$28,'01_Data_Raw'!$M$3:$T$3,0))
)</f>
        <v>6.8271160051572999E-5</v>
      </c>
      <c r="D31" s="80">
        <f>_xlfn.COVARIANCE.P(
INDEX('01_Data_Raw'!$M$4:$T$755,0,MATCH($B31,'01_Data_Raw'!$M$3:$T$3,0)),
INDEX('01_Data_Raw'!$M$4:$T$755,0,MATCH(D$28,'01_Data_Raw'!$M$3:$T$3,0))
)</f>
        <v>5.6030352584113663E-5</v>
      </c>
      <c r="E31" s="79">
        <f>_xlfn.COVARIANCE.P(
INDEX('01_Data_Raw'!$M$4:$T$755,0,MATCH($B31,'01_Data_Raw'!$M$3:$T$3,0)),
INDEX('01_Data_Raw'!$M$4:$T$755,0,MATCH(E$28,'01_Data_Raw'!$M$3:$T$3,0))
)</f>
        <v>2.1292880706218055E-4</v>
      </c>
      <c r="F31" s="80">
        <f>_xlfn.COVARIANCE.P(
INDEX('01_Data_Raw'!$M$4:$T$755,0,MATCH($B31,'01_Data_Raw'!$M$3:$T$3,0)),
INDEX('01_Data_Raw'!$M$4:$T$755,0,MATCH(F$28,'01_Data_Raw'!$M$3:$T$3,0))
)</f>
        <v>4.1965880312822775E-5</v>
      </c>
      <c r="G31" s="80">
        <f>_xlfn.COVARIANCE.P(
INDEX('01_Data_Raw'!$M$4:$T$755,0,MATCH($B31,'01_Data_Raw'!$M$3:$T$3,0)),
INDEX('01_Data_Raw'!$M$4:$T$755,0,MATCH(G$28,'01_Data_Raw'!$M$3:$T$3,0))
)</f>
        <v>1.9544031851735247E-5</v>
      </c>
      <c r="H31" s="80">
        <f>_xlfn.COVARIANCE.P(
INDEX('01_Data_Raw'!$M$4:$T$755,0,MATCH($B31,'01_Data_Raw'!$M$3:$T$3,0)),
INDEX('01_Data_Raw'!$M$4:$T$755,0,MATCH(H$28,'01_Data_Raw'!$M$3:$T$3,0))
)</f>
        <v>9.5020864113307555E-5</v>
      </c>
      <c r="I31" s="80">
        <f>_xlfn.COVARIANCE.P(
INDEX('01_Data_Raw'!$M$4:$T$755,0,MATCH($B31,'01_Data_Raw'!$M$3:$T$3,0)),
INDEX('01_Data_Raw'!$M$4:$T$755,0,MATCH(I$28,'01_Data_Raw'!$M$3:$T$3,0))
)</f>
        <v>3.9422609973503305E-6</v>
      </c>
      <c r="J31" s="80">
        <f>_xlfn.COVARIANCE.P(
INDEX('01_Data_Raw'!$M$4:$T$755,0,MATCH($B31,'01_Data_Raw'!$M$3:$T$3,0)),
INDEX('01_Data_Raw'!$M$4:$T$755,0,MATCH(J$28,'01_Data_Raw'!$M$3:$T$3,0))
)</f>
        <v>3.6763175401235196E-5</v>
      </c>
    </row>
    <row r="32" spans="2:11" x14ac:dyDescent="0.45">
      <c r="B32" s="73" t="s">
        <v>5</v>
      </c>
      <c r="C32" s="80">
        <f>_xlfn.COVARIANCE.P(
INDEX('01_Data_Raw'!$M$4:$T$755,0,MATCH($B32,'01_Data_Raw'!$M$3:$T$3,0)),
INDEX('01_Data_Raw'!$M$4:$T$755,0,MATCH(C$28,'01_Data_Raw'!$M$3:$T$3,0))
)</f>
        <v>2.5592374207641807E-5</v>
      </c>
      <c r="D32" s="80">
        <f>_xlfn.COVARIANCE.P(
INDEX('01_Data_Raw'!$M$4:$T$755,0,MATCH($B32,'01_Data_Raw'!$M$3:$T$3,0)),
INDEX('01_Data_Raw'!$M$4:$T$755,0,MATCH(D$28,'01_Data_Raw'!$M$3:$T$3,0))
)</f>
        <v>-1.0660237684694939E-5</v>
      </c>
      <c r="E32" s="80">
        <f>_xlfn.COVARIANCE.P(
INDEX('01_Data_Raw'!$M$4:$T$755,0,MATCH($B32,'01_Data_Raw'!$M$3:$T$3,0)),
INDEX('01_Data_Raw'!$M$4:$T$755,0,MATCH(E$28,'01_Data_Raw'!$M$3:$T$3,0))
)</f>
        <v>4.1965880312822775E-5</v>
      </c>
      <c r="F32" s="79">
        <f>_xlfn.COVARIANCE.P(
INDEX('01_Data_Raw'!$M$4:$T$755,0,MATCH($B32,'01_Data_Raw'!$M$3:$T$3,0)),
INDEX('01_Data_Raw'!$M$4:$T$755,0,MATCH(F$28,'01_Data_Raw'!$M$3:$T$3,0))
)</f>
        <v>2.1913304481430411E-4</v>
      </c>
      <c r="G32" s="80">
        <f>_xlfn.COVARIANCE.P(
INDEX('01_Data_Raw'!$M$4:$T$755,0,MATCH($B32,'01_Data_Raw'!$M$3:$T$3,0)),
INDEX('01_Data_Raw'!$M$4:$T$755,0,MATCH(G$28,'01_Data_Raw'!$M$3:$T$3,0))
)</f>
        <v>2.7160540837480751E-5</v>
      </c>
      <c r="H32" s="80">
        <f>_xlfn.COVARIANCE.P(
INDEX('01_Data_Raw'!$M$4:$T$755,0,MATCH($B32,'01_Data_Raw'!$M$3:$T$3,0)),
INDEX('01_Data_Raw'!$M$4:$T$755,0,MATCH(H$28,'01_Data_Raw'!$M$3:$T$3,0))
)</f>
        <v>-1.0288392123900911E-5</v>
      </c>
      <c r="I32" s="80">
        <f>_xlfn.COVARIANCE.P(
INDEX('01_Data_Raw'!$M$4:$T$755,0,MATCH($B32,'01_Data_Raw'!$M$3:$T$3,0)),
INDEX('01_Data_Raw'!$M$4:$T$755,0,MATCH(I$28,'01_Data_Raw'!$M$3:$T$3,0))
)</f>
        <v>2.0978094975471106E-5</v>
      </c>
      <c r="J32" s="80">
        <f>_xlfn.COVARIANCE.P(
INDEX('01_Data_Raw'!$M$4:$T$755,0,MATCH($B32,'01_Data_Raw'!$M$3:$T$3,0)),
INDEX('01_Data_Raw'!$M$4:$T$755,0,MATCH(J$28,'01_Data_Raw'!$M$3:$T$3,0))
)</f>
        <v>1.4767625350197828E-5</v>
      </c>
    </row>
    <row r="33" spans="2:10" x14ac:dyDescent="0.45">
      <c r="B33" s="73" t="s">
        <v>6</v>
      </c>
      <c r="C33" s="80">
        <f>_xlfn.COVARIANCE.P(
INDEX('01_Data_Raw'!$M$4:$T$755,0,MATCH($B33,'01_Data_Raw'!$M$3:$T$3,0)),
INDEX('01_Data_Raw'!$M$4:$T$755,0,MATCH(C$28,'01_Data_Raw'!$M$3:$T$3,0))
)</f>
        <v>1.037852948724747E-5</v>
      </c>
      <c r="D33" s="80">
        <f>_xlfn.COVARIANCE.P(
INDEX('01_Data_Raw'!$M$4:$T$755,0,MATCH($B33,'01_Data_Raw'!$M$3:$T$3,0)),
INDEX('01_Data_Raw'!$M$4:$T$755,0,MATCH(D$28,'01_Data_Raw'!$M$3:$T$3,0))
)</f>
        <v>-3.1271997095160343E-5</v>
      </c>
      <c r="E33" s="80">
        <f>_xlfn.COVARIANCE.P(
INDEX('01_Data_Raw'!$M$4:$T$755,0,MATCH($B33,'01_Data_Raw'!$M$3:$T$3,0)),
INDEX('01_Data_Raw'!$M$4:$T$755,0,MATCH(E$28,'01_Data_Raw'!$M$3:$T$3,0))
)</f>
        <v>1.9544031851735247E-5</v>
      </c>
      <c r="F33" s="80">
        <f>_xlfn.COVARIANCE.P(
INDEX('01_Data_Raw'!$M$4:$T$755,0,MATCH($B33,'01_Data_Raw'!$M$3:$T$3,0)),
INDEX('01_Data_Raw'!$M$4:$T$755,0,MATCH(F$28,'01_Data_Raw'!$M$3:$T$3,0))
)</f>
        <v>2.7160540837480751E-5</v>
      </c>
      <c r="G33" s="79">
        <f>_xlfn.COVARIANCE.P(
INDEX('01_Data_Raw'!$M$4:$T$755,0,MATCH($B33,'01_Data_Raw'!$M$3:$T$3,0)),
INDEX('01_Data_Raw'!$M$4:$T$755,0,MATCH(G$28,'01_Data_Raw'!$M$3:$T$3,0))
)</f>
        <v>1.286689007566119E-4</v>
      </c>
      <c r="H33" s="80">
        <f>_xlfn.COVARIANCE.P(
INDEX('01_Data_Raw'!$M$4:$T$755,0,MATCH($B33,'01_Data_Raw'!$M$3:$T$3,0)),
INDEX('01_Data_Raw'!$M$4:$T$755,0,MATCH(H$28,'01_Data_Raw'!$M$3:$T$3,0))
)</f>
        <v>-3.1593437103081066E-5</v>
      </c>
      <c r="I33" s="80">
        <f>_xlfn.COVARIANCE.P(
INDEX('01_Data_Raw'!$M$4:$T$755,0,MATCH($B33,'01_Data_Raw'!$M$3:$T$3,0)),
INDEX('01_Data_Raw'!$M$4:$T$755,0,MATCH(I$28,'01_Data_Raw'!$M$3:$T$3,0))
)</f>
        <v>4.9056107876291476E-5</v>
      </c>
      <c r="J33" s="80">
        <f>_xlfn.COVARIANCE.P(
INDEX('01_Data_Raw'!$M$4:$T$755,0,MATCH($B33,'01_Data_Raw'!$M$3:$T$3,0)),
INDEX('01_Data_Raw'!$M$4:$T$755,0,MATCH(J$28,'01_Data_Raw'!$M$3:$T$3,0))
)</f>
        <v>3.3985817971496161E-5</v>
      </c>
    </row>
    <row r="34" spans="2:10" x14ac:dyDescent="0.45">
      <c r="B34" s="73" t="s">
        <v>7</v>
      </c>
      <c r="C34" s="80">
        <f>_xlfn.COVARIANCE.P(
INDEX('01_Data_Raw'!$M$4:$T$755,0,MATCH($B34,'01_Data_Raw'!$M$3:$T$3,0)),
INDEX('01_Data_Raw'!$M$4:$T$755,0,MATCH(C$28,'01_Data_Raw'!$M$3:$T$3,0))
)</f>
        <v>1.2619319951020003E-4</v>
      </c>
      <c r="D34" s="80">
        <f>_xlfn.COVARIANCE.P(
INDEX('01_Data_Raw'!$M$4:$T$755,0,MATCH($B34,'01_Data_Raw'!$M$3:$T$3,0)),
INDEX('01_Data_Raw'!$M$4:$T$755,0,MATCH(D$28,'01_Data_Raw'!$M$3:$T$3,0))
)</f>
        <v>1.7634092610066134E-4</v>
      </c>
      <c r="E34" s="80">
        <f>_xlfn.COVARIANCE.P(
INDEX('01_Data_Raw'!$M$4:$T$755,0,MATCH($B34,'01_Data_Raw'!$M$3:$T$3,0)),
INDEX('01_Data_Raw'!$M$4:$T$755,0,MATCH(E$28,'01_Data_Raw'!$M$3:$T$3,0))
)</f>
        <v>9.5020864113307555E-5</v>
      </c>
      <c r="F34" s="80">
        <f>_xlfn.COVARIANCE.P(
INDEX('01_Data_Raw'!$M$4:$T$755,0,MATCH($B34,'01_Data_Raw'!$M$3:$T$3,0)),
INDEX('01_Data_Raw'!$M$4:$T$755,0,MATCH(F$28,'01_Data_Raw'!$M$3:$T$3,0))
)</f>
        <v>-1.0288392123900911E-5</v>
      </c>
      <c r="G34" s="80">
        <f>_xlfn.COVARIANCE.P(
INDEX('01_Data_Raw'!$M$4:$T$755,0,MATCH($B34,'01_Data_Raw'!$M$3:$T$3,0)),
INDEX('01_Data_Raw'!$M$4:$T$755,0,MATCH(G$28,'01_Data_Raw'!$M$3:$T$3,0))
)</f>
        <v>-3.1593437103081066E-5</v>
      </c>
      <c r="H34" s="79">
        <f>_xlfn.COVARIANCE.P(
INDEX('01_Data_Raw'!$M$4:$T$755,0,MATCH($B34,'01_Data_Raw'!$M$3:$T$3,0)),
INDEX('01_Data_Raw'!$M$4:$T$755,0,MATCH(H$28,'01_Data_Raw'!$M$3:$T$3,0))
)</f>
        <v>4.0953629091944978E-4</v>
      </c>
      <c r="I34" s="80">
        <f>_xlfn.COVARIANCE.P(
INDEX('01_Data_Raw'!$M$4:$T$755,0,MATCH($B34,'01_Data_Raw'!$M$3:$T$3,0)),
INDEX('01_Data_Raw'!$M$4:$T$755,0,MATCH(I$28,'01_Data_Raw'!$M$3:$T$3,0))
)</f>
        <v>-2.0414693334020558E-5</v>
      </c>
      <c r="J34" s="80">
        <f>_xlfn.COVARIANCE.P(
INDEX('01_Data_Raw'!$M$4:$T$755,0,MATCH($B34,'01_Data_Raw'!$M$3:$T$3,0)),
INDEX('01_Data_Raw'!$M$4:$T$755,0,MATCH(J$28,'01_Data_Raw'!$M$3:$T$3,0))
)</f>
        <v>4.3777933558037865E-5</v>
      </c>
    </row>
    <row r="35" spans="2:10" x14ac:dyDescent="0.45">
      <c r="B35" s="73" t="s">
        <v>8</v>
      </c>
      <c r="C35" s="80">
        <f>_xlfn.COVARIANCE.P(
INDEX('01_Data_Raw'!$M$4:$T$755,0,MATCH($B35,'01_Data_Raw'!$M$3:$T$3,0)),
INDEX('01_Data_Raw'!$M$4:$T$755,0,MATCH(C$28,'01_Data_Raw'!$M$3:$T$3,0))
)</f>
        <v>2.0504821666823162E-5</v>
      </c>
      <c r="D35" s="80">
        <f>_xlfn.COVARIANCE.P(
INDEX('01_Data_Raw'!$M$4:$T$755,0,MATCH($B35,'01_Data_Raw'!$M$3:$T$3,0)),
INDEX('01_Data_Raw'!$M$4:$T$755,0,MATCH(D$28,'01_Data_Raw'!$M$3:$T$3,0))
)</f>
        <v>-1.0609780404916675E-5</v>
      </c>
      <c r="E35" s="80">
        <f>_xlfn.COVARIANCE.P(
INDEX('01_Data_Raw'!$M$4:$T$755,0,MATCH($B35,'01_Data_Raw'!$M$3:$T$3,0)),
INDEX('01_Data_Raw'!$M$4:$T$755,0,MATCH(E$28,'01_Data_Raw'!$M$3:$T$3,0))
)</f>
        <v>3.9422609973503305E-6</v>
      </c>
      <c r="F35" s="80">
        <f>_xlfn.COVARIANCE.P(
INDEX('01_Data_Raw'!$M$4:$T$755,0,MATCH($B35,'01_Data_Raw'!$M$3:$T$3,0)),
INDEX('01_Data_Raw'!$M$4:$T$755,0,MATCH(F$28,'01_Data_Raw'!$M$3:$T$3,0))
)</f>
        <v>2.0978094975471106E-5</v>
      </c>
      <c r="G35" s="80">
        <f>_xlfn.COVARIANCE.P(
INDEX('01_Data_Raw'!$M$4:$T$755,0,MATCH($B35,'01_Data_Raw'!$M$3:$T$3,0)),
INDEX('01_Data_Raw'!$M$4:$T$755,0,MATCH(G$28,'01_Data_Raw'!$M$3:$T$3,0))
)</f>
        <v>4.9056107876291476E-5</v>
      </c>
      <c r="H35" s="80">
        <f>_xlfn.COVARIANCE.P(
INDEX('01_Data_Raw'!$M$4:$T$755,0,MATCH($B35,'01_Data_Raw'!$M$3:$T$3,0)),
INDEX('01_Data_Raw'!$M$4:$T$755,0,MATCH(H$28,'01_Data_Raw'!$M$3:$T$3,0))
)</f>
        <v>-2.0414693334020558E-5</v>
      </c>
      <c r="I35" s="79">
        <f>_xlfn.COVARIANCE.P(
INDEX('01_Data_Raw'!$M$4:$T$755,0,MATCH($B35,'01_Data_Raw'!$M$3:$T$3,0)),
INDEX('01_Data_Raw'!$M$4:$T$755,0,MATCH(I$28,'01_Data_Raw'!$M$3:$T$3,0))
)</f>
        <v>1.1012621797910427E-4</v>
      </c>
      <c r="J35" s="80">
        <f>_xlfn.COVARIANCE.P(
INDEX('01_Data_Raw'!$M$4:$T$755,0,MATCH($B35,'01_Data_Raw'!$M$3:$T$3,0)),
INDEX('01_Data_Raw'!$M$4:$T$755,0,MATCH(J$28,'01_Data_Raw'!$M$3:$T$3,0))
)</f>
        <v>4.5282419329012307E-5</v>
      </c>
    </row>
    <row r="36" spans="2:10" ht="14.65" thickBot="1" x14ac:dyDescent="0.5">
      <c r="B36" s="76" t="s">
        <v>9</v>
      </c>
      <c r="C36" s="81">
        <f>_xlfn.COVARIANCE.P(
INDEX('01_Data_Raw'!$M$4:$T$755,0,MATCH($B36,'01_Data_Raw'!$M$3:$T$3,0)),
INDEX('01_Data_Raw'!$M$4:$T$755,0,MATCH(C$28,'01_Data_Raw'!$M$3:$T$3,0))
)</f>
        <v>5.5990033069714587E-5</v>
      </c>
      <c r="D36" s="81">
        <f>_xlfn.COVARIANCE.P(
INDEX('01_Data_Raw'!$M$4:$T$755,0,MATCH($B36,'01_Data_Raw'!$M$3:$T$3,0)),
INDEX('01_Data_Raw'!$M$4:$T$755,0,MATCH(D$28,'01_Data_Raw'!$M$3:$T$3,0))
)</f>
        <v>1.8716634578512806E-5</v>
      </c>
      <c r="E36" s="81">
        <f>_xlfn.COVARIANCE.P(
INDEX('01_Data_Raw'!$M$4:$T$755,0,MATCH($B36,'01_Data_Raw'!$M$3:$T$3,0)),
INDEX('01_Data_Raw'!$M$4:$T$755,0,MATCH(E$28,'01_Data_Raw'!$M$3:$T$3,0))
)</f>
        <v>3.6763175401235196E-5</v>
      </c>
      <c r="F36" s="81">
        <f>_xlfn.COVARIANCE.P(
INDEX('01_Data_Raw'!$M$4:$T$755,0,MATCH($B36,'01_Data_Raw'!$M$3:$T$3,0)),
INDEX('01_Data_Raw'!$M$4:$T$755,0,MATCH(F$28,'01_Data_Raw'!$M$3:$T$3,0))
)</f>
        <v>1.4767625350197828E-5</v>
      </c>
      <c r="G36" s="81">
        <f>_xlfn.COVARIANCE.P(
INDEX('01_Data_Raw'!$M$4:$T$755,0,MATCH($B36,'01_Data_Raw'!$M$3:$T$3,0)),
INDEX('01_Data_Raw'!$M$4:$T$755,0,MATCH(G$28,'01_Data_Raw'!$M$3:$T$3,0))
)</f>
        <v>3.3985817971496161E-5</v>
      </c>
      <c r="H36" s="81">
        <f>_xlfn.COVARIANCE.P(
INDEX('01_Data_Raw'!$M$4:$T$755,0,MATCH($B36,'01_Data_Raw'!$M$3:$T$3,0)),
INDEX('01_Data_Raw'!$M$4:$T$755,0,MATCH(H$28,'01_Data_Raw'!$M$3:$T$3,0))
)</f>
        <v>4.3777933558037865E-5</v>
      </c>
      <c r="I36" s="81">
        <f>_xlfn.COVARIANCE.P(
INDEX('01_Data_Raw'!$M$4:$T$755,0,MATCH($B36,'01_Data_Raw'!$M$3:$T$3,0)),
INDEX('01_Data_Raw'!$M$4:$T$755,0,MATCH(I$28,'01_Data_Raw'!$M$3:$T$3,0))
)</f>
        <v>4.5282419329012307E-5</v>
      </c>
      <c r="J36" s="82">
        <f>_xlfn.COVARIANCE.P(
INDEX('01_Data_Raw'!$M$4:$T$755,0,MATCH($B36,'01_Data_Raw'!$M$3:$T$3,0)),
INDEX('01_Data_Raw'!$M$4:$T$755,0,MATCH(J$28,'01_Data_Raw'!$M$3:$T$3,0))
)</f>
        <v>2.1319733150854778E-4</v>
      </c>
    </row>
  </sheetData>
  <sheetProtection algorithmName="SHA-512" hashValue="PkHX2JdS8SLHm5f92DZO5fjU5gQh8Tki16M68DP+KNv3U7hFRSWrrMF22u5aMNh2kwLlIdgErfO1vFGlGRRIvg==" saltValue="KJvF50XNyjG957oF92DeMA==" spinCount="100000" sheet="1" objects="1" scenarios="1" selectLockedCells="1"/>
  <mergeCells count="3">
    <mergeCell ref="B9:C9"/>
    <mergeCell ref="B16:J16"/>
    <mergeCell ref="B27:J27"/>
  </mergeCells>
  <conditionalFormatting sqref="C18:J25">
    <cfRule type="cellIs" dxfId="4" priority="5" operator="lessThan">
      <formula>0</formula>
    </cfRule>
  </conditionalFormatting>
  <conditionalFormatting sqref="C3:I3">
    <cfRule type="top10" dxfId="3" priority="3" bottom="1" rank="1"/>
    <cfRule type="top10" dxfId="2" priority="4" rank="1"/>
  </conditionalFormatting>
  <conditionalFormatting sqref="C4:I4">
    <cfRule type="top10" dxfId="1" priority="1" bottom="1" rank="1"/>
    <cfRule type="top10" dxfId="0" priority="2" rank="1"/>
  </conditionalFormatting>
  <pageMargins left="0.7" right="0.7" top="0.75" bottom="0.75" header="0.3" footer="0.3"/>
  <pageSetup paperSize="9" scale="83"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GeneratePortfolios">
                <anchor moveWithCells="1" sizeWithCells="1">
                  <from>
                    <xdr:col>3</xdr:col>
                    <xdr:colOff>390525</xdr:colOff>
                    <xdr:row>9</xdr:row>
                    <xdr:rowOff>142875</xdr:rowOff>
                  </from>
                  <to>
                    <xdr:col>4</xdr:col>
                    <xdr:colOff>290513</xdr:colOff>
                    <xdr:row>12</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1DFD-9514-4FDF-B345-96D3C362B712}">
  <sheetPr codeName="Feuil9">
    <pageSetUpPr fitToPage="1"/>
  </sheetPr>
  <dimension ref="B1:Q26"/>
  <sheetViews>
    <sheetView showGridLines="0" zoomScaleNormal="100" workbookViewId="0">
      <selection activeCell="B4" sqref="B4"/>
    </sheetView>
  </sheetViews>
  <sheetFormatPr baseColWidth="10" defaultRowHeight="14.25" x14ac:dyDescent="0.45"/>
  <cols>
    <col min="1" max="1" width="2.19921875" customWidth="1"/>
    <col min="2" max="2" width="15.3984375" customWidth="1"/>
    <col min="3" max="10" width="8.06640625" customWidth="1"/>
    <col min="11" max="11" width="8.53125" customWidth="1"/>
    <col min="12" max="12" width="7.53125" customWidth="1"/>
    <col min="13" max="13" width="11" customWidth="1"/>
  </cols>
  <sheetData>
    <row r="1" spans="2:17" x14ac:dyDescent="0.45">
      <c r="O1" s="75"/>
    </row>
    <row r="2" spans="2:17" ht="15.75" x14ac:dyDescent="0.5">
      <c r="B2" s="83" t="s">
        <v>15</v>
      </c>
    </row>
    <row r="3" spans="2:17" ht="14.65" thickBot="1" x14ac:dyDescent="0.5">
      <c r="C3" s="145"/>
      <c r="D3" s="145"/>
      <c r="E3" s="145"/>
      <c r="F3" s="145"/>
      <c r="G3" s="145"/>
      <c r="H3" s="145"/>
      <c r="I3" s="145"/>
      <c r="J3" s="145"/>
      <c r="K3" s="145"/>
      <c r="L3" s="145"/>
    </row>
    <row r="4" spans="2:17" x14ac:dyDescent="0.45">
      <c r="B4" s="84" t="s">
        <v>16</v>
      </c>
      <c r="C4" s="85" t="s">
        <v>2</v>
      </c>
      <c r="D4" s="86" t="s">
        <v>3</v>
      </c>
      <c r="E4" s="87" t="s">
        <v>4</v>
      </c>
      <c r="F4" s="87" t="s">
        <v>5</v>
      </c>
      <c r="G4" s="85" t="s">
        <v>6</v>
      </c>
      <c r="H4" s="85" t="s">
        <v>7</v>
      </c>
      <c r="I4" s="86" t="s">
        <v>8</v>
      </c>
      <c r="J4" s="88" t="s">
        <v>9</v>
      </c>
      <c r="K4" s="65" t="s">
        <v>38</v>
      </c>
      <c r="L4" s="85" t="s">
        <v>36</v>
      </c>
      <c r="M4" s="88" t="s">
        <v>14</v>
      </c>
    </row>
    <row r="5" spans="2:17" x14ac:dyDescent="0.45">
      <c r="B5" s="89" t="s">
        <v>63</v>
      </c>
      <c r="C5" s="18">
        <v>4.9999999999999996E-2</v>
      </c>
      <c r="D5" s="18">
        <v>0.05</v>
      </c>
      <c r="E5" s="18">
        <v>0.1</v>
      </c>
      <c r="F5" s="18">
        <v>0.40000005</v>
      </c>
      <c r="G5" s="18">
        <v>0.05</v>
      </c>
      <c r="H5" s="18">
        <v>0.02</v>
      </c>
      <c r="I5" s="18">
        <v>0.27999994999999994</v>
      </c>
      <c r="J5" s="90">
        <v>0.05</v>
      </c>
      <c r="K5" s="91">
        <v>0.1842293761933306</v>
      </c>
      <c r="L5" s="18">
        <v>0.12804446889547938</v>
      </c>
      <c r="M5" s="92">
        <v>1.0732941249146182</v>
      </c>
    </row>
    <row r="6" spans="2:17" x14ac:dyDescent="0.45">
      <c r="B6" s="89" t="s">
        <v>64</v>
      </c>
      <c r="C6" s="18">
        <v>5.000000000000001E-2</v>
      </c>
      <c r="D6" s="18">
        <v>0.11472340783966957</v>
      </c>
      <c r="E6" s="18">
        <v>0.1</v>
      </c>
      <c r="F6" s="18">
        <v>0.20251067020434757</v>
      </c>
      <c r="G6" s="18">
        <v>9.8155563930805878E-2</v>
      </c>
      <c r="H6" s="18">
        <v>0.02</v>
      </c>
      <c r="I6" s="18">
        <v>0.36461035437311318</v>
      </c>
      <c r="J6" s="90">
        <v>0.05</v>
      </c>
      <c r="K6" s="91">
        <v>0.19151493470765182</v>
      </c>
      <c r="L6" s="18">
        <v>0.11068044146339515</v>
      </c>
      <c r="M6" s="92">
        <v>1.3075023264658079</v>
      </c>
    </row>
    <row r="7" spans="2:17" x14ac:dyDescent="0.45">
      <c r="B7" s="89" t="s">
        <v>65</v>
      </c>
      <c r="C7" s="18">
        <v>0.05</v>
      </c>
      <c r="D7" s="18">
        <v>0.14089838966503618</v>
      </c>
      <c r="E7" s="18">
        <v>0.1</v>
      </c>
      <c r="F7" s="18">
        <v>0.1363410788419242</v>
      </c>
      <c r="G7" s="18">
        <v>0.21869890577355031</v>
      </c>
      <c r="H7" s="18">
        <v>3.0325897398786703E-2</v>
      </c>
      <c r="I7" s="18">
        <v>0.27373572601844542</v>
      </c>
      <c r="J7" s="90">
        <v>0.05</v>
      </c>
      <c r="K7" s="91">
        <v>0.19880055407645847</v>
      </c>
      <c r="L7" s="18">
        <v>0.10698116969721588</v>
      </c>
      <c r="M7" s="92">
        <v>1.4208159670216634</v>
      </c>
    </row>
    <row r="8" spans="2:17" x14ac:dyDescent="0.45">
      <c r="B8" s="89" t="s">
        <v>66</v>
      </c>
      <c r="C8" s="18">
        <v>0.05</v>
      </c>
      <c r="D8" s="18">
        <v>0.1238612947645604</v>
      </c>
      <c r="E8" s="18">
        <v>0.11272033829138717</v>
      </c>
      <c r="F8" s="18">
        <v>0.11223548871215522</v>
      </c>
      <c r="G8" s="18">
        <v>0.23566048357383157</v>
      </c>
      <c r="H8" s="18">
        <v>5.1375253613080089E-2</v>
      </c>
      <c r="I8" s="18">
        <v>0.23520585269134603</v>
      </c>
      <c r="J8" s="90">
        <v>7.894128804320312E-2</v>
      </c>
      <c r="K8" s="91">
        <v>0.20608617089524234</v>
      </c>
      <c r="L8" s="18">
        <v>0.10740986141519734</v>
      </c>
      <c r="M8" s="92">
        <v>1.482975294787086</v>
      </c>
    </row>
    <row r="9" spans="2:17" x14ac:dyDescent="0.45">
      <c r="B9" s="89" t="s">
        <v>67</v>
      </c>
      <c r="C9" s="18">
        <v>0.05</v>
      </c>
      <c r="D9" s="18">
        <v>0.10961743652521291</v>
      </c>
      <c r="E9" s="18">
        <v>0.14770684569268694</v>
      </c>
      <c r="F9" s="18">
        <v>9.1356574671828353E-2</v>
      </c>
      <c r="G9" s="18">
        <v>0.23765024581760213</v>
      </c>
      <c r="H9" s="18">
        <v>5.7241153415013499E-2</v>
      </c>
      <c r="I9" s="18">
        <v>0.21056285693861126</v>
      </c>
      <c r="J9" s="90">
        <v>9.5864886687934275E-2</v>
      </c>
      <c r="K9" s="91">
        <v>0.21337178799058196</v>
      </c>
      <c r="L9" s="18">
        <v>0.10908414203478439</v>
      </c>
      <c r="M9" s="92">
        <v>1.5270027786208016</v>
      </c>
    </row>
    <row r="10" spans="2:17" x14ac:dyDescent="0.45">
      <c r="B10" s="89" t="s">
        <v>68</v>
      </c>
      <c r="C10" s="18">
        <v>0.05</v>
      </c>
      <c r="D10" s="18">
        <v>9.4977205144908164E-2</v>
      </c>
      <c r="E10" s="18">
        <v>0.18254238426027627</v>
      </c>
      <c r="F10" s="18">
        <v>7.0367226310650524E-2</v>
      </c>
      <c r="G10" s="18">
        <v>0.23973356814009861</v>
      </c>
      <c r="H10" s="18">
        <v>6.3725027211121194E-2</v>
      </c>
      <c r="I10" s="18">
        <v>0.18629091027128555</v>
      </c>
      <c r="J10" s="90">
        <v>0.1123636771805069</v>
      </c>
      <c r="K10" s="91">
        <v>0.2206576192067054</v>
      </c>
      <c r="L10" s="18">
        <v>0.11175264742853804</v>
      </c>
      <c r="M10" s="92">
        <v>1.5557360224318744</v>
      </c>
    </row>
    <row r="11" spans="2:17" x14ac:dyDescent="0.45">
      <c r="B11" s="89" t="s">
        <v>69</v>
      </c>
      <c r="C11" s="18">
        <v>0.05</v>
      </c>
      <c r="D11" s="18">
        <v>8.0392360826160275E-2</v>
      </c>
      <c r="E11" s="18">
        <v>0.21752328139134913</v>
      </c>
      <c r="F11" s="18">
        <v>0.05</v>
      </c>
      <c r="G11" s="18">
        <v>0.24156406376230469</v>
      </c>
      <c r="H11" s="18">
        <v>6.9953987566500689E-2</v>
      </c>
      <c r="I11" s="18">
        <v>0.16142908566044606</v>
      </c>
      <c r="J11" s="90">
        <v>0.1291372193736717</v>
      </c>
      <c r="K11" s="91">
        <v>0.22794324413047123</v>
      </c>
      <c r="L11" s="18">
        <v>0.11534645713250945</v>
      </c>
      <c r="M11" s="92">
        <v>1.570427463778751</v>
      </c>
      <c r="Q11" s="93"/>
    </row>
    <row r="12" spans="2:17" x14ac:dyDescent="0.45">
      <c r="B12" s="89" t="s">
        <v>70</v>
      </c>
      <c r="C12" s="18">
        <v>5.9044779583257025E-2</v>
      </c>
      <c r="D12" s="18">
        <v>5.8775481813520956E-2</v>
      </c>
      <c r="E12" s="18">
        <v>0.25162367673685937</v>
      </c>
      <c r="F12" s="18">
        <v>0.05</v>
      </c>
      <c r="G12" s="18">
        <v>0.23585023990987528</v>
      </c>
      <c r="H12" s="18">
        <v>7.6218309612595958E-2</v>
      </c>
      <c r="I12" s="18">
        <v>0.1212547068844089</v>
      </c>
      <c r="J12" s="90">
        <v>0.14723280595615068</v>
      </c>
      <c r="K12" s="91">
        <v>0.23522864165341231</v>
      </c>
      <c r="L12" s="18">
        <v>0.11990104884162102</v>
      </c>
      <c r="M12" s="92">
        <v>1.5715345568186843</v>
      </c>
      <c r="N12" s="94"/>
    </row>
    <row r="13" spans="2:17" x14ac:dyDescent="0.45">
      <c r="B13" s="89" t="s">
        <v>71</v>
      </c>
      <c r="C13" s="18">
        <v>6.6032496339141059E-2</v>
      </c>
      <c r="D13" s="18">
        <v>0.05</v>
      </c>
      <c r="E13" s="18">
        <v>0.28754009621509052</v>
      </c>
      <c r="F13" s="18">
        <v>0.05</v>
      </c>
      <c r="G13" s="18">
        <v>0.22985528475459907</v>
      </c>
      <c r="H13" s="18">
        <v>7.682257214291735E-2</v>
      </c>
      <c r="I13" s="18">
        <v>7.2649506945644926E-2</v>
      </c>
      <c r="J13" s="90">
        <v>0.16710004471625539</v>
      </c>
      <c r="K13" s="91">
        <v>0.24251425967047652</v>
      </c>
      <c r="L13" s="18">
        <v>0.12545223561854385</v>
      </c>
      <c r="M13" s="92">
        <v>1.5600699238678757</v>
      </c>
    </row>
    <row r="14" spans="2:17" x14ac:dyDescent="0.45">
      <c r="B14" s="89" t="s">
        <v>72</v>
      </c>
      <c r="C14" s="18">
        <v>6.7744107347548724E-2</v>
      </c>
      <c r="D14" s="18">
        <v>0.05</v>
      </c>
      <c r="E14" s="18">
        <v>0.34004653938589285</v>
      </c>
      <c r="F14" s="18">
        <v>0.05</v>
      </c>
      <c r="G14" s="18">
        <v>0.18670809021826329</v>
      </c>
      <c r="H14" s="18">
        <v>7.1401005365981332E-2</v>
      </c>
      <c r="I14" s="18">
        <v>0.05</v>
      </c>
      <c r="J14" s="90">
        <v>0.18410025880904096</v>
      </c>
      <c r="K14" s="91">
        <v>0.2497998769704847</v>
      </c>
      <c r="L14" s="18">
        <v>0.13222161177263569</v>
      </c>
      <c r="M14" s="92">
        <v>1.5353002754160732</v>
      </c>
    </row>
    <row r="15" spans="2:17" x14ac:dyDescent="0.45">
      <c r="B15" s="89" t="s">
        <v>73</v>
      </c>
      <c r="C15" s="18">
        <v>6.8396418326497968E-2</v>
      </c>
      <c r="D15" s="18">
        <v>0.05</v>
      </c>
      <c r="E15" s="18">
        <v>0.4</v>
      </c>
      <c r="F15" s="18">
        <v>0.05</v>
      </c>
      <c r="G15" s="18">
        <v>0.11448514907312912</v>
      </c>
      <c r="H15" s="18">
        <v>6.6258695048462379E-2</v>
      </c>
      <c r="I15" s="18">
        <v>0.05</v>
      </c>
      <c r="J15" s="90">
        <v>0.20085973799632928</v>
      </c>
      <c r="K15" s="91">
        <v>0.25708549442166667</v>
      </c>
      <c r="L15" s="18">
        <v>0.14081140579981521</v>
      </c>
      <c r="M15" s="92">
        <v>1.4933839572670655</v>
      </c>
    </row>
    <row r="16" spans="2:17" x14ac:dyDescent="0.45">
      <c r="B16" s="89" t="s">
        <v>74</v>
      </c>
      <c r="C16" s="18">
        <v>0.10000019420255932</v>
      </c>
      <c r="D16" s="18">
        <v>0.05</v>
      </c>
      <c r="E16" s="18">
        <v>0.4</v>
      </c>
      <c r="F16" s="18">
        <v>0.05</v>
      </c>
      <c r="G16" s="18">
        <v>5.000000000000001E-2</v>
      </c>
      <c r="H16" s="18">
        <v>0.25</v>
      </c>
      <c r="I16" s="18">
        <v>0.05</v>
      </c>
      <c r="J16" s="90">
        <v>4.9999799140262015E-2</v>
      </c>
      <c r="K16" s="91">
        <v>0.26437120496178834</v>
      </c>
      <c r="L16" s="18">
        <v>0.16559843031376983</v>
      </c>
      <c r="M16" s="92">
        <v>1.313848232435189</v>
      </c>
    </row>
    <row r="17" spans="2:13" x14ac:dyDescent="0.45">
      <c r="B17" s="95" t="s">
        <v>61</v>
      </c>
      <c r="C17" s="96">
        <v>5.5123194505901182E-2</v>
      </c>
      <c r="D17" s="96">
        <v>6.8029828351730978E-2</v>
      </c>
      <c r="E17" s="96">
        <v>0.23703658611445275</v>
      </c>
      <c r="F17" s="96">
        <v>0.05</v>
      </c>
      <c r="G17" s="96">
        <v>0.23830483312257983</v>
      </c>
      <c r="H17" s="96">
        <v>7.3548182890605718E-2</v>
      </c>
      <c r="I17" s="96">
        <v>0.13844609241220382</v>
      </c>
      <c r="J17" s="97">
        <v>0.13951147450468435</v>
      </c>
      <c r="K17" s="98">
        <v>0.23211063991706524</v>
      </c>
      <c r="L17" s="96">
        <v>0.11782782810199348</v>
      </c>
      <c r="M17" s="99">
        <v>1.572723887914302</v>
      </c>
    </row>
    <row r="18" spans="2:13" ht="14.65" thickBot="1" x14ac:dyDescent="0.5">
      <c r="B18" s="100" t="s">
        <v>62</v>
      </c>
      <c r="C18" s="101">
        <v>0.05</v>
      </c>
      <c r="D18" s="101">
        <v>0.13588394741463944</v>
      </c>
      <c r="E18" s="101">
        <v>0.1</v>
      </c>
      <c r="F18" s="101">
        <v>0.12925409778526289</v>
      </c>
      <c r="G18" s="101">
        <v>0.22649914470316243</v>
      </c>
      <c r="H18" s="101">
        <v>3.9034283951063224E-2</v>
      </c>
      <c r="I18" s="101">
        <v>0.26186331967216736</v>
      </c>
      <c r="J18" s="102">
        <v>5.7465406430046738E-2</v>
      </c>
      <c r="K18" s="103">
        <v>0.20067593934188305</v>
      </c>
      <c r="L18" s="101">
        <v>0.10690989587884811</v>
      </c>
      <c r="M18" s="104">
        <v>1.4393049219340515</v>
      </c>
    </row>
    <row r="19" spans="2:13" x14ac:dyDescent="0.45">
      <c r="B19" s="75"/>
    </row>
    <row r="20" spans="2:13" ht="15.75" x14ac:dyDescent="0.5">
      <c r="B20" s="83" t="s">
        <v>35</v>
      </c>
    </row>
    <row r="21" spans="2:13" ht="14.65" thickBot="1" x14ac:dyDescent="0.5"/>
    <row r="22" spans="2:13" x14ac:dyDescent="0.45">
      <c r="B22" s="65" t="s">
        <v>13</v>
      </c>
      <c r="C22" s="85" t="s">
        <v>38</v>
      </c>
      <c r="D22" s="66" t="s">
        <v>36</v>
      </c>
    </row>
    <row r="23" spans="2:13" x14ac:dyDescent="0.45">
      <c r="B23" s="105">
        <v>0</v>
      </c>
      <c r="C23" s="106">
        <f>'02_Stats'!$C$12+B23*($K$17-'02_Stats'!$C$12)</f>
        <v>4.6800000000000001E-2</v>
      </c>
      <c r="D23" s="107">
        <f>B23*$L$17</f>
        <v>0</v>
      </c>
    </row>
    <row r="24" spans="2:13" x14ac:dyDescent="0.45">
      <c r="B24" s="105">
        <v>1</v>
      </c>
      <c r="C24" s="106">
        <f>'02_Stats'!$C$12+B24*($K$17-'02_Stats'!$C$12)</f>
        <v>0.23211063991706524</v>
      </c>
      <c r="D24" s="107">
        <f>B24*$L$17</f>
        <v>0.11782782810199348</v>
      </c>
      <c r="G24" s="93"/>
      <c r="H24" s="12"/>
      <c r="I24" s="12"/>
    </row>
    <row r="25" spans="2:13" ht="14.65" thickBot="1" x14ac:dyDescent="0.5">
      <c r="B25" s="108">
        <v>2</v>
      </c>
      <c r="C25" s="109">
        <f>'02_Stats'!$C$12+B25*($K$17-'02_Stats'!$C$12)</f>
        <v>0.41742127983413047</v>
      </c>
      <c r="D25" s="110">
        <f>B25*$L$17</f>
        <v>0.23565565620398696</v>
      </c>
      <c r="G25" s="93"/>
      <c r="H25" s="12"/>
      <c r="I25" s="12"/>
    </row>
    <row r="26" spans="2:13" x14ac:dyDescent="0.45">
      <c r="G26" s="93"/>
      <c r="H26" s="40"/>
      <c r="I26" s="40"/>
    </row>
  </sheetData>
  <sheetProtection algorithmName="SHA-512" hashValue="mk/Z1cfZMA44msRE8ZMGwipEmRIhpJ6oLAyga69nrAGzlMqkJMRvFIhjz5mv2xlUMiEPkx+ooANc6l7YXmic/w==" saltValue="P49Z6iK/XpeFnOGi16xVBQ==" spinCount="100000" sheet="1" objects="1" scenarios="1" selectLockedCells="1"/>
  <mergeCells count="2">
    <mergeCell ref="C3:J3"/>
    <mergeCell ref="K3:L3"/>
  </mergeCells>
  <phoneticPr fontId="3" type="noConversion"/>
  <pageMargins left="0.7" right="0.7" top="0.75" bottom="0.75" header="0.3" footer="0.3"/>
  <pageSetup paperSize="9" scale="62" fitToHeight="0" orientation="landscape"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D361D-02D8-4E39-9A46-9F988C140E4E}">
  <sheetPr codeName="Feuil2">
    <pageSetUpPr fitToPage="1"/>
  </sheetPr>
  <dimension ref="A1:Q63"/>
  <sheetViews>
    <sheetView showGridLines="0" showRowColHeaders="0" tabSelected="1" zoomScaleNormal="100" workbookViewId="0">
      <selection activeCell="C7" sqref="C7"/>
    </sheetView>
  </sheetViews>
  <sheetFormatPr baseColWidth="10" defaultRowHeight="14.25" x14ac:dyDescent="0.45"/>
  <cols>
    <col min="1" max="1" width="1.796875" customWidth="1"/>
    <col min="2" max="2" width="16.46484375" customWidth="1"/>
    <col min="3" max="3" width="15.265625" bestFit="1" customWidth="1"/>
    <col min="4" max="4" width="4.53125" customWidth="1"/>
    <col min="5" max="6" width="10.6640625" customWidth="1"/>
    <col min="7" max="7" width="8.86328125" customWidth="1"/>
    <col min="8" max="8" width="19" customWidth="1"/>
    <col min="9" max="9" width="23.19921875" customWidth="1"/>
    <col min="10" max="10" width="4.73046875" customWidth="1"/>
    <col min="11" max="11" width="11.265625" customWidth="1"/>
    <col min="12" max="12" width="4" customWidth="1"/>
    <col min="13" max="13" width="12" customWidth="1"/>
    <col min="14" max="14" width="21.59765625" customWidth="1"/>
    <col min="15" max="15" width="10.6640625" customWidth="1"/>
  </cols>
  <sheetData>
    <row r="1" spans="1:17" ht="9.4" customHeight="1" x14ac:dyDescent="0.45">
      <c r="A1" s="7"/>
      <c r="B1" s="131" t="s">
        <v>39</v>
      </c>
      <c r="C1" s="131"/>
      <c r="D1" s="131"/>
      <c r="E1" s="131"/>
      <c r="F1" s="131"/>
      <c r="G1" s="131"/>
      <c r="H1" s="7"/>
      <c r="I1" s="7"/>
      <c r="J1" s="7"/>
      <c r="K1" s="7"/>
      <c r="L1" s="7"/>
      <c r="M1" s="7"/>
      <c r="N1" s="7"/>
      <c r="O1" s="7"/>
      <c r="P1" s="7"/>
      <c r="Q1" s="7"/>
    </row>
    <row r="2" spans="1:17" ht="17.25" customHeight="1" x14ac:dyDescent="0.45">
      <c r="A2" s="7"/>
      <c r="B2" s="131"/>
      <c r="C2" s="131"/>
      <c r="D2" s="131"/>
      <c r="E2" s="131"/>
      <c r="F2" s="131"/>
      <c r="G2" s="131"/>
      <c r="H2" s="8" t="s">
        <v>40</v>
      </c>
      <c r="I2" s="8" t="s">
        <v>41</v>
      </c>
      <c r="J2" s="127" t="s">
        <v>76</v>
      </c>
      <c r="K2" s="127"/>
      <c r="L2" s="127"/>
      <c r="M2" s="7"/>
      <c r="N2" s="7"/>
      <c r="O2" s="7"/>
      <c r="P2" s="7"/>
      <c r="Q2" s="7"/>
    </row>
    <row r="3" spans="1:17" ht="15.75" x14ac:dyDescent="0.5">
      <c r="A3" s="7"/>
      <c r="B3" s="131"/>
      <c r="C3" s="131"/>
      <c r="D3" s="131"/>
      <c r="E3" s="131"/>
      <c r="F3" s="131"/>
      <c r="G3" s="131"/>
      <c r="H3" s="120">
        <v>46295.890601851854</v>
      </c>
      <c r="I3" s="9" t="s">
        <v>77</v>
      </c>
      <c r="J3" s="128" t="s">
        <v>42</v>
      </c>
      <c r="K3" s="128"/>
      <c r="L3" s="128"/>
      <c r="M3" s="7"/>
      <c r="N3" s="7"/>
      <c r="O3" s="7"/>
      <c r="P3" s="7"/>
      <c r="Q3" s="7"/>
    </row>
    <row r="4" spans="1:17" x14ac:dyDescent="0.45">
      <c r="A4" s="7"/>
      <c r="B4" s="131"/>
      <c r="C4" s="131"/>
      <c r="D4" s="131"/>
      <c r="E4" s="131"/>
      <c r="F4" s="131"/>
      <c r="G4" s="131"/>
      <c r="H4" s="7"/>
      <c r="I4" s="7"/>
      <c r="J4" s="7"/>
      <c r="K4" s="7"/>
      <c r="L4" s="7"/>
      <c r="M4" s="7"/>
      <c r="N4" s="7"/>
      <c r="O4" s="7"/>
      <c r="P4" s="7"/>
      <c r="Q4" s="7"/>
    </row>
    <row r="6" spans="1:17" x14ac:dyDescent="0.45">
      <c r="B6" s="133" t="s">
        <v>58</v>
      </c>
      <c r="C6" s="133"/>
      <c r="E6" s="129" t="s">
        <v>52</v>
      </c>
      <c r="F6" s="129"/>
      <c r="G6" s="129"/>
      <c r="H6" s="129"/>
      <c r="I6" s="129"/>
      <c r="J6" s="129"/>
      <c r="K6" s="129"/>
      <c r="L6" s="10"/>
      <c r="M6" s="129" t="s">
        <v>15</v>
      </c>
      <c r="N6" s="132"/>
      <c r="O6" s="132"/>
      <c r="P6" s="132"/>
    </row>
    <row r="7" spans="1:17" x14ac:dyDescent="0.45">
      <c r="B7" s="11" t="s">
        <v>59</v>
      </c>
      <c r="C7" s="117" t="s">
        <v>61</v>
      </c>
    </row>
    <row r="8" spans="1:17" x14ac:dyDescent="0.45">
      <c r="B8" s="11" t="s">
        <v>43</v>
      </c>
      <c r="C8" s="12">
        <f>_xlfn.XLOOKUP($C$7,'03_Efficient Frontier'!$B$5:$B$18,'03_Efficient Frontier'!$K$5:$K$18,"")</f>
        <v>0.23211063991706524</v>
      </c>
    </row>
    <row r="9" spans="1:17" x14ac:dyDescent="0.45">
      <c r="B9" s="11" t="s">
        <v>17</v>
      </c>
      <c r="C9" s="12">
        <f>_xlfn.XLOOKUP($C$7,'03_Efficient Frontier'!$B$5:$B$18,'03_Efficient Frontier'!$L$5:$L$18,"")</f>
        <v>0.11782782810199348</v>
      </c>
    </row>
    <row r="10" spans="1:17" x14ac:dyDescent="0.45">
      <c r="B10" s="11" t="s">
        <v>14</v>
      </c>
      <c r="C10" s="13">
        <f>_xlfn.XLOOKUP($C$7,'03_Efficient Frontier'!$B$5:$B$18,'03_Efficient Frontier'!$M$5:$M$18,"")</f>
        <v>1.572723887914302</v>
      </c>
    </row>
    <row r="11" spans="1:17" x14ac:dyDescent="0.45">
      <c r="B11" s="11" t="s">
        <v>75</v>
      </c>
      <c r="C11" s="116">
        <f>MIN('01_Data_Raw'!AB4:AB755)</f>
        <v>-0.14732802903970721</v>
      </c>
    </row>
    <row r="12" spans="1:17" x14ac:dyDescent="0.45">
      <c r="B12" s="11" t="s">
        <v>76</v>
      </c>
      <c r="C12" s="12">
        <f>'02_Stats'!C12</f>
        <v>4.6800000000000001E-2</v>
      </c>
    </row>
    <row r="13" spans="1:17" x14ac:dyDescent="0.45">
      <c r="B13" s="11" t="s">
        <v>44</v>
      </c>
    </row>
    <row r="20" spans="2:16" x14ac:dyDescent="0.45">
      <c r="B20" s="129" t="s">
        <v>45</v>
      </c>
      <c r="C20" s="129"/>
      <c r="D20" s="129"/>
      <c r="E20" s="129"/>
      <c r="F20" s="129"/>
      <c r="G20" s="129"/>
      <c r="H20" s="129"/>
      <c r="I20" s="129"/>
      <c r="J20" s="14"/>
      <c r="K20" s="129" t="s">
        <v>46</v>
      </c>
      <c r="L20" s="129"/>
      <c r="M20" s="129"/>
      <c r="N20" s="129"/>
      <c r="O20" s="129"/>
      <c r="P20" s="129"/>
    </row>
    <row r="21" spans="2:16" x14ac:dyDescent="0.45">
      <c r="K21" s="130" t="s">
        <v>47</v>
      </c>
      <c r="L21" s="130"/>
      <c r="M21" s="130"/>
      <c r="N21" s="15" t="s">
        <v>49</v>
      </c>
      <c r="O21" s="15" t="s">
        <v>48</v>
      </c>
      <c r="P21" s="15" t="s">
        <v>50</v>
      </c>
    </row>
    <row r="22" spans="2:16" x14ac:dyDescent="0.45">
      <c r="K22" s="126" t="e" vm="1">
        <v>#VALUE!</v>
      </c>
      <c r="L22" s="126"/>
      <c r="M22" s="126"/>
      <c r="N22" t="str" cm="1">
        <f t="array" aca="1" ref="N22" ca="1">_FV(K22,"Industry")</f>
        <v>Computers, Phones &amp; Household Electronics</v>
      </c>
      <c r="O22" s="16" cm="1">
        <f t="array" aca="1" ref="O22" ca="1">_FV(K22,"Price")</f>
        <v>335.31</v>
      </c>
      <c r="P22" s="17" cm="1">
        <f t="array" aca="1" ref="P22" ca="1">_FV(K22,"Beta")</f>
        <v>1.0716000000000001</v>
      </c>
    </row>
    <row r="23" spans="2:16" x14ac:dyDescent="0.45">
      <c r="K23" s="126" t="e" vm="2">
        <v>#VALUE!</v>
      </c>
      <c r="L23" s="126"/>
      <c r="M23" s="126"/>
      <c r="N23" t="str" cm="1">
        <f t="array" aca="1" ref="N23" ca="1">_FV(K23,"Industry")</f>
        <v>Software &amp; IT Services</v>
      </c>
      <c r="O23" s="16" cm="1">
        <f t="array" aca="1" ref="O23" ca="1">_FV(K23,"Price")</f>
        <v>517.24</v>
      </c>
      <c r="P23" s="17" cm="1">
        <f t="array" aca="1" ref="P23" ca="1">_FV(K23,"Beta")</f>
        <v>1.1006</v>
      </c>
    </row>
    <row r="24" spans="2:16" x14ac:dyDescent="0.45">
      <c r="K24" s="126" t="e" vm="3">
        <v>#VALUE!</v>
      </c>
      <c r="L24" s="126"/>
      <c r="M24" s="126"/>
      <c r="N24" t="s">
        <v>51</v>
      </c>
      <c r="O24" s="16" cm="1">
        <f t="array" aca="1" ref="O24" ca="1">_FV(K24,"Price")</f>
        <v>30.25</v>
      </c>
      <c r="P24" s="17">
        <v>0.98</v>
      </c>
    </row>
    <row r="25" spans="2:16" x14ac:dyDescent="0.45">
      <c r="K25" s="126" t="e" vm="4">
        <v>#VALUE!</v>
      </c>
      <c r="L25" s="126"/>
      <c r="M25" s="126"/>
      <c r="N25" t="str" cm="1">
        <f t="array" aca="1" ref="N25" ca="1">_FV(K25,"Industry")</f>
        <v>Oil &amp; Gas</v>
      </c>
      <c r="O25" s="16" cm="1">
        <f t="array" aca="1" ref="O25" ca="1">_FV(K25,"Price")</f>
        <v>163.15459999999999</v>
      </c>
      <c r="P25" s="17" cm="1">
        <f t="array" aca="1" ref="P25" ca="1">_FV(K25,"Beta")</f>
        <v>0.2097</v>
      </c>
    </row>
    <row r="26" spans="2:16" x14ac:dyDescent="0.45">
      <c r="K26" s="126" t="e" vm="5">
        <v>#VALUE!</v>
      </c>
      <c r="L26" s="126"/>
      <c r="M26" s="126"/>
      <c r="N26" t="str" cm="1">
        <f t="array" aca="1" ref="N26" ca="1">_FV(K26,"Industry")</f>
        <v>Pharmaceuticals</v>
      </c>
      <c r="O26" s="16" cm="1">
        <f t="array" aca="1" ref="O26" ca="1">_FV(K26,"Price")</f>
        <v>265.34500000000003</v>
      </c>
      <c r="P26" s="17" cm="1">
        <f t="array" aca="1" ref="P26" ca="1">_FV(K26,"Beta")</f>
        <v>0.20469999999999999</v>
      </c>
    </row>
    <row r="27" spans="2:16" x14ac:dyDescent="0.45">
      <c r="K27" s="126" t="e" vm="6">
        <v>#VALUE!</v>
      </c>
      <c r="L27" s="126"/>
      <c r="M27" s="126"/>
      <c r="N27" t="str" cm="1">
        <f t="array" aca="1" ref="N27" ca="1">_FV(K27,"Industry")</f>
        <v>Diversified Retail</v>
      </c>
      <c r="O27" s="16" cm="1">
        <f t="array" aca="1" ref="O27" ca="1">_FV(K27,"Price")</f>
        <v>249.93209999999999</v>
      </c>
      <c r="P27" s="17" cm="1">
        <f t="array" aca="1" ref="P27" ca="1">_FV(K27,"Beta")</f>
        <v>1.4567000000000001</v>
      </c>
    </row>
    <row r="28" spans="2:16" x14ac:dyDescent="0.45">
      <c r="K28" s="126" t="e" vm="7">
        <v>#VALUE!</v>
      </c>
      <c r="L28" s="126"/>
      <c r="M28" s="126"/>
      <c r="N28" t="str" cm="1">
        <f t="array" aca="1" ref="N28" ca="1">_FV(K28,"Industry")</f>
        <v>Beverages</v>
      </c>
      <c r="O28" s="16" cm="1">
        <f t="array" aca="1" ref="O28" ca="1">_FV(K28,"Price")</f>
        <v>86.29</v>
      </c>
      <c r="P28" s="17" cm="1">
        <f t="array" aca="1" ref="P28" ca="1">_FV(K28,"Beta")</f>
        <v>0.31719999999999998</v>
      </c>
    </row>
    <row r="29" spans="2:16" x14ac:dyDescent="0.45">
      <c r="K29" s="126" t="e" vm="8">
        <v>#VALUE!</v>
      </c>
      <c r="L29" s="126"/>
      <c r="M29" s="126"/>
      <c r="N29" t="str" cm="1">
        <f t="array" aca="1" ref="N29" ca="1">_FV(K29,"Industry")</f>
        <v>Food &amp; Drug Retailing</v>
      </c>
      <c r="O29" s="16" cm="1">
        <f t="array" aca="1" ref="O29" ca="1">_FV(K29,"Price")</f>
        <v>104.88500000000001</v>
      </c>
      <c r="P29" s="17" cm="1">
        <f t="array" aca="1" ref="P29" ca="1">_FV(K29,"Beta")</f>
        <v>0.57479999999999998</v>
      </c>
    </row>
    <row r="51" spans="1:5" x14ac:dyDescent="0.45">
      <c r="A51" s="112"/>
      <c r="B51" s="112"/>
      <c r="C51" s="112"/>
      <c r="D51" s="112"/>
      <c r="E51" s="112"/>
    </row>
    <row r="52" spans="1:5" x14ac:dyDescent="0.45">
      <c r="A52" s="112"/>
      <c r="B52" s="113" t="s">
        <v>16</v>
      </c>
      <c r="C52" s="114" t="str">
        <f>C7</f>
        <v>Optimal Portfolio</v>
      </c>
      <c r="D52" s="112"/>
      <c r="E52" s="112"/>
    </row>
    <row r="53" spans="1:5" x14ac:dyDescent="0.45">
      <c r="A53" s="112"/>
      <c r="B53" s="113" t="s">
        <v>2</v>
      </c>
      <c r="C53" s="111">
        <f>_xlfn.XLOOKUP($C$7,'03_Efficient Frontier'!$B$5:$B$18,'03_Efficient Frontier'!$C$5:$C$18,"")</f>
        <v>5.5123194505901182E-2</v>
      </c>
      <c r="D53" s="112"/>
      <c r="E53" s="112"/>
    </row>
    <row r="54" spans="1:5" x14ac:dyDescent="0.45">
      <c r="A54" s="112"/>
      <c r="B54" s="113" t="s">
        <v>3</v>
      </c>
      <c r="C54" s="111">
        <f>_xlfn.XLOOKUP($C$7,'03_Efficient Frontier'!$B$5:$B$18,'03_Efficient Frontier'!$D$5:$D$18,"")</f>
        <v>6.8029828351730978E-2</v>
      </c>
      <c r="D54" s="112"/>
      <c r="E54" s="112"/>
    </row>
    <row r="55" spans="1:5" x14ac:dyDescent="0.45">
      <c r="A55" s="112"/>
      <c r="B55" s="113" t="s">
        <v>4</v>
      </c>
      <c r="C55" s="111">
        <f>_xlfn.XLOOKUP($C$7,'03_Efficient Frontier'!$B$5:$B$18,'03_Efficient Frontier'!$E$5:$E$18,"")</f>
        <v>0.23703658611445275</v>
      </c>
      <c r="D55" s="112"/>
      <c r="E55" s="112"/>
    </row>
    <row r="56" spans="1:5" x14ac:dyDescent="0.45">
      <c r="A56" s="112"/>
      <c r="B56" s="113" t="s">
        <v>5</v>
      </c>
      <c r="C56" s="111">
        <f>_xlfn.XLOOKUP($C$7,'03_Efficient Frontier'!$B$5:$B$18,'03_Efficient Frontier'!$F$5:$F$18,"")</f>
        <v>0.05</v>
      </c>
      <c r="D56" s="112"/>
      <c r="E56" s="112"/>
    </row>
    <row r="57" spans="1:5" x14ac:dyDescent="0.45">
      <c r="A57" s="112"/>
      <c r="B57" s="113" t="s">
        <v>6</v>
      </c>
      <c r="C57" s="111">
        <f>_xlfn.XLOOKUP($C$7,'03_Efficient Frontier'!$B$5:$B$18,'03_Efficient Frontier'!$G$5:$G$18,"")</f>
        <v>0.23830483312257983</v>
      </c>
      <c r="D57" s="112"/>
      <c r="E57" s="112"/>
    </row>
    <row r="58" spans="1:5" x14ac:dyDescent="0.45">
      <c r="A58" s="112"/>
      <c r="B58" s="113" t="s">
        <v>7</v>
      </c>
      <c r="C58" s="111">
        <f>_xlfn.XLOOKUP($C$7,'03_Efficient Frontier'!$B$5:$B$18,'03_Efficient Frontier'!$H$5:$H$18,"")</f>
        <v>7.3548182890605718E-2</v>
      </c>
      <c r="D58" s="112"/>
      <c r="E58" s="112"/>
    </row>
    <row r="59" spans="1:5" x14ac:dyDescent="0.45">
      <c r="A59" s="112"/>
      <c r="B59" s="113" t="s">
        <v>8</v>
      </c>
      <c r="C59" s="111">
        <f>_xlfn.XLOOKUP($C$7,'03_Efficient Frontier'!$B$5:$B$18,'03_Efficient Frontier'!$I$5:$I$18,"")</f>
        <v>0.13844609241220382</v>
      </c>
      <c r="D59" s="112"/>
      <c r="E59" s="112"/>
    </row>
    <row r="60" spans="1:5" x14ac:dyDescent="0.45">
      <c r="A60" s="112"/>
      <c r="B60" s="113" t="s">
        <v>9</v>
      </c>
      <c r="C60" s="111">
        <f>_xlfn.XLOOKUP($C$7,'03_Efficient Frontier'!$B$5:$B$18,'03_Efficient Frontier'!$J$5:$J$18,"")</f>
        <v>0.13951147450468435</v>
      </c>
      <c r="D60" s="112"/>
      <c r="E60" s="112"/>
    </row>
    <row r="61" spans="1:5" x14ac:dyDescent="0.45">
      <c r="A61" s="112"/>
      <c r="B61" s="113"/>
      <c r="C61" s="111"/>
      <c r="D61" s="112"/>
      <c r="E61" s="112"/>
    </row>
    <row r="62" spans="1:5" x14ac:dyDescent="0.45">
      <c r="A62" s="112"/>
      <c r="B62" s="113"/>
      <c r="C62" s="111"/>
      <c r="D62" s="112"/>
      <c r="E62" s="112"/>
    </row>
    <row r="63" spans="1:5" x14ac:dyDescent="0.45">
      <c r="A63" s="112"/>
      <c r="B63" s="113"/>
      <c r="C63" s="115"/>
      <c r="D63" s="112"/>
      <c r="E63" s="112"/>
    </row>
  </sheetData>
  <sheetProtection algorithmName="SHA-512" hashValue="feuld4fgLCG0hZRiJwMLJBHhBMifSb03EZxMpaaZFDzaR8+nsNAPNd7pINJS34kbRCXP3v8P4DOblwGATQzT/A==" saltValue="8GE/dLbJAZRP9GlEuOQXCQ==" spinCount="100000" sheet="1" objects="1" scenarios="1" selectLockedCells="1"/>
  <mergeCells count="17">
    <mergeCell ref="K29:M29"/>
    <mergeCell ref="K24:M24"/>
    <mergeCell ref="K25:M25"/>
    <mergeCell ref="K26:M26"/>
    <mergeCell ref="K27:M27"/>
    <mergeCell ref="K28:M28"/>
    <mergeCell ref="K23:M23"/>
    <mergeCell ref="J2:L2"/>
    <mergeCell ref="J3:L3"/>
    <mergeCell ref="K20:P20"/>
    <mergeCell ref="K21:M21"/>
    <mergeCell ref="K22:M22"/>
    <mergeCell ref="E6:K6"/>
    <mergeCell ref="B1:G4"/>
    <mergeCell ref="M6:P6"/>
    <mergeCell ref="B20:I20"/>
    <mergeCell ref="B6:C6"/>
  </mergeCells>
  <hyperlinks>
    <hyperlink ref="J3:L3" r:id="rId1" display="US Treasury Bonds 10Y" xr:uid="{8EC212C6-6891-4455-B791-7988B0642B17}"/>
  </hyperlinks>
  <pageMargins left="0.7" right="0.7" top="0.75" bottom="0.75" header="0.3" footer="0.3"/>
  <pageSetup paperSize="9" scale="66"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RefreshData">
                <anchor moveWithCells="1" sizeWithCells="1">
                  <from>
                    <xdr:col>12</xdr:col>
                    <xdr:colOff>723900</xdr:colOff>
                    <xdr:row>1</xdr:row>
                    <xdr:rowOff>152400</xdr:rowOff>
                  </from>
                  <to>
                    <xdr:col>14</xdr:col>
                    <xdr:colOff>33338</xdr:colOff>
                    <xdr:row>2</xdr:row>
                    <xdr:rowOff>128588</xdr:rowOff>
                  </to>
                </anchor>
              </controlPr>
            </control>
          </mc:Choice>
        </mc:AlternateContent>
        <mc:AlternateContent xmlns:mc="http://schemas.openxmlformats.org/markup-compatibility/2006">
          <mc:Choice Requires="x14">
            <control shapeId="13315" r:id="rId6" name="Button 3">
              <controlPr defaultSize="0" print="0" autoFill="0" autoPict="0" macro="[0]!OpenOptimization">
                <anchor moveWithCells="1" sizeWithCells="1">
                  <from>
                    <xdr:col>1</xdr:col>
                    <xdr:colOff>352425</xdr:colOff>
                    <xdr:row>13</xdr:row>
                    <xdr:rowOff>161925</xdr:rowOff>
                  </from>
                  <to>
                    <xdr:col>2</xdr:col>
                    <xdr:colOff>614363</xdr:colOff>
                    <xdr:row>16</xdr:row>
                    <xdr:rowOff>4763</xdr:rowOff>
                  </to>
                </anchor>
              </controlPr>
            </control>
          </mc:Choice>
        </mc:AlternateContent>
        <mc:AlternateContent xmlns:mc="http://schemas.openxmlformats.org/markup-compatibility/2006">
          <mc:Choice Requires="x14">
            <control shapeId="13316" r:id="rId7" name="Label 4">
              <controlPr defaultSize="0" autoFill="0" autoLine="0" autoPict="0" macro="[0]!GoToWeightConstraints">
                <anchor moveWithCells="1">
                  <from>
                    <xdr:col>2</xdr:col>
                    <xdr:colOff>414338</xdr:colOff>
                    <xdr:row>11</xdr:row>
                    <xdr:rowOff>161925</xdr:rowOff>
                  </from>
                  <to>
                    <xdr:col>3</xdr:col>
                    <xdr:colOff>4763</xdr:colOff>
                    <xdr:row>13</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023DCB5-835B-4B60-A4C1-9145DB93D756}">
          <x14:formula1>
            <xm:f>'03_Efficient Frontier'!$B$5:$B$18</xm:f>
          </x14:formula1>
          <xm:sqref>C7</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6A14A53-342A-4052-A908-1C7CC120F7D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01_Data_Raw</vt:lpstr>
      <vt:lpstr>02_Stats</vt:lpstr>
      <vt:lpstr>03_Efficient Frontier</vt:lpstr>
      <vt:lpstr>04_Dashboard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Ilona GAVOILLE</dc:creator>
  <cp:lastModifiedBy>Ilona GAVOILLE</cp:lastModifiedBy>
  <cp:lastPrinted>2026-09-29T22:33:14Z</cp:lastPrinted>
  <dcterms:created xsi:type="dcterms:W3CDTF">2026-09-24T20:38:26Z</dcterms:created>
  <dcterms:modified xsi:type="dcterms:W3CDTF">2026-09-30T22:36:26Z</dcterms:modified>
</cp:coreProperties>
</file>